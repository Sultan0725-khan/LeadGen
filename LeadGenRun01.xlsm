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ultankhan/DevOps/LeadGen/"/>
    </mc:Choice>
  </mc:AlternateContent>
  <xr:revisionPtr revIDLastSave="0" documentId="13_ncr:1_{1DFA858E-46BE-614A-96B8-7C8E07C876AA}" xr6:coauthVersionLast="47" xr6:coauthVersionMax="47" xr10:uidLastSave="{00000000-0000-0000-0000-000000000000}"/>
  <bookViews>
    <workbookView xWindow="4340" yWindow="760" windowWidth="30220" windowHeight="21580" xr2:uid="{70B31683-EBEB-004B-9D5F-129F15EDE32D}"/>
  </bookViews>
  <sheets>
    <sheet name="leads" sheetId="1" r:id="rId1"/>
  </sheets>
  <definedNames>
    <definedName name="_xlnm._FilterDatabase" localSheetId="0" hidden="1">leads!$A$1:$L$3999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94" i="1" l="1"/>
  <c r="E1996" i="1"/>
  <c r="E2919" i="1"/>
  <c r="E2963" i="1"/>
  <c r="E3278" i="1"/>
  <c r="E3280" i="1"/>
  <c r="E3281" i="1"/>
  <c r="E3531" i="1"/>
  <c r="E3591" i="1"/>
  <c r="E3624" i="1"/>
  <c r="E3930" i="1"/>
  <c r="E3971" i="1"/>
  <c r="E3980" i="1"/>
  <c r="E3991" i="1"/>
</calcChain>
</file>

<file path=xl/sharedStrings.xml><?xml version="1.0" encoding="utf-8"?>
<sst xmlns="http://schemas.openxmlformats.org/spreadsheetml/2006/main" count="25718" uniqueCount="13582">
  <si>
    <t>Business Name</t>
  </si>
  <si>
    <t>Address</t>
  </si>
  <si>
    <t>Website</t>
  </si>
  <si>
    <t>Email</t>
  </si>
  <si>
    <t>Phone</t>
  </si>
  <si>
    <t>Latitude</t>
  </si>
  <si>
    <t>Longitude</t>
  </si>
  <si>
    <t>Confidence Score</t>
  </si>
  <si>
    <t>Sources</t>
  </si>
  <si>
    <t>Email Status</t>
  </si>
  <si>
    <t>Social Links</t>
  </si>
  <si>
    <t>Aida</t>
  </si>
  <si>
    <t>Knesebeckstra√üe, Berlin, 10623</t>
  </si>
  <si>
    <t>https://www.aida-restaurant.de/</t>
  </si>
  <si>
    <t>aida-camillo@web.de</t>
  </si>
  <si>
    <t>+49 30 318 06 750</t>
  </si>
  <si>
    <t>0.7</t>
  </si>
  <si>
    <t>OpenStreetMap</t>
  </si>
  <si>
    <t>drafted</t>
  </si>
  <si>
    <t>Madame Ngo</t>
  </si>
  <si>
    <t>Kantstra√üe 30, Berlin, 10623</t>
  </si>
  <si>
    <t>https://madame-ngo.de/</t>
  </si>
  <si>
    <t>reservation@madame-ngo.de</t>
  </si>
  <si>
    <t>+49 157 53604089</t>
  </si>
  <si>
    <t>0.8999999999999999</t>
  </si>
  <si>
    <t>none</t>
  </si>
  <si>
    <t>Nam Thu√¢n</t>
  </si>
  <si>
    <t>Pestalozzistra√üe 106, Berlin, 10625</t>
  </si>
  <si>
    <t>0.0</t>
  </si>
  <si>
    <t>La Rose</t>
  </si>
  <si>
    <t>Neue Kantstra√üe 19, Berlin, 14057</t>
  </si>
  <si>
    <t>Tibet Haus</t>
  </si>
  <si>
    <t>Zossener Stra√üe 19, Berlin, 10961</t>
  </si>
  <si>
    <t>+49 30 6948948</t>
  </si>
  <si>
    <t>0.2</t>
  </si>
  <si>
    <t>First Indian Restaurant</t>
  </si>
  <si>
    <t>Wundtstra√üe 72, Berlin, 14057</t>
  </si>
  <si>
    <t>http://www.soda-berlin.de/restaurant</t>
  </si>
  <si>
    <t>0.5</t>
  </si>
  <si>
    <t>Canc√∫n</t>
  </si>
  <si>
    <t>Kaiserdamm 24, Berlin, 14057</t>
  </si>
  <si>
    <t>https://www.cancun-restaurant.de/</t>
  </si>
  <si>
    <t>info@cancun-restaurant.de</t>
  </si>
  <si>
    <t>La Foresta (Schatulle)</t>
  </si>
  <si>
    <t>Berlin, 13351</t>
  </si>
  <si>
    <t>+49 30 4513071</t>
  </si>
  <si>
    <t>Haus der 100 Biere</t>
  </si>
  <si>
    <t>Kurf√ºrstendamm 100, Berlin, 10709</t>
  </si>
  <si>
    <t>https://100biere.de/</t>
  </si>
  <si>
    <t>mail@100biere.de</t>
  </si>
  <si>
    <t>+49 30 25092901</t>
  </si>
  <si>
    <t>0.9999999999999999</t>
  </si>
  <si>
    <t>instagram: https://instagram.com/100biere, facebook: https://facebook.com/100biere</t>
  </si>
  <si>
    <t>Ach!NikO!Ach!</t>
  </si>
  <si>
    <t>Kurf√ºrstendamm 97-98, Berlin, 10709</t>
  </si>
  <si>
    <t>Ristorante Salve</t>
  </si>
  <si>
    <t>Damaschkestra√üe 31, Berlin, 10711</t>
  </si>
  <si>
    <t>https://www.ristorantesalveberlin.de/</t>
  </si>
  <si>
    <t>mail@sale-e-tabacchi.de</t>
  </si>
  <si>
    <t>+49 30 31809777</t>
  </si>
  <si>
    <t>Dalmacija</t>
  </si>
  <si>
    <t>Qu√§kerstra√üe 2, Berlin, 13403</t>
  </si>
  <si>
    <t>https://restaurant-dalmacija.wixsite.com/restaurant-dalmacija</t>
  </si>
  <si>
    <t>info@restaurant-dalmacija-berlin.de</t>
  </si>
  <si>
    <t>Schlemmerk√ºche</t>
  </si>
  <si>
    <t>Wittestra√üe 49, Berlin, 13509</t>
  </si>
  <si>
    <t>https://www.schlemmerkueche.de/</t>
  </si>
  <si>
    <t>info@schlemmerkueche.de</t>
  </si>
  <si>
    <t>Taverna Athos</t>
  </si>
  <si>
    <t>Bundesplatz 2, Berlin, 10715</t>
  </si>
  <si>
    <t>https://www.taverna-athos-berlin.de</t>
  </si>
  <si>
    <t>+49 30 81487870</t>
  </si>
  <si>
    <t>Pizzaria Tamara</t>
  </si>
  <si>
    <t>Zobeltitzstra√üe 90, Berlin, 13403</t>
  </si>
  <si>
    <t>https://pizzeriaroma-spandau.de/</t>
  </si>
  <si>
    <t>terramadre.sicilia@gmail.com</t>
  </si>
  <si>
    <t>+49 30 28649567</t>
  </si>
  <si>
    <t>BLOCK HOUSE</t>
  </si>
  <si>
    <t>Theodor-Heuss-Platz 12, Berlin, 14052</t>
  </si>
  <si>
    <t>https://www.block-house.de/restaurants/berlin/theodor-heuss-platz/</t>
  </si>
  <si>
    <t>+49 30 3017091</t>
  </si>
  <si>
    <t>JOE'S Restaurant &amp; Wirtshaus</t>
  </si>
  <si>
    <t>Theodor-Heuss-Platz 10, Berlin, 14052</t>
  </si>
  <si>
    <t>https://www.joes-berlin.de</t>
  </si>
  <si>
    <t>info@joes-berlin.de</t>
  </si>
  <si>
    <t>+49 30 262 10 20</t>
  </si>
  <si>
    <t>facebook: https://www.facebook.com/joesberlin</t>
  </si>
  <si>
    <t>Lindenwirtin</t>
  </si>
  <si>
    <t>Lindenallee 28, Berlin, 14050</t>
  </si>
  <si>
    <t>+49 30 3027747</t>
  </si>
  <si>
    <t>Cancun</t>
  </si>
  <si>
    <t>Anhalter Stra√üe 1, Berlin, 10963</t>
  </si>
  <si>
    <t>https://cancun-potsdamerplatz.de/</t>
  </si>
  <si>
    <t>info@cancun-potsdamerplatz.de</t>
  </si>
  <si>
    <t>instagram: https://www.instagram.com/cancun.kreuzberg/, facebook: https://www.facebook.com/search/top?q=cancun-kreuzberg</t>
  </si>
  <si>
    <t>Bocca di Bacco</t>
  </si>
  <si>
    <t>Friedrichstra√üe 167</t>
  </si>
  <si>
    <t>Restaurant Borchardt</t>
  </si>
  <si>
    <t>Franz√∂sische Stra√üe 47, Berlin, 10117</t>
  </si>
  <si>
    <t>https://www.borchardt-restaurant.de/</t>
  </si>
  <si>
    <t>+49 30 81886262</t>
  </si>
  <si>
    <t>Heritage</t>
  </si>
  <si>
    <t>Franz√∂sische Stra√üe 25, Berlin, 10117</t>
  </si>
  <si>
    <t>Lutter &amp; Wegner</t>
  </si>
  <si>
    <t>Charlottenstra√üe 56, Berlin, 10117</t>
  </si>
  <si>
    <t>http://www.l-w-berlin.de</t>
  </si>
  <si>
    <t>info@l-w-berlin.de</t>
  </si>
  <si>
    <t>+49 30 20 29 54 0</t>
  </si>
  <si>
    <t>instagram: https://www.instagram.com/lutterundwegnergendarmenmarkt/, facebook: https://www.facebook.com/lutter.wegner.gendarmenmarkt.berlin</t>
  </si>
  <si>
    <t>Victor &amp; Victoria</t>
  </si>
  <si>
    <t>Charlottenstra√üe 59, Berlin, 10117</t>
  </si>
  <si>
    <t>+49 30 992115611</t>
  </si>
  <si>
    <t>Maximilians</t>
  </si>
  <si>
    <t>Friedrichstra√üe 185-190, Berlin, 10117</t>
  </si>
  <si>
    <t>https://www.maximilians-berlin.de/</t>
  </si>
  <si>
    <t>info@maximiliansrestaurant.de</t>
  </si>
  <si>
    <t>+49 30 20450559</t>
  </si>
  <si>
    <t>facebook: https://www.facebook.com/maximiliansberlin, instagram: https://www.instagram.com/maximiliansberlin</t>
  </si>
  <si>
    <t>Izumi Sushi Bar</t>
  </si>
  <si>
    <t>Kronenstra√üe 66, Berlin, 10117</t>
  </si>
  <si>
    <t>+49 30 20649938</t>
  </si>
  <si>
    <t>Beast Berlin</t>
  </si>
  <si>
    <t>Karl-Liebknecht-Stra√üe 29, Berlin, 10178</t>
  </si>
  <si>
    <t>https://beast-berlin.com/</t>
  </si>
  <si>
    <t>info@beast-berlin.com</t>
  </si>
  <si>
    <t>+49 30 25817696</t>
  </si>
  <si>
    <t>facebook: https://www.facebook.com/beast.berlin.official, instagram: https://www.instagram.com/beast_berlin_official</t>
  </si>
  <si>
    <t>Aapka - Restaurant Alexanderplatz</t>
  </si>
  <si>
    <t>Karl-Liebknecht-Stra√üe 23, Berlin, 10178</t>
  </si>
  <si>
    <t>https://www.aapka.de/restaurants/berlin-alexanderplatz/</t>
  </si>
  <si>
    <t>+49 30 85077788</t>
  </si>
  <si>
    <t>Der Alte Fritz</t>
  </si>
  <si>
    <t>Panoramastra√üe 1, Berlin, 10178</t>
  </si>
  <si>
    <t>https://der-alte-fritz.eatbu.com/</t>
  </si>
  <si>
    <t>restaurant@der-alte-fritz.de</t>
  </si>
  <si>
    <t>+49 30 96200600</t>
  </si>
  <si>
    <t>Carambar</t>
  </si>
  <si>
    <t>Rathausstra√üe 1, Berlin, 10178</t>
  </si>
  <si>
    <t>https://carambar.de</t>
  </si>
  <si>
    <t>info@carambar.deBitte</t>
  </si>
  <si>
    <t>+49 30 77905211</t>
  </si>
  <si>
    <t>instagram: https://www.instagram.com/carambar_berlin/</t>
  </si>
  <si>
    <t>Matzbach</t>
  </si>
  <si>
    <t>Azem</t>
  </si>
  <si>
    <t>Mutter Hoppe</t>
  </si>
  <si>
    <t>Rathausstra√üe 21, Berlin, 10178</t>
  </si>
  <si>
    <t>https://www.mutterhoppe.de/</t>
  </si>
  <si>
    <t>reservierung@mutterhoppe.de</t>
  </si>
  <si>
    <t>+49 30 24720603</t>
  </si>
  <si>
    <t>facebook: https://www.facebook.com/mutterhoppe, instagram: https://www.instagram.com/mutter_hoppe/</t>
  </si>
  <si>
    <t>Julchen Hoppe</t>
  </si>
  <si>
    <t>Rathausstra√üe 25, Berlin, 10178</t>
  </si>
  <si>
    <t>https://julchen-hoppe.eatbu.com/?lang=de</t>
  </si>
  <si>
    <t>julchen.hoppe@t-online.de</t>
  </si>
  <si>
    <t>+49 30 97005787</t>
  </si>
  <si>
    <t>facebook: https://www.facebook.com/Julchen-Hoppe-123519067805621/, instagram: https://www.instagram.com/julchen_hoppe/?hl=de</t>
  </si>
  <si>
    <t>Shezan</t>
  </si>
  <si>
    <t>Neue Ro√üstra√üe 13, Berlin, 10179</t>
  </si>
  <si>
    <t>https://www.shezanrestaurant.de/</t>
  </si>
  <si>
    <t>info@shezanrestaurant.de</t>
  </si>
  <si>
    <t>+49 30 24600950</t>
  </si>
  <si>
    <t>Trattoria Monticchiello</t>
  </si>
  <si>
    <t>Berliner Stra√üe 70, Berlin, 13507</t>
  </si>
  <si>
    <t>https://trattoria-monticchiello.com/</t>
  </si>
  <si>
    <t>info@trattoriasicilia.de</t>
  </si>
  <si>
    <t>+49 30 36427699</t>
  </si>
  <si>
    <t>facebook: https://www.facebook.com/TrattoriaMonticchiello</t>
  </si>
  <si>
    <t>Oase Adlershof</t>
  </si>
  <si>
    <t>Rudower Chaussee 25, Berlin, 12489</t>
  </si>
  <si>
    <t>https://www.stw.berlin/mensen/mensa-hu-oase-adlershof.html</t>
  </si>
  <si>
    <t>mensen@stw.berlin</t>
  </si>
  <si>
    <t>+49 30 93939 7760</t>
  </si>
  <si>
    <t>instagram: https://www.instagram.com/studierendenwerkberlin/, tiktok: https://www.tiktok.com/@studierendenwerk.berlin, linkedin: https://www.linkedin.com/company/studierendenwerk-berlin/</t>
  </si>
  <si>
    <t>Pula-Grill</t>
  </si>
  <si>
    <t>Auguste-Viktoria-Allee 79, Berlin, 13403</t>
  </si>
  <si>
    <t>Paris-Moskau</t>
  </si>
  <si>
    <t>Alt-Moabit 141, Berlin, 10557</t>
  </si>
  <si>
    <t>https://www.paris-moskau.de/</t>
  </si>
  <si>
    <t>restaurant@paris-moskau.de</t>
  </si>
  <si>
    <t>+49 30 3942081</t>
  </si>
  <si>
    <t>instagram: https://www.instagram.com/paris_moskau/</t>
  </si>
  <si>
    <t>Strandlust</t>
  </si>
  <si>
    <t>Seddinpromenade 3A, Berlin, 12527</t>
  </si>
  <si>
    <t>Chalet Suisse</t>
  </si>
  <si>
    <t>Im Jagen 5, Berlin, 14195</t>
  </si>
  <si>
    <t>https://chalet-suisse.de/</t>
  </si>
  <si>
    <t>kontakt@chalet-suisse.de</t>
  </si>
  <si>
    <t>+49 30 8326362</t>
  </si>
  <si>
    <t>facebook: https://www.facebook.com/Chlet-Suisse-440461002682996/?epa=SEARCH_BOX, instagram: https://www.instagram.com/chalet_suisse_berlin/</t>
  </si>
  <si>
    <t>Jasper's</t>
  </si>
  <si>
    <t>Anklamer Stra√üe 27, Berlin, 10115</t>
  </si>
  <si>
    <t>https://jaspers-berlin.de/</t>
  </si>
  <si>
    <t>charlottenburg@jaspers-berlin.de</t>
  </si>
  <si>
    <t>+49 30 81798172</t>
  </si>
  <si>
    <t>Maestral</t>
  </si>
  <si>
    <t>Eichborndamm 236, Berlin, 13437</t>
  </si>
  <si>
    <t>Bier-Stub'n</t>
  </si>
  <si>
    <t>Irmak Grillhaus</t>
  </si>
  <si>
    <t>Herkules I</t>
  </si>
  <si>
    <t>Oberfeldstra√üe 30, Berlin, 12683</t>
  </si>
  <si>
    <t>https://www.herkules1.de/</t>
  </si>
  <si>
    <t>herkules-1@mail.de</t>
  </si>
  <si>
    <t>+49 30 54396797</t>
  </si>
  <si>
    <t>Schollenkrug</t>
  </si>
  <si>
    <t>Waidmannsluster Damm 77, Berlin, 13509</t>
  </si>
  <si>
    <t>https://schollenkrug.com/</t>
  </si>
  <si>
    <t>info@tomasa.de</t>
  </si>
  <si>
    <t>I Due Forni</t>
  </si>
  <si>
    <t>Sch√∂nhauser Allee 12, Berlin, 10119</t>
  </si>
  <si>
    <t>+49 30 44017333</t>
  </si>
  <si>
    <t>Mad Meals</t>
  </si>
  <si>
    <t>Knaackstra√üe 99, Berlin, 10435</t>
  </si>
  <si>
    <t>Akemi</t>
  </si>
  <si>
    <t>Rykestra√üe 39, Berlin, 10405</t>
  </si>
  <si>
    <t>Anjoy</t>
  </si>
  <si>
    <t>https://www.anjoy-restaurant.de/</t>
  </si>
  <si>
    <t>dialog@anjoy-restaurant.de</t>
  </si>
  <si>
    <t>+49 30 54861357</t>
  </si>
  <si>
    <t>instagram: https://www.instagram.com/anjoy_restaurant/, facebook: https://www.facebook.com/restaurant.anjoy/</t>
  </si>
  <si>
    <t>Seepalast</t>
  </si>
  <si>
    <t>F√ºrstenwalder Allee 17, Berlin, 12589</t>
  </si>
  <si>
    <t>http://www.seepalast.de</t>
  </si>
  <si>
    <t>info@seepalast.de</t>
  </si>
  <si>
    <t>+49 30 76905555</t>
  </si>
  <si>
    <t>Yogi-Haus</t>
  </si>
  <si>
    <t>Eisenacher Stra√üe 54, Berlin, 10823</t>
  </si>
  <si>
    <t>http://www.restaurant-yogihaus.de/</t>
  </si>
  <si>
    <t>yogiansar@hotmail.de</t>
  </si>
  <si>
    <t>+49 30 7829223</t>
  </si>
  <si>
    <t>La Residenza</t>
  </si>
  <si>
    <t>Kurf√ºrstendamm 27, Berlin, 10719</t>
  </si>
  <si>
    <t>https://laresidenza.berlin/</t>
  </si>
  <si>
    <t>reservierung@inizio.berlin</t>
  </si>
  <si>
    <t>Bristol Grill</t>
  </si>
  <si>
    <t>Le Faubourg</t>
  </si>
  <si>
    <t>Augsburger Stra√üe 41, Berlin, 10789</t>
  </si>
  <si>
    <t>Floh</t>
  </si>
  <si>
    <t>Am Bahnhof Grunewald 4, Berlin, 14193</t>
  </si>
  <si>
    <t>http://www.restaurantfloh.de/</t>
  </si>
  <si>
    <t>+49 30 8929356</t>
  </si>
  <si>
    <t>Trattoria Gioachino</t>
  </si>
  <si>
    <t>Fook Lam Mun</t>
  </si>
  <si>
    <t>Blockhaus Nikolskoe</t>
  </si>
  <si>
    <t>Nikolskoer Weg 15, Berlin, 14109</t>
  </si>
  <si>
    <t>https://www.blockhaus-nikolskoe.de/</t>
  </si>
  <si>
    <t>info@blockhaus-nikolskoe.de</t>
  </si>
  <si>
    <t>+49 30 805 2914</t>
  </si>
  <si>
    <t>facebook: https://www.facebook.com/via.unternehmensverbund, instagram: https://www.instagram.com/blockhaus.nikolskoe</t>
  </si>
  <si>
    <t>Agua TexMex</t>
  </si>
  <si>
    <t>Frieda-Arnheim-Promenade 7, Berlin, 13585</t>
  </si>
  <si>
    <t>https://aguarestaurant.de</t>
  </si>
  <si>
    <t>info@aguarestaurant.de</t>
  </si>
  <si>
    <t>+49 30 54842743</t>
  </si>
  <si>
    <t>Restaurant Hasenheide</t>
  </si>
  <si>
    <t>https://www.wirtshaus-hasenheide.de/</t>
  </si>
  <si>
    <t>0.3</t>
  </si>
  <si>
    <t>Eden</t>
  </si>
  <si>
    <t>Rosenstra√üe 19, Berlin, 10178</t>
  </si>
  <si>
    <t>+49 30 84711058</t>
  </si>
  <si>
    <t>Unvernunft</t>
  </si>
  <si>
    <t>https://kulturhaus-spandau.de/index.php?option=com_content&amp;task=view&amp;id=37&amp;Itemid=49</t>
  </si>
  <si>
    <t>info@kulturhaus-spandau.de</t>
  </si>
  <si>
    <t>+49 30 333 30 02</t>
  </si>
  <si>
    <t>facebook: https://www.facebook.com/Kulturhaus-Spandau-Freilichtb%C3%BChne-201364086573205/</t>
  </si>
  <si>
    <t>Taverna Teloneio</t>
  </si>
  <si>
    <t>M√∂llentordamm 1, Berlin, 13597</t>
  </si>
  <si>
    <t>https://teloneio.de</t>
  </si>
  <si>
    <t>info@teloneio.de</t>
  </si>
  <si>
    <t>+49 30 84526667</t>
  </si>
  <si>
    <t>Weisser Elefant</t>
  </si>
  <si>
    <t>Wegenerstra√üe 1, Berlin, 10713</t>
  </si>
  <si>
    <t>https://www.weisser-elefant.de/</t>
  </si>
  <si>
    <t>mail@weisser-elefant.de</t>
  </si>
  <si>
    <t>Garcon</t>
  </si>
  <si>
    <t>Fechnerstra√üe 30, Berlin, 10717</t>
  </si>
  <si>
    <t>Frederick‚Äòs</t>
  </si>
  <si>
    <t>https://fredericksberlin.com</t>
  </si>
  <si>
    <t>0.6</t>
  </si>
  <si>
    <t>facebook: https://www.facebook.com/fredericksberlin, instagram: https://www.instagram.com/fredericksberlin/</t>
  </si>
  <si>
    <t>Lindenbr√§u</t>
  </si>
  <si>
    <t>Bellevuestra√üe 3-5, Berlin, 10785</t>
  </si>
  <si>
    <t>https://www.bier-genuss.berlin/de/lindenbraeu-am-potsdamer-platz</t>
  </si>
  <si>
    <t>restaurant@lindenbraeu-berlin.de</t>
  </si>
  <si>
    <t>+49 30 25751280</t>
  </si>
  <si>
    <t>facebook: https://www.facebook.com/lindenbraeu.berlin/, instagram: https://www.instagram.com/lindenbraeu/</t>
  </si>
  <si>
    <t>Dittmanns Drogerie</t>
  </si>
  <si>
    <t>Sch√∂nbrunn</t>
  </si>
  <si>
    <t>Berlin, 10249</t>
  </si>
  <si>
    <t>http://schoenbrunn.net</t>
  </si>
  <si>
    <t>reservierung@schoenbrunn.net</t>
  </si>
  <si>
    <t>Ruyixuan Hotpot</t>
  </si>
  <si>
    <t>Frankfurter Allee 73, Berlin, 10247</t>
  </si>
  <si>
    <t>Ristorante a Mano</t>
  </si>
  <si>
    <t>Strausberger Platz 2, Berlin, 10243</t>
  </si>
  <si>
    <t>https://www.amano-ristorante.de/</t>
  </si>
  <si>
    <t>+49 30 95598243</t>
  </si>
  <si>
    <t>facebook: https://www.facebook.com/Ristorante-a-Mano-153161404795927/, instagram: https://www.instagram.com/ristoranteamanoberlin/</t>
  </si>
  <si>
    <t>Hangmee</t>
  </si>
  <si>
    <t>Boxhagener Stra√üe 108, Berlin, 10245</t>
  </si>
  <si>
    <t>Gastst√§tte zur S-Bahn</t>
  </si>
  <si>
    <t>Heinrich-Gr√ºber-Stra√üe 1, Berlin, 12621</t>
  </si>
  <si>
    <t>https://www.zur-s-bahn.de/</t>
  </si>
  <si>
    <t>s.bahn.kaulsdorf@gmx.de</t>
  </si>
  <si>
    <t>+49 30 5627003</t>
  </si>
  <si>
    <t>0.7999999999999999</t>
  </si>
  <si>
    <t>facebook: https://www.facebook.com/susan.kyewski/?__xts__[0]=68.ARDW5QzV1awH97Xcyj3z1mbAyxID3Yyfm41Kj9gGbaoFwC39OdYf3mnGpm7q149TohysMiagGnrkNl_88YkRGs1UnzpQhFhZJII-WDk7MEPHKbc5_VkIRah7n6kKHKNUo7RMMqYFygl0ba3HvQFnXNdsZCe65pSB6awrI8h884RCjgUXKV_n33f1hBwgxU6H526b1rq9CkdECK2saKZhCcjw154ikiMOCdeWdIfu56z7AJsr4GBnJA9uTC8y84ymhlBfxo_2SZOVT-brLX3Ho_nbiwD_DBBZTl92__o1FVgoXxPUbn81nVQndpPLDFb3hDJEFm1EHH9TEJUbTRipQHTucHLtMS2OztQc1pvRbra5mAPhPHr9xQ&amp;__xts__[1]=68.ARCkET7LBu4X0SDtsebX64lUUM9MpOwFMmumi1B3_xzgQeKdAOZTPSHU5p3IYL2tz8ooYfiFE4EqtcSouJdNrJaYF_gKNHssmRDNMf8111RbM9KOjcLBZUytXJWWcDAT2UW5qJtqvOAWRkpg7yabeOFJvx_EQM50xGBQE2y-6ASV6B2klXPgPf39b9uL4hkAvnevu5aSDUU_twunTOyl1N4Ks3noQeRkGKWnjl-QanObjea86t5Ojb51acKlZ5Ef235cNRLxAbIK9SymVCNTP5EPOjf1MhOCZ9nkTtyiu0dhlGLbUF7-2DUbaHYeT3EtdkgK-oTpmYdWXwUIBNW9ZtslhQ-FK_in4uNWPEoMye0ZxzsyLNSjBQ</t>
  </si>
  <si>
    <t>Gasthof zum Oberfeld</t>
  </si>
  <si>
    <t>Zanderstra√üe 27, Berlin, 12621</t>
  </si>
  <si>
    <t>https://www.zum-oberfeld.de</t>
  </si>
  <si>
    <t>kontakt@zum-oberfeld.de</t>
  </si>
  <si>
    <t>+49 30 5689460</t>
  </si>
  <si>
    <t>Pizza Pasta Gatow</t>
  </si>
  <si>
    <t>La Posta Trattoria</t>
  </si>
  <si>
    <t>Weinmeisterhornweg 42, Berlin, 13595</t>
  </si>
  <si>
    <t>+49 30 70237645</t>
  </si>
  <si>
    <t>Die Henne - Alt-Berliner Wirtshaus</t>
  </si>
  <si>
    <t>Leuschnerdamm 25</t>
  </si>
  <si>
    <t>https://www.henne-berlin.de</t>
  </si>
  <si>
    <t>Hoa Rong</t>
  </si>
  <si>
    <t>Georgenstra√üe 25</t>
  </si>
  <si>
    <t>https://www.hoa-rong.com/</t>
  </si>
  <si>
    <t>info@hoa-rong.com</t>
  </si>
  <si>
    <t>facebook: https://www.facebook.com/restauranthoarongberlin/, instagram: https://www.instagram.com/restaurant.hoarong/</t>
  </si>
  <si>
    <t>Machiavelli</t>
  </si>
  <si>
    <t>Clayallee 1, Berlin, 14195</t>
  </si>
  <si>
    <t>http://www.machiavelli-berlin.de/</t>
  </si>
  <si>
    <t>albrechtstrasse@machiavelli-berlin.de</t>
  </si>
  <si>
    <t>+49 3053157176</t>
  </si>
  <si>
    <t>Andaz</t>
  </si>
  <si>
    <t>https://andazberlin.de/</t>
  </si>
  <si>
    <t>Sida</t>
  </si>
  <si>
    <t>Ahornstra√üe 32, Berlin, 12163</t>
  </si>
  <si>
    <t>https://www.sidathai.de</t>
  </si>
  <si>
    <t>+49 30 7923670</t>
  </si>
  <si>
    <t>Eiffel</t>
  </si>
  <si>
    <t>Kurf√ºrstendamm 105, Berlin, 10711</t>
  </si>
  <si>
    <t>http://www.eiffel-berlin.de/</t>
  </si>
  <si>
    <t>instagram: https://www.instagram.com/eiffelberlin</t>
  </si>
  <si>
    <t>Xantener Eck</t>
  </si>
  <si>
    <t>Xantener Stra√üe 1, Berlin, 10707</t>
  </si>
  <si>
    <t>http://www.das-xantener-eck.de/</t>
  </si>
  <si>
    <t>facebook: https://www.facebook.com/xantenereck/</t>
  </si>
  <si>
    <t>Casa di Maria</t>
  </si>
  <si>
    <t>Uhlandstra√üe 149, Berlin, 10719</t>
  </si>
  <si>
    <t>https://casa-di-maria.de/</t>
  </si>
  <si>
    <t>Shaan</t>
  </si>
  <si>
    <t>Richardplatz 20, Berlin, 12055</t>
  </si>
  <si>
    <t>https://shaan-richardplatz.de/</t>
  </si>
  <si>
    <t>+49 30 68089382</t>
  </si>
  <si>
    <t>facebook: https://www.facebook.com/pages/Shaan/103947656343281/</t>
  </si>
  <si>
    <t>Restaurant Louis</t>
  </si>
  <si>
    <t>Richardplatz 5, Berlin, 12055</t>
  </si>
  <si>
    <t>https://cafe-restaurant-louis.de/</t>
  </si>
  <si>
    <t>info@cafe-restaurant-louis.de</t>
  </si>
  <si>
    <t>+49 30 6810210</t>
  </si>
  <si>
    <t>Da Ponte</t>
  </si>
  <si>
    <t>Helgol√§nder Ufer 7, Berlin, 10557</t>
  </si>
  <si>
    <t>https://daponte-berlin.de/</t>
  </si>
  <si>
    <t>info@daponte-berlin.de</t>
  </si>
  <si>
    <t>+49 30 98331150</t>
  </si>
  <si>
    <t>facebook: https://www.facebook.com/pg/daponteberlin/about/, instagram: https://www.instagram.com/ristorante_daponte/</t>
  </si>
  <si>
    <t>Trattoria Fidelia</t>
  </si>
  <si>
    <t>L√ºneburger Stra√üe 390, Berlin, 10557</t>
  </si>
  <si>
    <t>https://pages.resmio.com/trattoria-fidelia/en</t>
  </si>
  <si>
    <t>hichamhoteit@hotmail.de</t>
  </si>
  <si>
    <t>Zollpackhof</t>
  </si>
  <si>
    <t>Elisabeth-Abegg-Stra√üe 1, Berlin, 10557</t>
  </si>
  <si>
    <t>https://zollpackhof.de/</t>
  </si>
  <si>
    <t>mail@zollpackhof.de</t>
  </si>
  <si>
    <t>+49 30 33099720</t>
  </si>
  <si>
    <t>facebook: https://www.facebook.com/Zollpackhof, tiktok: https://www.tiktok.com/@zollpackhof, instagram: https://www.instagram.com/zollpackhof, twitter: https://twitter.com/zollpackhof1</t>
  </si>
  <si>
    <t>Schleusenkrug</t>
  </si>
  <si>
    <t>M√ºller-Breslau-Stra√üe 1, Berlin, 10623</t>
  </si>
  <si>
    <t>http://www.schleusenkrug.de</t>
  </si>
  <si>
    <t>kontakt@schleusenkrug.de</t>
  </si>
  <si>
    <t>instagram: https://www.instagram.com/schleusenkrugberlin/</t>
  </si>
  <si>
    <t>Britzer M√ºhle</t>
  </si>
  <si>
    <t>Buckower Damm 130, Berlin, 12349</t>
  </si>
  <si>
    <t>https://www.britzermuehle.de</t>
  </si>
  <si>
    <t>info@britzermuehle.de</t>
  </si>
  <si>
    <t>+49 30 6041819</t>
  </si>
  <si>
    <t>Schloss Britz</t>
  </si>
  <si>
    <t>Alt-Britz 73, Berlin, 12359</t>
  </si>
  <si>
    <t>http://www.schloss-britz-berlin.de/</t>
  </si>
  <si>
    <t>schlossbritz@estrel.com</t>
  </si>
  <si>
    <t>+49 30 6097 5039</t>
  </si>
  <si>
    <t>facebook: http://www.facebook.com/pages/Azubi-Projekt-Schloss-Britz/372013131270</t>
  </si>
  <si>
    <t>R√ºya Gem√ºse Kebab</t>
  </si>
  <si>
    <t>Berlin, 10585</t>
  </si>
  <si>
    <t>Patatas</t>
  </si>
  <si>
    <t>https://patatasrestaurant.de</t>
  </si>
  <si>
    <t>info@patatasrestaurant.de</t>
  </si>
  <si>
    <t>facebook: https://www.facebook.com/patatasrestaurant/</t>
  </si>
  <si>
    <t>Restaurant Angkor Wat</t>
  </si>
  <si>
    <t>Paulstra√üe 22, Berlin, 10557</t>
  </si>
  <si>
    <t>https://www.angkorwatrestaurant.de/</t>
  </si>
  <si>
    <t>athos.berlin@gmail.com</t>
  </si>
  <si>
    <t>+49 30 3933922</t>
  </si>
  <si>
    <t>Wirtshaus Zur Pfaueninsel</t>
  </si>
  <si>
    <t>Pfaueninselchaussee 100, Berlin, 14109</t>
  </si>
  <si>
    <t>https://www.pfaueninsel.de/</t>
  </si>
  <si>
    <t>info@pfaueninsel.de</t>
  </si>
  <si>
    <t>+49 30 8052225</t>
  </si>
  <si>
    <t>facebook: https://www.facebook.com/wirtshauspfaueninsel/</t>
  </si>
  <si>
    <t>Trattoria Piazza Siciliana</t>
  </si>
  <si>
    <t>Lindenthaler Allee 46, Berlin, 14163</t>
  </si>
  <si>
    <t>http://www.trattoria-piazza-siciliana.de</t>
  </si>
  <si>
    <t>tratt.p-siciliana@hotmail.com</t>
  </si>
  <si>
    <t>+49 30 23944046</t>
  </si>
  <si>
    <t>facebook: https://www.facebook.com/Trattoria-Piazza-Siciliana-504248886429397/</t>
  </si>
  <si>
    <t>Kante</t>
  </si>
  <si>
    <t>Skalitzer Stra√üe 64, Berlin, 10997</t>
  </si>
  <si>
    <t>https://www.kante.berlin/</t>
  </si>
  <si>
    <t>Restaurant Freischwimmer</t>
  </si>
  <si>
    <t>Vor dem Schlesischen Tor 2, Berlin, 10997</t>
  </si>
  <si>
    <t>https://www.freischwimmer-berlin.com</t>
  </si>
  <si>
    <t>ahoi@freischwimmer-berlin.com</t>
  </si>
  <si>
    <t>+49 30 61074309</t>
  </si>
  <si>
    <t>cielo di berlino</t>
  </si>
  <si>
    <t>Monumentenstra√üe 31, Berlin, 10829</t>
  </si>
  <si>
    <t>+49 30 78001738</t>
  </si>
  <si>
    <t>Doree 65</t>
  </si>
  <si>
    <t>Torfstra√üe 9, Berlin, 13353</t>
  </si>
  <si>
    <t>https://www.doree-berlin.de</t>
  </si>
  <si>
    <t>+49 30 91546566</t>
  </si>
  <si>
    <t>Bardolino</t>
  </si>
  <si>
    <t>Wedellstra√üe 31, Berlin, 12249</t>
  </si>
  <si>
    <t>Restaurant Rhodos</t>
  </si>
  <si>
    <t>Richterstra√üe 9, Berlin, 12526</t>
  </si>
  <si>
    <t>https://www.rhodos-berlin.de/</t>
  </si>
  <si>
    <t>info@lecanardberlin.de</t>
  </si>
  <si>
    <t>+49 30 67689577</t>
  </si>
  <si>
    <t>Sch√∂n 14</t>
  </si>
  <si>
    <t>Sch√∂neberger Stra√üe 14, Berlin, 12163</t>
  </si>
  <si>
    <t>https://schoen14.de/</t>
  </si>
  <si>
    <t>Alter Krug</t>
  </si>
  <si>
    <t>K√∂nigin-Luise-Stra√üe 52, Berlin, 14195</t>
  </si>
  <si>
    <t>https://altensteinerkrug.com/</t>
  </si>
  <si>
    <t>info@zum-alten-krug-rudow.de</t>
  </si>
  <si>
    <t>+4930 6633022</t>
  </si>
  <si>
    <t>Mario</t>
  </si>
  <si>
    <t>S√ºdwestkorso 10, Berlin, 12161</t>
  </si>
  <si>
    <t>Schneewei√ü</t>
  </si>
  <si>
    <t>Simplonstra√üe 16, Berlin, 10245</t>
  </si>
  <si>
    <t>https://www.schneeweiss-berlin.de/</t>
  </si>
  <si>
    <t>info@schneeweiss-berlin.de</t>
  </si>
  <si>
    <t>+49 30 29049704</t>
  </si>
  <si>
    <t>facebook: https://www.facebook.com/schneeweiss.berlin, instagram: https://www.instagram.com/schneeweiss.berlin</t>
  </si>
  <si>
    <t>Alte Turnhalle Berlin</t>
  </si>
  <si>
    <t>Holteistra√üe 6-9, Berlin, 10245</t>
  </si>
  <si>
    <t>https://www.dieturnhalle.de/</t>
  </si>
  <si>
    <t>info@alte-turnhalle-berlin.de</t>
  </si>
  <si>
    <t>+49 30 29364816</t>
  </si>
  <si>
    <t>instagram: https://www.instagram.com/alteturnhalle/, facebook: https://www.facebook.com/dieturnhalleberlin/</t>
  </si>
  <si>
    <t>Vereinszimmer</t>
  </si>
  <si>
    <t>Osteria N¬∫ 1</t>
  </si>
  <si>
    <t>Kreuzbergstra√üe 71, Berlin, 10965</t>
  </si>
  <si>
    <t>https://www.osteria-uno.eu</t>
  </si>
  <si>
    <t>2999info@osteria-uno.euOsteria</t>
  </si>
  <si>
    <t>Pagode</t>
  </si>
  <si>
    <t>https://pagode-thaifood.de/</t>
  </si>
  <si>
    <t>info@pagode-thaifood.de</t>
  </si>
  <si>
    <t>+49 30 69001374</t>
  </si>
  <si>
    <t>facebook: https://www.facebook.com/bergmannstr/, instagram: https://www.instagram.com/pagode_thai_kitchen/?hl=de</t>
  </si>
  <si>
    <t>Bootshaus</t>
  </si>
  <si>
    <t>Verl√§ngerte Uferpromenade 21, Berlin, 14089</t>
  </si>
  <si>
    <t>+49 30 25561644</t>
  </si>
  <si>
    <t>Chai Ji</t>
  </si>
  <si>
    <t>Rigaer Stra√üe 30, Berlin, 10247</t>
  </si>
  <si>
    <t>http://www.chaiji.de/</t>
  </si>
  <si>
    <t>info@chaiji.de</t>
  </si>
  <si>
    <t>+49 30 55205071</t>
  </si>
  <si>
    <t>facebook: https://www.facebook.com/chaijirestaurant, twitter: https://twitter.com/ChaiJi_Berlin</t>
  </si>
  <si>
    <t>J≈çnetsu</t>
  </si>
  <si>
    <t>Mainzer Stra√üe 10, Berlin, 10247</t>
  </si>
  <si>
    <t>https://www.j≈çnetsu.de/</t>
  </si>
  <si>
    <t>jonetsu2025@gmail.com</t>
  </si>
  <si>
    <t>Eatalian</t>
  </si>
  <si>
    <t>Mainzer Stra√üe 14, Berlin, 10247</t>
  </si>
  <si>
    <t>+49 30 39480414</t>
  </si>
  <si>
    <t>mausi.</t>
  </si>
  <si>
    <t>Richardplatz 1, Berlin, 12055</t>
  </si>
  <si>
    <t>Restaurant Villa Rixdorf</t>
  </si>
  <si>
    <t>Richardplatz 6, Berlin, 12055</t>
  </si>
  <si>
    <t>http://www.villa-rixdorf.com</t>
  </si>
  <si>
    <t>webmaster@xpoint.de</t>
  </si>
  <si>
    <t>+49 30 68086000</t>
  </si>
  <si>
    <t>Gambrinus</t>
  </si>
  <si>
    <t>Linienstra√üe 133, Berlin, 10115</t>
  </si>
  <si>
    <t>Sahoi</t>
  </si>
  <si>
    <t>Linienstra√üe 134</t>
  </si>
  <si>
    <t>https://www.sahoi.club/</t>
  </si>
  <si>
    <t>Amrit</t>
  </si>
  <si>
    <t>Oranienburger Stra√üe 45, Berlin, 10117</t>
  </si>
  <si>
    <t>https://www.amrit.de/</t>
  </si>
  <si>
    <t>info@amrit.de</t>
  </si>
  <si>
    <t>+49 30 28884840</t>
  </si>
  <si>
    <t>linkedin: https://www.linkedin.com/company/amrit-restaurants-berlin/, instagram: https://www.instagram.com/amrit_berlin/, facebook: https://www.facebook.com/amrit.berlin/, tiktok: https://www.tiktok.com/@amrit_berlin</t>
  </si>
  <si>
    <t>Uferlos</t>
  </si>
  <si>
    <t>Uferstra√üe 13, Berlin, 13357</t>
  </si>
  <si>
    <t>https://restaurantuferlos.de/</t>
  </si>
  <si>
    <t>+49 30 46600510</t>
  </si>
  <si>
    <t>Mensa FU Lankwitz Malteserstra√üe</t>
  </si>
  <si>
    <t>Malteserstra√üe 74, Berlin, 12249</t>
  </si>
  <si>
    <t>https://www.stw.berlin/mensen/mensa-fu-lankwitz-malteserstra√üe.html</t>
  </si>
  <si>
    <t>+49 30 93939 7512</t>
  </si>
  <si>
    <t>Homey</t>
  </si>
  <si>
    <t>M√ºllerstra√üe 70, Berlin, 13349</t>
  </si>
  <si>
    <t>https://www.homey-restaurant.de/</t>
  </si>
  <si>
    <t>info.homeyberlin@gmail.com</t>
  </si>
  <si>
    <t>+49 30 43722727</t>
  </si>
  <si>
    <t>Scorpion</t>
  </si>
  <si>
    <t>Tandoori</t>
  </si>
  <si>
    <t>Bizetstra√üe 121, Berlin, 13088</t>
  </si>
  <si>
    <t>http://www.tandoori-berlin.de/</t>
  </si>
  <si>
    <t>info@tandoori-berlin.deAdresse</t>
  </si>
  <si>
    <t>Il Castello</t>
  </si>
  <si>
    <t>Karower Stra√üe 1, Berlin, 13125</t>
  </si>
  <si>
    <t>https://www.il-castello-berlin.de/</t>
  </si>
  <si>
    <t>il-castello@web.de</t>
  </si>
  <si>
    <t>+49 30 9413740</t>
  </si>
  <si>
    <t>Fr√§ulein Kimchi</t>
  </si>
  <si>
    <t>G√ºrtelstra√üe 10, Berlin, 13088</t>
  </si>
  <si>
    <t>Plus Minus Null</t>
  </si>
  <si>
    <t>Gr√ºnberger Stra√üe 61, Berlin, 10245</t>
  </si>
  <si>
    <t>https://plusminusnull-berlin.de/</t>
  </si>
  <si>
    <t>info@plusminusnull-berlin.de</t>
  </si>
  <si>
    <t>+49 30 21239624</t>
  </si>
  <si>
    <t>Habana</t>
  </si>
  <si>
    <t>Gr√ºnberger Stra√üe 57, Berlin, 10245</t>
  </si>
  <si>
    <t>https://www.habana.berlin/</t>
  </si>
  <si>
    <t>Hannibal</t>
  </si>
  <si>
    <t>G√§rtnerstra√üe 29a, Berlin, 10245</t>
  </si>
  <si>
    <t>il Ritrovo</t>
  </si>
  <si>
    <t>Gabriel-Max-Stra√üe 2, Berlin, 10245</t>
  </si>
  <si>
    <t>https://ritrovo.de</t>
  </si>
  <si>
    <t>+49 30 29364130</t>
  </si>
  <si>
    <t>Lemongrass</t>
  </si>
  <si>
    <t>Simon-Dach-Stra√üe 2, Berlin, 10245</t>
  </si>
  <si>
    <t>https://lemongrass.berlin</t>
  </si>
  <si>
    <t>+49 30 34623307</t>
  </si>
  <si>
    <t>TAT</t>
  </si>
  <si>
    <t>Niederbarnimstr. 17, Berlin, 10247</t>
  </si>
  <si>
    <t>https://tat-berlin.de</t>
  </si>
  <si>
    <t>info@tat-berlin.de</t>
  </si>
  <si>
    <t>facebook: https://www.facebook.com/tat.restaurant.berlin, instagram: https://www.instagram.com/tat.restaurant.berlin</t>
  </si>
  <si>
    <t>Vegan Garden</t>
  </si>
  <si>
    <t>Frankfurter Allee 21, Berlin, 10247</t>
  </si>
  <si>
    <t>https://vegan-garden.berlin/</t>
  </si>
  <si>
    <t>+49 30 21237260</t>
  </si>
  <si>
    <t>facebook: https://www.facebook.com/vegangarden21</t>
  </si>
  <si>
    <t>Koy</t>
  </si>
  <si>
    <t>Rigaer Stra√üe 26, Berlin, 10247</t>
  </si>
  <si>
    <t>https://koy-restaurant.de</t>
  </si>
  <si>
    <t>+49 30 40043988</t>
  </si>
  <si>
    <t>Tashkent</t>
  </si>
  <si>
    <t>Schreinerstra√üe 51, Berlin, 10247</t>
  </si>
  <si>
    <t>http://www.restaurant-anastasia.de</t>
  </si>
  <si>
    <t>+49 30 33916761</t>
  </si>
  <si>
    <t>Papaleo</t>
  </si>
  <si>
    <t>B√§nschstra√üe 67, Berlin, 10247</t>
  </si>
  <si>
    <t>https://www.papa-no.de/</t>
  </si>
  <si>
    <t>info@papa-no.de</t>
  </si>
  <si>
    <t>+49 30 20078820</t>
  </si>
  <si>
    <t>facebook: https://www.facebook.com/papanoberlin, instagram: https://www.instagram.com/papanoberlin/</t>
  </si>
  <si>
    <t>Asahi Sushi</t>
  </si>
  <si>
    <t>Berlin, 10247</t>
  </si>
  <si>
    <t>Shanghai</t>
  </si>
  <si>
    <t>Weichselstra√üe 36, Berlin, 10247</t>
  </si>
  <si>
    <t>+49 30 2945655</t>
  </si>
  <si>
    <t>Stara Kuƒáa</t>
  </si>
  <si>
    <t>Alt-Pichelsdorf 30-32, Berlin, 13595</t>
  </si>
  <si>
    <t>http://www.stara-kuca.de</t>
  </si>
  <si>
    <t>+49 30 36432887</t>
  </si>
  <si>
    <t>facebook: http://www.facebook.com/sharer.php?u=http%3A%2F%2Fwww.stara-kuca.de%2F, twitter: https://x.com/intent/tweet?url=http%3A%2F%2Fwww.stara-kuca.de%2F</t>
  </si>
  <si>
    <t>Lagunen-Eck</t>
  </si>
  <si>
    <t>Kurhaus Korsakow</t>
  </si>
  <si>
    <t>Gr√ºnberger Stra√üe 81, Berlin, 10245</t>
  </si>
  <si>
    <t>https://www.kurhaus-korsakow.de</t>
  </si>
  <si>
    <t>info@kurhaus-korsakow.de</t>
  </si>
  <si>
    <t>facebook: https://www.facebook.com/pages/Kurhaus-Korsakow/113962118663411</t>
  </si>
  <si>
    <t>Trattoria Cinque</t>
  </si>
  <si>
    <t>Euphoria</t>
  </si>
  <si>
    <t>Gr√ºnberger Stra√üe 60, Berlin, 10245</t>
  </si>
  <si>
    <t>https://www.euphoria-berlin.de/</t>
  </si>
  <si>
    <t>info@euphoria-berlin.de</t>
  </si>
  <si>
    <t>+49 30 29004683</t>
  </si>
  <si>
    <t>li.ke</t>
  </si>
  <si>
    <t>Gr√ºnberger Stra√üe 69, Berlin, 10245</t>
  </si>
  <si>
    <t>https://www.likethaivegan.de</t>
  </si>
  <si>
    <t>+49 30 29009428</t>
  </si>
  <si>
    <t>Akl√©</t>
  </si>
  <si>
    <t>Kopernikusstra√üe 22, Berlin, 10245</t>
  </si>
  <si>
    <t>Zeus Pizza &amp; Pide</t>
  </si>
  <si>
    <t>Boxhagener Stra√üe 30, Berlin, 10245</t>
  </si>
  <si>
    <t>https://www.zeuspizzeria.de/</t>
  </si>
  <si>
    <t>+49 30 29009100</t>
  </si>
  <si>
    <t>Hasir</t>
  </si>
  <si>
    <t>Adalbertstra√üe 10, Berlin, 10999</t>
  </si>
  <si>
    <t>http://www.hasir.de/</t>
  </si>
  <si>
    <t>info@hasir.de</t>
  </si>
  <si>
    <t>+49 30 614 23 73</t>
  </si>
  <si>
    <t>Aroma</t>
  </si>
  <si>
    <t>Kantstra√üe 35, Berlin, 10625</t>
  </si>
  <si>
    <t>https://www.aroma-kantstrasse.de/</t>
  </si>
  <si>
    <t>kontakt@roma-berlin.de</t>
  </si>
  <si>
    <t>Lalibela</t>
  </si>
  <si>
    <t>Herrfurthstra√üe 32, Berlin, 12049</t>
  </si>
  <si>
    <t>http://www.lalibelaberlin.de/</t>
  </si>
  <si>
    <t>info@vinoebasilico.com</t>
  </si>
  <si>
    <t>facebook: https://www.facebook.com/MchantalAfroSalon, twitter: https://www.x.com/selassie_alex, instagram: https://www.instagram.com/lalibela_ethiopia_restaurant/</t>
  </si>
  <si>
    <t>Cocochu</t>
  </si>
  <si>
    <t>Paul-Lincke-Ufer 23, Berlin, 10999</t>
  </si>
  <si>
    <t>Olivio</t>
  </si>
  <si>
    <t>Sch√∂nleinstra√üe 29</t>
  </si>
  <si>
    <t>La La</t>
  </si>
  <si>
    <t>Dieffenbachstra√üe 11, Berlin, 10967</t>
  </si>
  <si>
    <t>Melissa</t>
  </si>
  <si>
    <t>Corinthstra√üe 58, Berlin, 10245</t>
  </si>
  <si>
    <t>https://restaurant-mela.de/</t>
  </si>
  <si>
    <t>+49 30 29006638</t>
  </si>
  <si>
    <t>Athena Roma</t>
  </si>
  <si>
    <t>Jenny-Lind-Stra√üe 7, Berlin, 13189</t>
  </si>
  <si>
    <t>https://www.athena-roma.de/</t>
  </si>
  <si>
    <t>athena-roma@web.de</t>
  </si>
  <si>
    <t>+49 30 40 10 68 40</t>
  </si>
  <si>
    <t>Chay Long</t>
  </si>
  <si>
    <t>Graefestra√üe 20, Berlin, 10967</t>
  </si>
  <si>
    <t>https://www.nhat-long.de/</t>
  </si>
  <si>
    <t>kontakt@nhat-long.de</t>
  </si>
  <si>
    <t>+49 30 67962236</t>
  </si>
  <si>
    <t>Gastst√§tte G7</t>
  </si>
  <si>
    <t>Gatower Stra√üe 7, Berlin, 13595</t>
  </si>
  <si>
    <t>http://www.gaststaetteg7.de</t>
  </si>
  <si>
    <t>+49 30 35503107</t>
  </si>
  <si>
    <t>Trattoria Da Pia</t>
  </si>
  <si>
    <t>Naugarder Stra√üe 45 II, Berlin, 10409</t>
  </si>
  <si>
    <t>https://www.trattoria-da-pia.de</t>
  </si>
  <si>
    <t>info@trattoriadapizzo.de</t>
  </si>
  <si>
    <t>+49 30 966 080 44</t>
  </si>
  <si>
    <t>twitter: https://x.com/intent/follow?screen_name=ExpiredDomainHQ</t>
  </si>
  <si>
    <t>The Hummus Club</t>
  </si>
  <si>
    <t>Boxhagener Stra√üe 29, Berlin, 10245</t>
  </si>
  <si>
    <t>Burger Jam</t>
  </si>
  <si>
    <t>+49 30 48813614</t>
  </si>
  <si>
    <t>Asiana Village</t>
  </si>
  <si>
    <t>M√ºggelsee-Terrassen R√ºbezahl</t>
  </si>
  <si>
    <t>Pascarella</t>
  </si>
  <si>
    <t>Schl√ºterstra√üe 69, Berlin, 10625</t>
  </si>
  <si>
    <t>http://www.pascarella.de/</t>
  </si>
  <si>
    <t>George's Steakhouse</t>
  </si>
  <si>
    <t>https://georgessteakhouse.de/</t>
  </si>
  <si>
    <t>Berlin Burrito Company</t>
  </si>
  <si>
    <t>Kantstra√üe 51, Berlin, 10625</t>
  </si>
  <si>
    <t>https://www.berlin-burrito-company.de/</t>
  </si>
  <si>
    <t>info@berlin-burrito-company.de</t>
  </si>
  <si>
    <t>+49 30 55608087</t>
  </si>
  <si>
    <t>instagram: https://www.instagram.com/berlin_burrito_company/, tiktok: https://www.tiktok.com/@berlin_burrito_company, facebook: https://www.facebook.com/berlinburritocompany</t>
  </si>
  <si>
    <t>Da Mingiu</t>
  </si>
  <si>
    <t>J√§ger &amp; Lustig</t>
  </si>
  <si>
    <t>Gr√ºnberger Stra√üe 1, Berlin, 10243</t>
  </si>
  <si>
    <t>https://jaegerundlustig.de</t>
  </si>
  <si>
    <t>info@jaegerundlustig.de</t>
  </si>
  <si>
    <t>+49 30 29009912</t>
  </si>
  <si>
    <t>facebook: https://www.facebook.com/JaegerundLustig, instagram: https://www.instagram.com/jaegerundlustig/</t>
  </si>
  <si>
    <t>Plancha II</t>
  </si>
  <si>
    <t>Seegefelder Stra√üe 82, Berlin, 13583</t>
  </si>
  <si>
    <t>https://plancha-spandau.de/</t>
  </si>
  <si>
    <t>love-ahmad@hotmail.de</t>
  </si>
  <si>
    <t>+49 30 35304415</t>
  </si>
  <si>
    <t>Sch√ºtzen-Wirtin</t>
  </si>
  <si>
    <t>http://schuetzen-wirtin.de/</t>
  </si>
  <si>
    <t>+49 30 37438807</t>
  </si>
  <si>
    <t>QBA</t>
  </si>
  <si>
    <t>http://www.qba-restaurant.de/</t>
  </si>
  <si>
    <t>Alimentari Totti</t>
  </si>
  <si>
    <t>Sch√∂nleinstra√üe 12, Berlin, 10967</t>
  </si>
  <si>
    <t>Il Casolare</t>
  </si>
  <si>
    <t>Grimmstra√üe 30, Berlin, 10967</t>
  </si>
  <si>
    <t>+49 30 69506610</t>
  </si>
  <si>
    <t>Rossini III</t>
  </si>
  <si>
    <t>Hultschiner Damm 238, Berlin, 12623</t>
  </si>
  <si>
    <t>https://www.ristorante-rossini-berlin.de/</t>
  </si>
  <si>
    <t>instagram: https://www.instagram.com/rossiniberlin</t>
  </si>
  <si>
    <t>Marjan Grill</t>
  </si>
  <si>
    <t>Bartningallee, Berlin, 10557</t>
  </si>
  <si>
    <t>http://marjan-grill.de/</t>
  </si>
  <si>
    <t>info@marjan-grill.de</t>
  </si>
  <si>
    <t>+49 30 3914976</t>
  </si>
  <si>
    <t>facebook: https://www.facebook.com/restaurant.marjan.grill.berlin</t>
  </si>
  <si>
    <t>Fourty Years</t>
  </si>
  <si>
    <t>Dieffenbachstra√üe 52, Berlin, 10967</t>
  </si>
  <si>
    <t>Bahar Restaurant</t>
  </si>
  <si>
    <t>Hauptstra√üe 112, Berlin, 10827</t>
  </si>
  <si>
    <t>https://bahar-berlin.de/</t>
  </si>
  <si>
    <t>info@agashotel.de</t>
  </si>
  <si>
    <t>+49 30 20889588</t>
  </si>
  <si>
    <t>Ristorante Pantalone</t>
  </si>
  <si>
    <t>Ristorante Da Guiliano</t>
  </si>
  <si>
    <t>Berliner Stra√üe 92, Berlin, 13507</t>
  </si>
  <si>
    <t>https://ristorante-avellino.de</t>
  </si>
  <si>
    <t>+49 30 505 669 80</t>
  </si>
  <si>
    <t>Hax`nhaus</t>
  </si>
  <si>
    <t>Restorante Pescara</t>
  </si>
  <si>
    <t>Falkenhagener Stra√üe 1, Berlin, 13585</t>
  </si>
  <si>
    <t>https://www.ristorante-pescara.de/</t>
  </si>
  <si>
    <t>+49 30 3354081</t>
  </si>
  <si>
    <t>Omonia Treff</t>
  </si>
  <si>
    <t>Sch√∂nwalder Stra√üe 111, Berlin, 13585</t>
  </si>
  <si>
    <t>+49 30 3361621</t>
  </si>
  <si>
    <t>Yes Haus</t>
  </si>
  <si>
    <t>Berliner Stra√üe 109, Berlin, 13467</t>
  </si>
  <si>
    <t>https://www.yeshaus-berlin.com/</t>
  </si>
  <si>
    <t>+49 30 39716012</t>
  </si>
  <si>
    <t>instagram: https://www.instagram.com/yeshaus/, facebook: https://www.facebook.com/share/1Bj3NNdFKL/?mibextid=wwXIfr</t>
  </si>
  <si>
    <t>Zum K√ºhlen Grunde</t>
  </si>
  <si>
    <t>Lotosweg 88, Berlin, 13467</t>
  </si>
  <si>
    <t>Gasthof Alter Dorfkrug L√ºbars</t>
  </si>
  <si>
    <t>Alt-L√ºbars 8, Berlin, 13469</t>
  </si>
  <si>
    <t>http://www.gasthof-alter-dorfkrug.de</t>
  </si>
  <si>
    <t>post@gasthof-alter-dorfkrug.de</t>
  </si>
  <si>
    <t>+49 30 92210230</t>
  </si>
  <si>
    <t>Graffiti</t>
  </si>
  <si>
    <t>Kurf√ºrstendamm 69, Berlin, 10707</t>
  </si>
  <si>
    <t>http://www.graffiti-kudamm.de/graffiti-kudamm</t>
  </si>
  <si>
    <t>+49 30 88001764</t>
  </si>
  <si>
    <t>Sotto</t>
  </si>
  <si>
    <t>Neue Hochstra√üe 25, Berlin, 13347</t>
  </si>
  <si>
    <t>https://otto-berlin.net</t>
  </si>
  <si>
    <t>pizzeriasotto@gmail.com</t>
  </si>
  <si>
    <t>+49 3074783419</t>
  </si>
  <si>
    <t>Julius</t>
  </si>
  <si>
    <t>Gerichtstra√üe 31, Berlin, 13347</t>
  </si>
  <si>
    <t>https://juliusberlin.de/</t>
  </si>
  <si>
    <t>reservations@juliusberlin.de</t>
  </si>
  <si>
    <t>Mehregan Maroufi Space</t>
  </si>
  <si>
    <t>Kantstra√üe 77, Berlin, 10627</t>
  </si>
  <si>
    <t>Rocco</t>
  </si>
  <si>
    <t>Kaiserdamm 109, Berlin, 14057</t>
  </si>
  <si>
    <t>http://rocco-charlottenburg.de/</t>
  </si>
  <si>
    <t>info@rocco-charlottenburg.de</t>
  </si>
  <si>
    <t>+49 30 30209515</t>
  </si>
  <si>
    <t>Il Giardino</t>
  </si>
  <si>
    <t>Hackerstra√üe 3, Berlin, 12161</t>
  </si>
  <si>
    <t>https://il-giardino-berlin.com</t>
  </si>
  <si>
    <t>+49 30 98430257</t>
  </si>
  <si>
    <t>Ristorante Italiano</t>
  </si>
  <si>
    <t>Landsberger Allee 101, Berlin, 10407</t>
  </si>
  <si>
    <t>https://italiano-ristorante.de/</t>
  </si>
  <si>
    <t>info@italiano-ristorante.de</t>
  </si>
  <si>
    <t>+49 30 4234236</t>
  </si>
  <si>
    <t>facebook: https://www.facebook.com/RistoranteItalianoseit1995</t>
  </si>
  <si>
    <t>Viet Bowl</t>
  </si>
  <si>
    <t>Stra√ümannstra√üe 41, Berlin, 10249</t>
  </si>
  <si>
    <t>https://www.vietbowl.de/</t>
  </si>
  <si>
    <t>boehmischerplatz@vietbowl.de</t>
  </si>
  <si>
    <t>Restaurant Meteora</t>
  </si>
  <si>
    <t>Jacobsohnstra√üe 23, Berlin, 13086</t>
  </si>
  <si>
    <t>https://www.platon-berlin.de/</t>
  </si>
  <si>
    <t>info@platon-berlin.de</t>
  </si>
  <si>
    <t>+49 30 89656223</t>
  </si>
  <si>
    <t>Lakeside</t>
  </si>
  <si>
    <t>Wilkestra√üe 1, Berlin, 13507</t>
  </si>
  <si>
    <t>http://www.tegeler-seeterrassen.de</t>
  </si>
  <si>
    <t>info@tegeler-seeterrassen.de</t>
  </si>
  <si>
    <t>+49 30 4338001</t>
  </si>
  <si>
    <t>Krua Thai</t>
  </si>
  <si>
    <t>Luxemburger Stra√üe 4, Berlin, 13353</t>
  </si>
  <si>
    <t>Green Curve</t>
  </si>
  <si>
    <t>Volmerstra√üe 9, Berlin, 12489</t>
  </si>
  <si>
    <t>https://vecu-berlin.com/green-curve-berlin</t>
  </si>
  <si>
    <t>facebook: https://www.facebook.com/vecuberlin/, instagram: https://www.instagram.com/vecu_berlin/</t>
  </si>
  <si>
    <t>Nawab</t>
  </si>
  <si>
    <t>M√ºhsamstra√üe 45, Berlin, 10249</t>
  </si>
  <si>
    <t>Pomodorino</t>
  </si>
  <si>
    <t>Stra√ümannstra√üe 21, Berlin, 10249</t>
  </si>
  <si>
    <t>https://www.pomodorino.de</t>
  </si>
  <si>
    <t>restaurant.il.pomodorino@gmail.com</t>
  </si>
  <si>
    <t>+49 30 60930449</t>
  </si>
  <si>
    <t>Hee Lam Mun</t>
  </si>
  <si>
    <t>http://www.heelammun.de/</t>
  </si>
  <si>
    <t>Viale dei Tigli</t>
  </si>
  <si>
    <t>Wilhelmstra√üe 75, Berlin, 10117</t>
  </si>
  <si>
    <t>http://www.ristorante-viale.de/</t>
  </si>
  <si>
    <t>+49 30 2297405</t>
  </si>
  <si>
    <t>Erdton Zen</t>
  </si>
  <si>
    <t>Friedrichsberger Stra√üe 39 / 1, Berlin, 10249</t>
  </si>
  <si>
    <t>Qadmous</t>
  </si>
  <si>
    <t>Am Friedrichshain 1, Berlin, 10407</t>
  </si>
  <si>
    <t>https://www.qadmous.de/</t>
  </si>
  <si>
    <t>info@qadmous.de</t>
  </si>
  <si>
    <t>+49 30 4246255</t>
  </si>
  <si>
    <t>instagram: https://www.instagram.com/qadmousberlin/?hl=de</t>
  </si>
  <si>
    <t>Lang Van II</t>
  </si>
  <si>
    <t>Karl-Marx-Allee 108, Berlin, 10243</t>
  </si>
  <si>
    <t>Nauta</t>
  </si>
  <si>
    <t>Kastanienallee 49, Berlin, 10119</t>
  </si>
  <si>
    <t>http://nautaberlin.com/</t>
  </si>
  <si>
    <t>event@nautaberlin.com</t>
  </si>
  <si>
    <t>+49 30 48492651</t>
  </si>
  <si>
    <t>instagram: https://www.instagram.com/nautaberlin/, facebook: https://www.facebook.com/nautaberlin/</t>
  </si>
  <si>
    <t>Aapka</t>
  </si>
  <si>
    <t>Kastanienallee 50, Berlin, 10119</t>
  </si>
  <si>
    <t>http://www.aapka.de/</t>
  </si>
  <si>
    <t>+49 30 44010494</t>
  </si>
  <si>
    <t>Dubrovnik-Grill</t>
  </si>
  <si>
    <t>Berliner Stra√üe 54, Berlin, 13507</t>
  </si>
  <si>
    <t>Cantina</t>
  </si>
  <si>
    <t>W Der Imbiss</t>
  </si>
  <si>
    <t>Kastanienallee 49, 10119</t>
  </si>
  <si>
    <t>https://w-derimbiss.de/</t>
  </si>
  <si>
    <t>Al Parco</t>
  </si>
  <si>
    <t>Danziger Stra√üe 209, Berlin, 10407</t>
  </si>
  <si>
    <t>Sportsbar</t>
  </si>
  <si>
    <t>Blaue Adria</t>
  </si>
  <si>
    <t>Happy Buddha</t>
  </si>
  <si>
    <t>Marienfelder Allee 145, 12279</t>
  </si>
  <si>
    <t>Colombina</t>
  </si>
  <si>
    <t>Marienfelder Allee 146, 12279</t>
  </si>
  <si>
    <t>https://colombina.eatbu.com/?lang=de</t>
  </si>
  <si>
    <t>Giorgio9905@gmail.com</t>
  </si>
  <si>
    <t>instagram: https://instagram.com/ristorantecolombina?igshid=YmMyMTA2M2Y=</t>
  </si>
  <si>
    <t>Adrijana Grill</t>
  </si>
  <si>
    <t>Potsdamer Chaussee 36d, Berlin, 14129</t>
  </si>
  <si>
    <t>http://www.adria-grill-berlin.de/</t>
  </si>
  <si>
    <t>+49 30 7725895</t>
  </si>
  <si>
    <t>La Luna</t>
  </si>
  <si>
    <t>Spreewaldplatz 6, Berlin, 10999</t>
  </si>
  <si>
    <t>https://laluna-berlin.eatbu.com/</t>
  </si>
  <si>
    <t>vlora_hasani90@outlook.de</t>
  </si>
  <si>
    <t>+49 30 8521069</t>
  </si>
  <si>
    <t>Palace</t>
  </si>
  <si>
    <t>Spandauer Damm 3, Berlin, 14059</t>
  </si>
  <si>
    <t>La Bigoud√®ne</t>
  </si>
  <si>
    <t>Zionskirchstra√üe 28, Berlin, 10119</t>
  </si>
  <si>
    <t>http://www.labigoudene.de</t>
  </si>
  <si>
    <t>info@labigoudene.de</t>
  </si>
  <si>
    <t>facebook: http://www.facebook.com/pages/La-Bigoud%C3%A8ne/234033910027145</t>
  </si>
  <si>
    <t>Atame</t>
  </si>
  <si>
    <t>Dircksenstra√üe 40, Berlin, 10178</t>
  </si>
  <si>
    <t>https://www.atame-berlin.de/</t>
  </si>
  <si>
    <t>+49 30 98390591</t>
  </si>
  <si>
    <t>Hangi Sushi</t>
  </si>
  <si>
    <t>La Focacceria</t>
  </si>
  <si>
    <t>Fehrbelliner Stra√üe 24, Berlin, 10119</t>
  </si>
  <si>
    <t>Thai Sushi &amp; More</t>
  </si>
  <si>
    <t>Zionskirchstra√üe 44, Berlin, 10119</t>
  </si>
  <si>
    <t>Satyam</t>
  </si>
  <si>
    <t>Goethestra√üe 5, Berlin, 10623</t>
  </si>
  <si>
    <t>http://www.mysatyam.de/</t>
  </si>
  <si>
    <t>info@mysatyam.de</t>
  </si>
  <si>
    <t>+49 30 31806111</t>
  </si>
  <si>
    <t>instagram: https://www.instagram.com/vegansatyam/</t>
  </si>
  <si>
    <t>Moghul</t>
  </si>
  <si>
    <t>Akazienstra√üe 5, Berlin, 10823</t>
  </si>
  <si>
    <t>http://moghul-berlin.de</t>
  </si>
  <si>
    <t>papaya</t>
  </si>
  <si>
    <t>S√ºdstern 14, Berlin, 10965</t>
  </si>
  <si>
    <t>https://www.papaya-service.de/suedstern/</t>
  </si>
  <si>
    <t>info@papaya-suedstern.de</t>
  </si>
  <si>
    <t>+49 3057794199</t>
  </si>
  <si>
    <t>St√§ndige Vertretung</t>
  </si>
  <si>
    <t>Schiffbauerdamm 8, Berlin, 10117</t>
  </si>
  <si>
    <t>https://www.staev.de</t>
  </si>
  <si>
    <t>info@staev.de</t>
  </si>
  <si>
    <t>+49 30 2823965</t>
  </si>
  <si>
    <t>Adonia</t>
  </si>
  <si>
    <t>Albrechtstra√üe 14b, Berlin, 10117</t>
  </si>
  <si>
    <t>Volver</t>
  </si>
  <si>
    <t>Luisenstra√üe 41, Berlin, 10117</t>
  </si>
  <si>
    <t>http://www.volver-tapas.de/</t>
  </si>
  <si>
    <t>michael@volver-tapas.berlin</t>
  </si>
  <si>
    <t>Vaporetto</t>
  </si>
  <si>
    <t>Albrechtstra√üe 12, Berlin, 10117</t>
  </si>
  <si>
    <t>https://www.vaporetto-berlin.de</t>
  </si>
  <si>
    <t>info@vaporetto-berlin.com</t>
  </si>
  <si>
    <t>+49 30 27594623</t>
  </si>
  <si>
    <t>Anand</t>
  </si>
  <si>
    <t>Albrechtstra√üe 12, 10117</t>
  </si>
  <si>
    <t>https://restaurant-anand.de/</t>
  </si>
  <si>
    <t>info@restaurant-anand.de</t>
  </si>
  <si>
    <t>+49 30 40054759</t>
  </si>
  <si>
    <t>instagram: https://instagram.com/anandberlin?igshid=YmMyMTA2M2Y=</t>
  </si>
  <si>
    <t>Vapiano</t>
  </si>
  <si>
    <t>Rathausstra√üe 6, Berlin, 10178</t>
  </si>
  <si>
    <t>https://de.vapiano.com/de/nc/restaurants/vapiano-berlin-1-augsburger-strasse-43-1/</t>
  </si>
  <si>
    <t>berlin1@vapiano.de</t>
  </si>
  <si>
    <t>Cinque</t>
  </si>
  <si>
    <t>Reinhardtstra√üe 27 D, Berlin, 10117</t>
  </si>
  <si>
    <t>https://www.ristorante-cinque.de/</t>
  </si>
  <si>
    <t>info@ristorante-cinque.de</t>
  </si>
  <si>
    <t>+49 30 28096224</t>
  </si>
  <si>
    <t>instagram: https://www.instagram.com/ristorante_cinque/</t>
  </si>
  <si>
    <t>Dehlers</t>
  </si>
  <si>
    <t>Reinhardtstra√üe 14, Berlin, 10117</t>
  </si>
  <si>
    <t>Van-Long</t>
  </si>
  <si>
    <t>http://www.van-long.de/</t>
  </si>
  <si>
    <t>2823570info@van-long.deOpening</t>
  </si>
  <si>
    <t>Akito</t>
  </si>
  <si>
    <t>Bombay</t>
  </si>
  <si>
    <t>Friedrichstra√üe 106c, Berlin, 10117</t>
  </si>
  <si>
    <t>https://www.bombay-berlin.de/</t>
  </si>
  <si>
    <t>kontakt@bombay-berlin.de</t>
  </si>
  <si>
    <t>+49 30 28484953</t>
  </si>
  <si>
    <t>facebook: https://www.facebook.com/wix, instagram: https://www.instagram.com/bombay_berlin/</t>
  </si>
  <si>
    <t>Peter Pane</t>
  </si>
  <si>
    <t>Friedrichstra√üe 101, Berlin, 10117</t>
  </si>
  <si>
    <t>https://peterpane.de/standorte/berlin/friedrichstrasse/</t>
  </si>
  <si>
    <t>schloss@peterpane.de</t>
  </si>
  <si>
    <t>+49 30 20679063</t>
  </si>
  <si>
    <t>Saigon Kitchen 1985</t>
  </si>
  <si>
    <t>Kaiser-Wilhelm-Stra√üe 3, Berlin, 12247</t>
  </si>
  <si>
    <t>La Montanara</t>
  </si>
  <si>
    <t>Leonorenstra√üe 67, Berlin, 12247</t>
  </si>
  <si>
    <t>http://www.montanara.de/</t>
  </si>
  <si>
    <t>rocco@montanara.de</t>
  </si>
  <si>
    <t>+49 30 7741729</t>
  </si>
  <si>
    <t>Zoki's</t>
  </si>
  <si>
    <t>Lokal</t>
  </si>
  <si>
    <t>Linienstra√üe 160, 10115</t>
  </si>
  <si>
    <t>http://lokal-berlin.blogspot.com</t>
  </si>
  <si>
    <t>+49 30 28449500</t>
  </si>
  <si>
    <t>B√∂tzow Privat</t>
  </si>
  <si>
    <t>Linienstra√üe 113, Berlin, 10115</t>
  </si>
  <si>
    <t>https://www.boetzow-privat.de</t>
  </si>
  <si>
    <t>+49 30 28095390</t>
  </si>
  <si>
    <t>Brechts</t>
  </si>
  <si>
    <t>Schiffbauerdamm 6-7, Berlin, 10117</t>
  </si>
  <si>
    <t>https://www.brechts.de</t>
  </si>
  <si>
    <t>reservierung@brechts.de</t>
  </si>
  <si>
    <t>+49 30 27572037</t>
  </si>
  <si>
    <t>facebook: https://www.facebook.com/BrechtsRestaurant/, instagram: https://www.instagram.com/brechts.steakhaus/</t>
  </si>
  <si>
    <t>Ganymed</t>
  </si>
  <si>
    <t>Schiffbauerdamm 5, Berlin, 10117</t>
  </si>
  <si>
    <t>https://www.ganymed-brasserie.de/</t>
  </si>
  <si>
    <t>reservierung@ganymed-brasserie.de</t>
  </si>
  <si>
    <t>facebook: https://www.facebook.com/GanymedBrasserie/, instagram: https://www.instagram.com/ganymed.brasserie/</t>
  </si>
  <si>
    <t>Bonjour Vietnam</t>
  </si>
  <si>
    <t>Rosmarinstra√üe 8, 10117</t>
  </si>
  <si>
    <t>https://www.bonjourvietnam.berlin/</t>
  </si>
  <si>
    <t>+49 30 31165537</t>
  </si>
  <si>
    <t>3 minutes sur mer</t>
  </si>
  <si>
    <t>Torstra√üe 167, Berlin, 10115</t>
  </si>
  <si>
    <t>https://www.3minutessurmer.de/</t>
  </si>
  <si>
    <t>+49 30 67302052</t>
  </si>
  <si>
    <t>facebook: http://www.facebook.com/3minutessurmer</t>
  </si>
  <si>
    <t>Landhaus Botanischer Garten</t>
  </si>
  <si>
    <t>http://www.applefood.de/landhaus/</t>
  </si>
  <si>
    <t>Piaggio</t>
  </si>
  <si>
    <t>K√∂nigin-Luise-Stra√üe 44, Berlin, 14195</t>
  </si>
  <si>
    <t>http://www.ristorante-piaggio.de/</t>
  </si>
  <si>
    <t>info@ristorante-piaggio.de</t>
  </si>
  <si>
    <t>+49 30 83202266</t>
  </si>
  <si>
    <t>Nett</t>
  </si>
  <si>
    <t>Rheingaustra√üe 1, Berlin, 12161</t>
  </si>
  <si>
    <t>Macedonia</t>
  </si>
  <si>
    <t>Hans-Sachs-Stra√üe 4f, Berlin, 12205</t>
  </si>
  <si>
    <t>http://www.restaurant-macedonia.com/</t>
  </si>
  <si>
    <t>res.macedonia_berlin@yahoo.de</t>
  </si>
  <si>
    <t>+49 30 833 9633</t>
  </si>
  <si>
    <t>Pino</t>
  </si>
  <si>
    <t>Rheingaustra√üe 14, Berlin, 12161</t>
  </si>
  <si>
    <t>https://restaurant-pino.de/</t>
  </si>
  <si>
    <t>info@restaurant-pino.de</t>
  </si>
  <si>
    <t>+49 30 34067407</t>
  </si>
  <si>
    <t>instagram: https://www.instagram.com/pino.berlin/, facebook: https://www.facebook.com/restaurantpinoberlin</t>
  </si>
  <si>
    <t>Cafe Surf Inn</t>
  </si>
  <si>
    <t>Parallelstra√üe 11, Berlin, 12209</t>
  </si>
  <si>
    <t>https://cafe-surf-inn.eatbu.com/</t>
  </si>
  <si>
    <t>rouvi@t-online.de</t>
  </si>
  <si>
    <t>facebook: https://www.facebook.com/cafesurfinnberlin, instagram: https://www.instagram.com/cafesurfinn/?hl=de</t>
  </si>
  <si>
    <t>Opera Italiana</t>
  </si>
  <si>
    <t>Spandauer Damm 5, Berlin, 14059</t>
  </si>
  <si>
    <t>http://www.opera-italiana.com</t>
  </si>
  <si>
    <t>mangiare@opera-italiana.comFRISCHE</t>
  </si>
  <si>
    <t>+49 30 34703626</t>
  </si>
  <si>
    <t>facebook: https://www.facebook.com/people/Opera-Italiana/100063485835736/, instagram: https://www.instagram.com/opera.italiana.berlin/</t>
  </si>
  <si>
    <t>La Trattoria Toscana</t>
  </si>
  <si>
    <t>Schlo√üstra√üe 45, Berlin, 14059</t>
  </si>
  <si>
    <t>https://www.speisekarte.de/berlin/restaurant/la_trattoria_toscana</t>
  </si>
  <si>
    <t>info@trattoria-toscana-im-grunewald.de</t>
  </si>
  <si>
    <t>+49 30 89540715</t>
  </si>
  <si>
    <t>instagram: https://www.instagram.com/speisekarte.de/, facebook: https://www.facebook.com/speisekarte.de</t>
  </si>
  <si>
    <t>Restaurant Gourmet Sud</t>
  </si>
  <si>
    <t>Selmaplatz 1, Berlin, 14163</t>
  </si>
  <si>
    <t>https://www.gourmet-sud-berlin.de/</t>
  </si>
  <si>
    <t>info@gourmet-sud-berlin.de</t>
  </si>
  <si>
    <t>+49 30 8134124</t>
  </si>
  <si>
    <t>instagram: https://www.instagram.com/gourmet.sud/</t>
  </si>
  <si>
    <t>Pirosmani</t>
  </si>
  <si>
    <t>Lausitzer Platz 12, Berlin, 10997</t>
  </si>
  <si>
    <t>Bistro</t>
  </si>
  <si>
    <t>M√äLI</t>
  </si>
  <si>
    <t>Edisonstra√üe 34, Berlin, 12459</t>
  </si>
  <si>
    <t>+49 30 91513000</t>
  </si>
  <si>
    <t>Stella del K√∂p</t>
  </si>
  <si>
    <t>An der Wuhlheide 228B, Berlin, 12459</t>
  </si>
  <si>
    <t>http://www.ilkoep.de/</t>
  </si>
  <si>
    <t>Standard Pizza</t>
  </si>
  <si>
    <t>Templiner Stra√üe 7, Berlin, 10119</t>
  </si>
  <si>
    <t>https://www.standard-berlin.de</t>
  </si>
  <si>
    <t>hello@standard-berlin.de</t>
  </si>
  <si>
    <t>+49 30 48625614</t>
  </si>
  <si>
    <t>instagram: https://www.instagram.com/standardseriouspizza/, facebook: https://www.facebook.com/standardberlinpizza</t>
  </si>
  <si>
    <t>Zen Garden</t>
  </si>
  <si>
    <t>Wiesenschlag 4, Berlin, 14129</t>
  </si>
  <si>
    <t>https://zen-garden-berlin.de/</t>
  </si>
  <si>
    <t>+49 30 75650305</t>
  </si>
  <si>
    <t>Golden Garden</t>
  </si>
  <si>
    <t>Thomas-Eck</t>
  </si>
  <si>
    <t>Pestalozzistra√üe 25, Berlin, 10627</t>
  </si>
  <si>
    <t>https://www.thomaseck.com</t>
  </si>
  <si>
    <t>+49 30 3128742</t>
  </si>
  <si>
    <t>facebook: https://www.facebook.com/ThomasEckBerlin, instagram: https://www.instagram.com/invites/contact/?i=ce7v1m1ggf27&amp;utm_content=os7z0n7</t>
  </si>
  <si>
    <t>Wernesgr√ºner B</t>
  </si>
  <si>
    <t>Treskowallee 68, Berlin, 10318</t>
  </si>
  <si>
    <t>https://www.wernesgruener-b.de/</t>
  </si>
  <si>
    <t>facebook: http://www.facebook.com/WernesgruenerB</t>
  </si>
  <si>
    <t>Anna Kim</t>
  </si>
  <si>
    <t>Treskowallee 65, Berlin, 10318</t>
  </si>
  <si>
    <t>https://www.ha-c-vietnamesiche-kueche-sushi-berlin.de/</t>
  </si>
  <si>
    <t>+49 30 50159890</t>
  </si>
  <si>
    <t>Ristorante Pizzeria Dino</t>
  </si>
  <si>
    <t>Pestalozzistra√üe 88, Berlin, 10625</t>
  </si>
  <si>
    <t>https://www.pizzeriaristorantedino.de</t>
  </si>
  <si>
    <t>ristorantepizzeriadino@gmail.com</t>
  </si>
  <si>
    <t>+49 30 3123739</t>
  </si>
  <si>
    <t>Don Giovanni</t>
  </si>
  <si>
    <t>Alt-Moabit 129, Berlin, 10557</t>
  </si>
  <si>
    <t>+49 30 39835610</t>
  </si>
  <si>
    <t>Die Schule</t>
  </si>
  <si>
    <t>Kastanienallee 82</t>
  </si>
  <si>
    <t>http://www.gls-berlin.com/restaurant</t>
  </si>
  <si>
    <t>restaurant@gls-berlin.com</t>
  </si>
  <si>
    <t>+49 30 780 089 550</t>
  </si>
  <si>
    <t>Kn√∂delwirtschaft Nord</t>
  </si>
  <si>
    <t>Stargarder Stra√üe 3, Berlin, 10437</t>
  </si>
  <si>
    <t>https://www.knoedelwirtschaft.de/nord</t>
  </si>
  <si>
    <t>sued@knoedelwirtschaft.de</t>
  </si>
  <si>
    <t>+49 30 30642829</t>
  </si>
  <si>
    <t>Van Hoa</t>
  </si>
  <si>
    <t>Stargarder Stra√üe 79, Berlin, 10437</t>
  </si>
  <si>
    <t>https://vanhoa-berlin.de/</t>
  </si>
  <si>
    <t>kontakt@vanhoa-berlin.de</t>
  </si>
  <si>
    <t>+49 30 40574197</t>
  </si>
  <si>
    <t>facebook: https://www.facebook.com/pages/Van%20Hoa/113044965424442/, instagram: https://www.instagram.com/vanhoaberlin/</t>
  </si>
  <si>
    <t>Rosati</t>
  </si>
  <si>
    <t>Bismarckstra√üe 88, Berlin, 10627</t>
  </si>
  <si>
    <t>http://www.rosati-berlin.de/</t>
  </si>
  <si>
    <t>kontakt@rosati-berlin.de</t>
  </si>
  <si>
    <t>Oriental</t>
  </si>
  <si>
    <t>Sch√∂nhauser Allee 127a, Berlin, 10437</t>
  </si>
  <si>
    <t>Sadhu</t>
  </si>
  <si>
    <t>Stargarder Stra√üe 60, Berlin, 10437</t>
  </si>
  <si>
    <t>https://www.sadhu3.de/</t>
  </si>
  <si>
    <t>+49 176 32872717</t>
  </si>
  <si>
    <t>Frau Mittenmang</t>
  </si>
  <si>
    <t>Rodenbergstra√üe 37, Berlin, 10439</t>
  </si>
  <si>
    <t>https://www.fraumittenmang.de</t>
  </si>
  <si>
    <t>info@fraumittenmang.de</t>
  </si>
  <si>
    <t>+49 152 21393678</t>
  </si>
  <si>
    <t>facebook: https://www.facebook.com/Restaurant.Frau.Mittenmang/, instagram: http://www.instagram.com/frau.mittenmang</t>
  </si>
  <si>
    <t>Pap√† Pane di Sorrento</t>
  </si>
  <si>
    <t>Ackerstra√üe 23, Berlin, 10115</t>
  </si>
  <si>
    <t>http://www.pap√†pane.com</t>
  </si>
  <si>
    <t>+49 30 28092701</t>
  </si>
  <si>
    <t>Asman</t>
  </si>
  <si>
    <t>Ackerstra√üe 20, Berlin, 10115</t>
  </si>
  <si>
    <t>https://www.restaurantsimran.de/</t>
  </si>
  <si>
    <t>simranrestaurant47@gmail.com</t>
  </si>
  <si>
    <t>facebook: https://www.facebook.com/restaurant.simran47/, instagram: https://www.instagram.com/restaurant.simran/</t>
  </si>
  <si>
    <t>Treffpunkt Berlin</t>
  </si>
  <si>
    <t>Mittelstra√üe 55, Berlin, 10117</t>
  </si>
  <si>
    <t>+49 30 204 1819</t>
  </si>
  <si>
    <t>44 Brekkie</t>
  </si>
  <si>
    <t>Gabriel-Max-Stra√üe 1, Berlin, 10245</t>
  </si>
  <si>
    <t>https://44brekkie.com</t>
  </si>
  <si>
    <t>Boccadoro</t>
  </si>
  <si>
    <t>Ferdinandstra√üe 15, Berlin, 12209</t>
  </si>
  <si>
    <t>https://www.boccadoro-berlin.de/</t>
  </si>
  <si>
    <t>info@boccadoro-berlin.de</t>
  </si>
  <si>
    <t>+4930 49989880</t>
  </si>
  <si>
    <t>Alimentari</t>
  </si>
  <si>
    <t>Italofritzen</t>
  </si>
  <si>
    <t>Friedrichstra√üe 106, Berlin</t>
  </si>
  <si>
    <t>http://italofritzen.com/</t>
  </si>
  <si>
    <t>+49 30 40520594</t>
  </si>
  <si>
    <t>Tugra</t>
  </si>
  <si>
    <t>Kurf√ºrstendamm 96, Berlin, 10709</t>
  </si>
  <si>
    <t>Siena</t>
  </si>
  <si>
    <t>Friedrich-Engels-Stra√üe 149, Berlin, 13158</t>
  </si>
  <si>
    <t>Salt &amp; Pepper</t>
  </si>
  <si>
    <t>Neue Bahnhofstra√üe 33, Berlin, 10245</t>
  </si>
  <si>
    <t>http://www.saltandpepper-berlin.de</t>
  </si>
  <si>
    <t>+49 30 50014034</t>
  </si>
  <si>
    <t>Pizzeria La Riviera</t>
  </si>
  <si>
    <t>Imchenallee 48, Berlin, 14089</t>
  </si>
  <si>
    <t>Viet Duc</t>
  </si>
  <si>
    <t>+49 30 34626407</t>
  </si>
  <si>
    <t>Poco Loco</t>
  </si>
  <si>
    <t>Alt-Karow 35, Berlin, 13125</t>
  </si>
  <si>
    <t>https://restaurant-pocoloco.de/</t>
  </si>
  <si>
    <t>info@restaurant-pocoloco.de</t>
  </si>
  <si>
    <t>facebook: https://www.facebook.com/PocoLoco.PrenzlauerBerg, instagram: https://www.instagram.com/pocoloco.prenzlauerberg/</t>
  </si>
  <si>
    <t>Ristorante Da Giovanni</t>
  </si>
  <si>
    <t>Bismarckstra√üe 28, Berlin, 10625</t>
  </si>
  <si>
    <t>info@ristorantedongiovanni-berlin.de</t>
  </si>
  <si>
    <t>0.6000000000000001</t>
  </si>
  <si>
    <t>Neu Venedig</t>
  </si>
  <si>
    <t>Finkenweg 348, Berlin, 12589</t>
  </si>
  <si>
    <t>http://www.neuvenedig.de</t>
  </si>
  <si>
    <t>+49 30 6489309</t>
  </si>
  <si>
    <t>ChiMi asia fusion</t>
  </si>
  <si>
    <t>Behaimstra√üe 64, Berlin, 13086</t>
  </si>
  <si>
    <t>https://michirestaurant.de</t>
  </si>
  <si>
    <t>michirestaurant29@gmail.com</t>
  </si>
  <si>
    <t>+49 30 88926648</t>
  </si>
  <si>
    <t>Francucci‚Äôs Ristorante</t>
  </si>
  <si>
    <t>Kurf√ºrstendamm 90, Berlin, 10709</t>
  </si>
  <si>
    <t>http://www.francucci.com/</t>
  </si>
  <si>
    <t>info@francucci.com</t>
  </si>
  <si>
    <t>+49 30 3233318</t>
  </si>
  <si>
    <t>facebook: https://facebook.com/FrancucciRistorante, instagram: https://instagram.com/francucci_dal_1962</t>
  </si>
  <si>
    <t>Gasthaus Renger-Patzsch</t>
  </si>
  <si>
    <t>Wartburgstra√üe 54, Berlin, 10823</t>
  </si>
  <si>
    <t>https://www.renger-patzsch.com/</t>
  </si>
  <si>
    <t>info@renger-patzsch.com</t>
  </si>
  <si>
    <t>+49 30 7842059</t>
  </si>
  <si>
    <t>La Fattoria</t>
  </si>
  <si>
    <t>Grunewaldstra√üe 8, Berlin, 12165</t>
  </si>
  <si>
    <t>http://www.la-fattoria.berlin/</t>
  </si>
  <si>
    <t>info@la-fattoria.berlin</t>
  </si>
  <si>
    <t>+49 30 7914665</t>
  </si>
  <si>
    <t>facebook: https://www.facebook.com/LaFattoriaBerlinSteglitz/</t>
  </si>
  <si>
    <t>BigPan</t>
  </si>
  <si>
    <t>Dietzgenstra√üe 119, Berlin, 13158</t>
  </si>
  <si>
    <t>https://bigpan.berlin/</t>
  </si>
  <si>
    <t>bigpanpankow@gmail.com</t>
  </si>
  <si>
    <t>+49 30 12379168</t>
  </si>
  <si>
    <t>Sorrel</t>
  </si>
  <si>
    <t>Pannierstra√üe 40, Berlin, 12047</t>
  </si>
  <si>
    <t>https://www.sorrel.berlin/</t>
  </si>
  <si>
    <t>hello@sorrel.berlin</t>
  </si>
  <si>
    <t>Vamos!</t>
  </si>
  <si>
    <t>Winterfeldtstra√üe 42, Berlin, 10777</t>
  </si>
  <si>
    <t>https://vamos-berlin.de/winterfeldt/</t>
  </si>
  <si>
    <t>info@vamos-berlin.de</t>
  </si>
  <si>
    <t>Life Berlin</t>
  </si>
  <si>
    <t>Maybachufer 39, Berlin, 12047</t>
  </si>
  <si>
    <t>https://www.instagram.com/lifeberlinlife/</t>
  </si>
  <si>
    <t>+49 30 23561730</t>
  </si>
  <si>
    <t>Bagdad</t>
  </si>
  <si>
    <t>Schlesische Stra√üe 2, Berlin, 10997</t>
  </si>
  <si>
    <t>+49 30 6126962</t>
  </si>
  <si>
    <t>Golden Ginkgo</t>
  </si>
  <si>
    <t>Schlesische Stra√üe 35, 10997</t>
  </si>
  <si>
    <t>Ristorante Cascina</t>
  </si>
  <si>
    <t>Zum Torhaus</t>
  </si>
  <si>
    <t>Nordendstra√üe 46, Berlin, 13156</t>
  </si>
  <si>
    <t>https://zumtorhaus.de</t>
  </si>
  <si>
    <t>+49 30 9166114</t>
  </si>
  <si>
    <t>Schusterjunge</t>
  </si>
  <si>
    <t>http://www.zumschusterjungen.com/</t>
  </si>
  <si>
    <t>info@zumschusterjungen.com</t>
  </si>
  <si>
    <t>Asia Koy Restaurant</t>
  </si>
  <si>
    <t>Alt-Kaulsdorf 18, Berlin, 12621</t>
  </si>
  <si>
    <t>http://www.asia-koy-restaurant.de/</t>
  </si>
  <si>
    <t>Zur Letzten Instanz</t>
  </si>
  <si>
    <t>Waisenstra√üe 14-16, Berlin, 10179</t>
  </si>
  <si>
    <t>http://www.zurletzteninstanz.de</t>
  </si>
  <si>
    <t>post@zurletzteninstanz.de</t>
  </si>
  <si>
    <t>+49 30 2425528</t>
  </si>
  <si>
    <t>facebook: https://www.facebook.com/zurletzteninstanz, instagram: https://www.instagram.com/zurletzteninstanz/</t>
  </si>
  <si>
    <t>Thai Elephant</t>
  </si>
  <si>
    <t>Fasanenstra√üe 15, Berlin, 10623</t>
  </si>
  <si>
    <t>http://www.farang.de/sida/</t>
  </si>
  <si>
    <t>+49 30 88624853</t>
  </si>
  <si>
    <t>Hoppegarten</t>
  </si>
  <si>
    <t>Schlo√üstra√üe 56, Berlin, 12165</t>
  </si>
  <si>
    <t>https://www.hoppegarten-berlin.de</t>
  </si>
  <si>
    <t>holger.mielke@outlook.de</t>
  </si>
  <si>
    <t>+49 30 7918378</t>
  </si>
  <si>
    <t>facebook: https://www.facebook.com/Restaurant-Hoppegarten-117714521647010/?fref=ts</t>
  </si>
  <si>
    <t>L'Osteria Del Parlamento</t>
  </si>
  <si>
    <t>Raumerstra√üe 15, Berlin, 10437</t>
  </si>
  <si>
    <t>https://www.losteria-parlamento.de/</t>
  </si>
  <si>
    <t>440info@losteria-parlamento.de</t>
  </si>
  <si>
    <t>+49 30 498 53 440</t>
  </si>
  <si>
    <t>instagram: https://www.instagram.com/losteriadelparlamento/</t>
  </si>
  <si>
    <t>Benedict</t>
  </si>
  <si>
    <t>G√∂hrener Stra√üe 5, Berlin, 10437</t>
  </si>
  <si>
    <t>https://pberg.benedict.world/</t>
  </si>
  <si>
    <t>Mido Sushi</t>
  </si>
  <si>
    <t>Pappelallee 22, Berlin, 10437</t>
  </si>
  <si>
    <t>https://www.yoko.de</t>
  </si>
  <si>
    <t>info@yoko.de</t>
  </si>
  <si>
    <t>+49 30 28038387</t>
  </si>
  <si>
    <t>instagram: https://instagram.com/yoko_sushi_deutschland/</t>
  </si>
  <si>
    <t>Sasaya</t>
  </si>
  <si>
    <t>Lychener Stra√üe 50, Berlin, 10437</t>
  </si>
  <si>
    <t>https://sasaya-berlin.de/</t>
  </si>
  <si>
    <t>+49 30 44717721</t>
  </si>
  <si>
    <t>Meena Kumari</t>
  </si>
  <si>
    <t>Lychener Stra√üe 9, Berlin, 10437</t>
  </si>
  <si>
    <t>https://www.meenakumari.de/</t>
  </si>
  <si>
    <t>44052545info@meenakumari.deHome</t>
  </si>
  <si>
    <t>+49 30 44052545</t>
  </si>
  <si>
    <t>instagram: https://www.instagram.com/meenakumaride/, facebook: https://www.facebook.com/meenakumariberlin</t>
  </si>
  <si>
    <t>Gate 57</t>
  </si>
  <si>
    <t>Pappelallee 57, Berlin, 10437</t>
  </si>
  <si>
    <t>https://gate57-restaurant.eatbu.com/</t>
  </si>
  <si>
    <t>berlingate57@gmail.com</t>
  </si>
  <si>
    <t>+49 30 89547172</t>
  </si>
  <si>
    <t>facebook: https://www.facebook.com/GATE-57-2077407145872754/?ref=page_internal</t>
  </si>
  <si>
    <t>Vedis</t>
  </si>
  <si>
    <t>Pappelallee 56, Berlin, 10437</t>
  </si>
  <si>
    <t>https://vedis.berlin/</t>
  </si>
  <si>
    <t>info@vedis.berlin</t>
  </si>
  <si>
    <t>+49 30 4485172</t>
  </si>
  <si>
    <t>facebook: https://www.facebook.com/vedis.berlin, instagram: https://www.instagram.com/vedis.berlin/, tiktok: https://www.tiktok.com/@vedis.berlin?_t=8mwa9ne2jmz&amp;_r=1</t>
  </si>
  <si>
    <t>IL FALCO</t>
  </si>
  <si>
    <t>Pappelallee 36, Berlin, 10437</t>
  </si>
  <si>
    <t>https://il-falco.de/</t>
  </si>
  <si>
    <t>+49 30 31487151</t>
  </si>
  <si>
    <t>The Tiger</t>
  </si>
  <si>
    <t>Lychener Stra√üe 41, Berlin, 10437</t>
  </si>
  <si>
    <t>https://www.fire-tiger-berlin.de/</t>
  </si>
  <si>
    <t>info@fire-tiger-berlin.de</t>
  </si>
  <si>
    <t>+49 30 293 609 30</t>
  </si>
  <si>
    <t>facebook: https://www.facebook.com/firetigerberlin/, instagram: https://www.instagram.com/firetigerberlin/</t>
  </si>
  <si>
    <t>Sangam</t>
  </si>
  <si>
    <t>Akazienstra√üe 19, Berlin, 10823</t>
  </si>
  <si>
    <t>https://www.berlinsangam.de/</t>
  </si>
  <si>
    <t>+49 30 78951818</t>
  </si>
  <si>
    <t>Trattoria Perla Jonica</t>
  </si>
  <si>
    <t>Belziger Stra√üe 20, Berlin, 10823</t>
  </si>
  <si>
    <t>http://www.perla-jonica-berlin.de/</t>
  </si>
  <si>
    <t>info@perla-jonica-berlin.de</t>
  </si>
  <si>
    <t>+49 30 78710005</t>
  </si>
  <si>
    <t>Il Mulino</t>
  </si>
  <si>
    <t>Adolf-Martens-Stra√üe 2, Berlin, 12205</t>
  </si>
  <si>
    <t>http://il-mulino-berlin.de/</t>
  </si>
  <si>
    <t>+49 30 8327793</t>
  </si>
  <si>
    <t>Villa Franca</t>
  </si>
  <si>
    <t>Vorbergstra√üe 10, Berlin, 10823</t>
  </si>
  <si>
    <t>https://villafranca-berlin.de/</t>
  </si>
  <si>
    <t>kontakt@villa-toscana-rudow.de</t>
  </si>
  <si>
    <t>+49 30 50342595</t>
  </si>
  <si>
    <t>facebook: https://www.facebook.com/profile.php?id=100063453582260, instagram: https://www.instagram.com/villa_franca_berlin/, tiktok: https://www.tiktok.com/@ristoirante.villa.franca</t>
  </si>
  <si>
    <t>La Cocotte</t>
  </si>
  <si>
    <t>https://www.lacocotte.de/</t>
  </si>
  <si>
    <t>restaurant@lacocotte.de</t>
  </si>
  <si>
    <t>+49 30 789 57 658</t>
  </si>
  <si>
    <t>facebook: https://facebook.com/lacocotte.de, instagram: http://instagram.com/lacocotteberlin</t>
  </si>
  <si>
    <t>Taverna Phaestos</t>
  </si>
  <si>
    <t>Jagowstra√üe 16, Berlin, 10555</t>
  </si>
  <si>
    <t>http://www.taverna-phaestos.de/</t>
  </si>
  <si>
    <t>info@taverna-inos.de</t>
  </si>
  <si>
    <t>+49 30 3936915</t>
  </si>
  <si>
    <t>Walhalla</t>
  </si>
  <si>
    <t>Krefelder Stra√üe 6, Berlin, 10555</t>
  </si>
  <si>
    <t>https://www.walhalla-berlin.de/</t>
  </si>
  <si>
    <t>kontakt@walhalla-berlin.de</t>
  </si>
  <si>
    <t>+49 30 3933039</t>
  </si>
  <si>
    <t>Croccante Al Porto</t>
  </si>
  <si>
    <t>Puschkinallee 15</t>
  </si>
  <si>
    <t>https://croccante-alporto.de/</t>
  </si>
  <si>
    <t>info@croccante-alporto.de</t>
  </si>
  <si>
    <t>+49 30 20617653</t>
  </si>
  <si>
    <t>instagram: https://www.instagram.com/croccantealporto</t>
  </si>
  <si>
    <t>Girasol</t>
  </si>
  <si>
    <t>Raumerstra√üe 30, 10437</t>
  </si>
  <si>
    <t>https://www.restaurant-girasol.de/</t>
  </si>
  <si>
    <t>+49 30 4458568</t>
  </si>
  <si>
    <t>facebook: https://www.facebook.com/pages/Restaurant-Girasol/156512637705606</t>
  </si>
  <si>
    <t>Lemke am Schloss</t>
  </si>
  <si>
    <t>Luisenplatz 1, Berlin, 10585</t>
  </si>
  <si>
    <t>https://schloss.lemke.berlin/</t>
  </si>
  <si>
    <t>schloss@brauhaus-lemke.de</t>
  </si>
  <si>
    <t>+49 30 30878979</t>
  </si>
  <si>
    <t>instagram: https://www.instagram.com/lemkeamschloss/</t>
  </si>
  <si>
    <t>Dante</t>
  </si>
  <si>
    <t>Tegeler Weg 16, Berlin</t>
  </si>
  <si>
    <t>Ristorante Fratelli</t>
  </si>
  <si>
    <t>Alt-Pichelsdorf 6a, Berlin, 13595</t>
  </si>
  <si>
    <t>https://ristorante-fratelli.de/</t>
  </si>
  <si>
    <t>franco.murati1@gmail.com</t>
  </si>
  <si>
    <t>+49 30 55471116</t>
  </si>
  <si>
    <t>Schwarzwaldstuben</t>
  </si>
  <si>
    <t>Tucholskystra√üe 48, Berlin, 10117</t>
  </si>
  <si>
    <t>https://www.schwarzwaldstuben.berlin/</t>
  </si>
  <si>
    <t>info@schwarzwaldstuben.berlin</t>
  </si>
  <si>
    <t>+49 30 50016266</t>
  </si>
  <si>
    <t>facebook: https://www.facebook.com/profile.php?id=100039759417086</t>
  </si>
  <si>
    <t>La Femme</t>
  </si>
  <si>
    <t>Badstra√üe 67, Berlin, 13357</t>
  </si>
  <si>
    <t>http://www.lafemmeberlin.de/</t>
  </si>
  <si>
    <t>info@lafemmeberlin.de</t>
  </si>
  <si>
    <t>+49 30 46063979</t>
  </si>
  <si>
    <t>facebook: https://www.facebook.com/Lafemmepatisserie, instagram: http://instagram.com/lafemmepatisserie</t>
  </si>
  <si>
    <t>Akiko Sushi</t>
  </si>
  <si>
    <t>http://www.akikosushi.de</t>
  </si>
  <si>
    <t>info@imaki-sushi.de</t>
  </si>
  <si>
    <t>Lakshmi</t>
  </si>
  <si>
    <t>Hindenburgdamm 79, Berlin, 12203</t>
  </si>
  <si>
    <t>https://lakshmi-restaurant-berlin.de</t>
  </si>
  <si>
    <t>khunt_harshad@yahoo.co.in</t>
  </si>
  <si>
    <t>+49 30 55238019</t>
  </si>
  <si>
    <t>facebook: https://www.facebook.com/lakshmiindischesrestaurant, instagram: https://www.instagram.com/lakshmi.indisches.restaurant/</t>
  </si>
  <si>
    <t>BRLO Charlottenburg</t>
  </si>
  <si>
    <t>Giesebrechtstra√üe 15, Berlin, 10629</t>
  </si>
  <si>
    <t>https://www.brlo.de/gastronomien/brlo-charlottenburg</t>
  </si>
  <si>
    <t>presse@brlo.deReservierungMenuDEIN</t>
  </si>
  <si>
    <t>facebook: https://www.facebook.com/brlobeer, instagram: https://www.instagram.com/brlobeer/</t>
  </si>
  <si>
    <t>MIO Feinkost</t>
  </si>
  <si>
    <t>Samariterstra√üe 36, Berlin, 10247</t>
  </si>
  <si>
    <t>http://www.mio-berlin.de/</t>
  </si>
  <si>
    <t>mioberlin@hotmail.com</t>
  </si>
  <si>
    <t>+49 30 81725514</t>
  </si>
  <si>
    <t>Bandol sur mer</t>
  </si>
  <si>
    <t>Torstra√üe 167</t>
  </si>
  <si>
    <t>+49 30 67302051</t>
  </si>
  <si>
    <t>Fu Duo</t>
  </si>
  <si>
    <t>Lotus Lounge</t>
  </si>
  <si>
    <t>Soorstra√üe 85, Berlin, 14050</t>
  </si>
  <si>
    <t>https://www.rigpa.de/lotus-lounge/</t>
  </si>
  <si>
    <t>lotuslounge@rigpa.de</t>
  </si>
  <si>
    <t>Granat</t>
  </si>
  <si>
    <t>Parkstra√üe 31, Berlin, 13086</t>
  </si>
  <si>
    <t>India Haus</t>
  </si>
  <si>
    <t>Achillesstra√üe 62</t>
  </si>
  <si>
    <t>https://indiahaus-karow.de</t>
  </si>
  <si>
    <t>facebook: https://www.facebook.com/India-Haus-114889503254054/</t>
  </si>
  <si>
    <t>Regent</t>
  </si>
  <si>
    <t>+49 30 3655076</t>
  </si>
  <si>
    <t>Mama Trang's Kitchen√Ñ√§</t>
  </si>
  <si>
    <t>Helmholtzstra√üe, Berlin, 10587</t>
  </si>
  <si>
    <t>Piazza Rossa</t>
  </si>
  <si>
    <t>Rathausstra√üe 5, Berlin, 10178</t>
  </si>
  <si>
    <t>http://www.piazza-rossa.com/</t>
  </si>
  <si>
    <t>info@piazza-rossa.com</t>
  </si>
  <si>
    <t>+49 30 600 59 059</t>
  </si>
  <si>
    <t>Kartoffelhaus</t>
  </si>
  <si>
    <t>Karl-Liebknecht-Stra√üe 9, Berlin, 10178</t>
  </si>
  <si>
    <t>http://www.berliner-kartoffelhaus.de/</t>
  </si>
  <si>
    <t>info@berliner-kartoffelhaus.de</t>
  </si>
  <si>
    <t>facebook: https://www.facebook.com/BerlinerKartoffelhaus, instagram: http://instagram.com/berlinerkartoffelhaus</t>
  </si>
  <si>
    <t>Schl√∂gl's Altberliner Gastst√§tte</t>
  </si>
  <si>
    <t>https://www.berliner-essen.de/</t>
  </si>
  <si>
    <t>adschloeg@web.deWeb</t>
  </si>
  <si>
    <t>+49 30 2411221</t>
  </si>
  <si>
    <t>China-Restaurant Hua Ting</t>
  </si>
  <si>
    <t>Strausberger Platz 13, Berlin, 10243</t>
  </si>
  <si>
    <t>http://www.huating.de/</t>
  </si>
  <si>
    <t>huifeng_chinarestaurant@hotmail.com</t>
  </si>
  <si>
    <t>+49 30 2495089</t>
  </si>
  <si>
    <t>facebook: https://www.facebook.com/huating.restaurant, twitter: https://twitter.com/HuaTing_Berlin, instagram: https://www.instagram.com/huating.restaurant/</t>
  </si>
  <si>
    <t>Trattoria Vesuvio</t>
  </si>
  <si>
    <t>Strausberger Platz 8, Berlin, 10243</t>
  </si>
  <si>
    <t>https://www.ristorante-vesuvio-berlin.de</t>
  </si>
  <si>
    <t>info@ristorante-vesuvio-berlin.de</t>
  </si>
  <si>
    <t>+49 30 42029589</t>
  </si>
  <si>
    <t>Grillhouse Ocakbasi</t>
  </si>
  <si>
    <t>Heidelbeere</t>
  </si>
  <si>
    <t>Heidelberger Platz 1, Berlin, 14197</t>
  </si>
  <si>
    <t>+49 30 8212927</t>
  </si>
  <si>
    <t>L'Annam</t>
  </si>
  <si>
    <t>B√∂lschestra√üe 76, Berlin, 12587</t>
  </si>
  <si>
    <t>https://lannam.de</t>
  </si>
  <si>
    <t>info@lannam.deHome</t>
  </si>
  <si>
    <t>facebook: https://www.facebook.com/Lannam-105385180853395/, instagram: https://www.instagram.com/lannam_berlin/</t>
  </si>
  <si>
    <t>Yasmin Alsham</t>
  </si>
  <si>
    <t>Karl-Marx-Stra√üe 168, Berlin, 12043</t>
  </si>
  <si>
    <t>Namaste Buddha</t>
  </si>
  <si>
    <t>Ritterstra√üe 2, Berlin, 13597</t>
  </si>
  <si>
    <t>https://restaurant-namaste-buddha.de/</t>
  </si>
  <si>
    <t>+49 30 92047391</t>
  </si>
  <si>
    <t>Alt-Spandau</t>
  </si>
  <si>
    <t>Moritzstra√üe 7, Berlin, 13597</t>
  </si>
  <si>
    <t>http://www.altspandau.de</t>
  </si>
  <si>
    <t>+49 30 33308092</t>
  </si>
  <si>
    <t>Gepetto</t>
  </si>
  <si>
    <t>Amma</t>
  </si>
  <si>
    <t>Tempelhofer Damm 214, Berlin, 12099</t>
  </si>
  <si>
    <t>https://www.amma-berlin.de/</t>
  </si>
  <si>
    <t>11info@ammaji-berlin.deImpressum</t>
  </si>
  <si>
    <t>+49 30 75443366</t>
  </si>
  <si>
    <t>instagram: https://www.instagram.com/ammaji_berlin/</t>
  </si>
  <si>
    <t>Taverna Ta Dio Aderfia</t>
  </si>
  <si>
    <t>Tempelhofer Damm 218, Berlin, 12099</t>
  </si>
  <si>
    <t>http://www.tadioaderfia.de/</t>
  </si>
  <si>
    <t>Becerro</t>
  </si>
  <si>
    <t>Mariendorfer Damm, Berlin, 12109</t>
  </si>
  <si>
    <t>http://www.becerro-steakhaus.de/</t>
  </si>
  <si>
    <t>+4930 411 900 99</t>
  </si>
  <si>
    <t>Herr Rossi</t>
  </si>
  <si>
    <t>Winsstra√üe 11, 10405</t>
  </si>
  <si>
    <t>herrrossi@berlin.de</t>
  </si>
  <si>
    <t>+49 30 53 06 10 77</t>
  </si>
  <si>
    <t>Balgaran 2</t>
  </si>
  <si>
    <t>Karl-Marx-Stra√üe 266, Berlin, 12057</t>
  </si>
  <si>
    <t>Austria</t>
  </si>
  <si>
    <t>Bergmannstra√üe 30, Berlin, 10961</t>
  </si>
  <si>
    <t>https://www.austria-berlin.de</t>
  </si>
  <si>
    <t>reservierung@austria-berlin.de</t>
  </si>
  <si>
    <t>+49 30 6944440</t>
  </si>
  <si>
    <t>facebook: https://www.facebook.com/Restaurant-Austria-Das-Original-357121574475438, instagram: https://www.instagram.com/explore/locations/688808629/restaurant-austria-das-original/</t>
  </si>
  <si>
    <t>La Bottega Da Franco</t>
  </si>
  <si>
    <t>Breite Stra√üe 56, Berlin, 13597</t>
  </si>
  <si>
    <t>https://la-bottega-spandau.de/</t>
  </si>
  <si>
    <t>+49 30 36750171</t>
  </si>
  <si>
    <t>Piazza Br√†</t>
  </si>
  <si>
    <t>Kurf√ºrstendamm 94-95, Berlin, 10709</t>
  </si>
  <si>
    <t>El Toro</t>
  </si>
  <si>
    <t>Berlin, 12347</t>
  </si>
  <si>
    <t>Mona Mia</t>
  </si>
  <si>
    <t>Buschkrugallee 32, Berlin, 12359</t>
  </si>
  <si>
    <t>Zerhosh</t>
  </si>
  <si>
    <t>Glasower Stra√üe 38, Berlin, 12051</t>
  </si>
  <si>
    <t>+49 163 233 68 46</t>
  </si>
  <si>
    <t>Cafe Bricks</t>
  </si>
  <si>
    <t>Wilhelmstra√üe 152, Berlin, 13595</t>
  </si>
  <si>
    <t>Mikoto</t>
  </si>
  <si>
    <t>Skalitzer Stra√üe 73, Berlin, 10997</t>
  </si>
  <si>
    <t>https://sushi-mikoto.de/</t>
  </si>
  <si>
    <t>info@sushi-mikoto.de</t>
  </si>
  <si>
    <t>+49 30 61076744</t>
  </si>
  <si>
    <t>instagram: https://www.instagram.com/mikoto_kreuzberg, tiktok: https://www.tiktok.com/@mikoto.berlin</t>
  </si>
  <si>
    <t>Mariona</t>
  </si>
  <si>
    <t>Skalitzer Stra√üe 94 b, Berlin, 10997</t>
  </si>
  <si>
    <t>http://www.mariona-berlin.de/</t>
  </si>
  <si>
    <t>mariona10997berlin@gmail.com</t>
  </si>
  <si>
    <t>+49 30 61671214</t>
  </si>
  <si>
    <t>facebook: https://www.facebook.com/www.marionaberlin.de</t>
  </si>
  <si>
    <t>√îng ƒÜhu</t>
  </si>
  <si>
    <t>Skalitzer Stra√üe 95A, Berlin, 10997</t>
  </si>
  <si>
    <t>H√ºhnerhaus 36</t>
  </si>
  <si>
    <t>Skalitzer Stra√üe 95a, Berlin, 10997</t>
  </si>
  <si>
    <t>http://h√ºhnerhaus36.de</t>
  </si>
  <si>
    <t>+49 30 69004588</t>
  </si>
  <si>
    <t>Esmeralda's Inka-Caf√©</t>
  </si>
  <si>
    <t>Belziger Stra√üe 44, Berlin, 10823</t>
  </si>
  <si>
    <t>+49 163 7025734</t>
  </si>
  <si>
    <t>manno-o-salwa</t>
  </si>
  <si>
    <t>Marinehaus</t>
  </si>
  <si>
    <t>M√§rkisches Ufer 48-50, Berlin, 10179</t>
  </si>
  <si>
    <t>https://www.marinehaus.de/</t>
  </si>
  <si>
    <t>ahoi@marinehaus.de</t>
  </si>
  <si>
    <t>Ming Dynastie</t>
  </si>
  <si>
    <t>Br√ºckenstra√üe 6, Berlin, 10179</t>
  </si>
  <si>
    <t>http://www.ming-dynastie.de</t>
  </si>
  <si>
    <t>fuwolfgang@ming-dynastie.de</t>
  </si>
  <si>
    <t>+49 30 30875680</t>
  </si>
  <si>
    <t>instagram: https://www.instagram.com/mingtastic_berlin/, facebook: https://www.facebook.com/HanBBQ/</t>
  </si>
  <si>
    <t>Las Malvinas</t>
  </si>
  <si>
    <t>Barnimstra√üe 18, Berlin, 10249</t>
  </si>
  <si>
    <t>https://las-malvinas.de/</t>
  </si>
  <si>
    <t>info@las-malvinas.de</t>
  </si>
  <si>
    <t>+49 30 24727004</t>
  </si>
  <si>
    <t>facebook: https://www.facebook.com/Steakhouse.LasMalvinas/, instagram: https://www.instagram.com/las_malvinas_steakhouse</t>
  </si>
  <si>
    <t>San Marco</t>
  </si>
  <si>
    <t>Sch√∂nhauser Allee 102, Berlin, 10439</t>
  </si>
  <si>
    <t>http://www.sanmarcoberlin.de</t>
  </si>
  <si>
    <t>+49 30 4457029</t>
  </si>
  <si>
    <t>Bao Gao Club</t>
  </si>
  <si>
    <t>Sch√∂nhauser Allee 103, Berlin, 10439</t>
  </si>
  <si>
    <t>+49 30 44715023</t>
  </si>
  <si>
    <t>Prima Luna</t>
  </si>
  <si>
    <t>+49 30 34357592</t>
  </si>
  <si>
    <t>Taverna Pikilia</t>
  </si>
  <si>
    <t>Spanische Allee 72, Berlin, 14129</t>
  </si>
  <si>
    <t>https://pikilia.de/</t>
  </si>
  <si>
    <t>info@pikilia.de</t>
  </si>
  <si>
    <t>+49 30 80588207</t>
  </si>
  <si>
    <t>Vuisine</t>
  </si>
  <si>
    <t>Wilhelmsaue 110, Berlin, 10715</t>
  </si>
  <si>
    <t>+49 30 55474733</t>
  </si>
  <si>
    <t>Taverna Argo</t>
  </si>
  <si>
    <t>Buschkrugallee 54, Berlin, 12359</t>
  </si>
  <si>
    <t>tavernaargo@arcor.de</t>
  </si>
  <si>
    <t>+49 30 6069848</t>
  </si>
  <si>
    <t>Afro-Base</t>
  </si>
  <si>
    <t>Buschkrugallee 103, Berlin, 12359</t>
  </si>
  <si>
    <t>https://ematondo.com/directory/afro-base/</t>
  </si>
  <si>
    <t>+49 30 68056066</t>
  </si>
  <si>
    <t>facebook: https://www.facebook.com/profile.php?id=100080299605682, twitter: https://twitter.com/intent/tweet?text=Afro-Base%20Comfort&amp;url=https://ematondo.com/directory/afro-base/, instagram: https://www.instagram.com/afro.base24</t>
  </si>
  <si>
    <t>Villa Fellini</t>
  </si>
  <si>
    <t>Rudower Stra√üe 35, Berlin, 12351</t>
  </si>
  <si>
    <t>https://villa-felice.org/</t>
  </si>
  <si>
    <t>info@villa-felice.org</t>
  </si>
  <si>
    <t>Santa Lucia</t>
  </si>
  <si>
    <t>Neuk√∂llner Stra√üe 280, Berlin, 12357</t>
  </si>
  <si>
    <t>Marco Polo Due</t>
  </si>
  <si>
    <t>Berlin, 10369</t>
  </si>
  <si>
    <t>https://www.marcopolo-uno.de/</t>
  </si>
  <si>
    <t>info@marcopolo-uno.de</t>
  </si>
  <si>
    <t>+49 30 5138806</t>
  </si>
  <si>
    <t>instagram: https://www.instagram.com/marcopolo.berlin/?hl=en, tiktok: https://www.tiktok.com/@marcopolo.berlin, facebook: https://www.facebook.com/gelatomarcopoloberlin</t>
  </si>
  <si>
    <t>El Pasto</t>
  </si>
  <si>
    <t>Maximilianstra√üe 1, Berlin, 13187</t>
  </si>
  <si>
    <t>https://elpasto-restaurant.de</t>
  </si>
  <si>
    <t>Chinarestaurant Hey Cheuk Lau</t>
  </si>
  <si>
    <t>Breite Stra√üe 4 A, Berlin, 13187</t>
  </si>
  <si>
    <t>+49 30 4851796</t>
  </si>
  <si>
    <t>Annhi Food</t>
  </si>
  <si>
    <t>Karl-Marx-Stra√üe 215, Berlin, 12055</t>
  </si>
  <si>
    <t>Il Nuovo</t>
  </si>
  <si>
    <t>Zadekstra√üe 1, 12351</t>
  </si>
  <si>
    <t>mani.25@hotmail.de</t>
  </si>
  <si>
    <t>+49 30 22477252</t>
  </si>
  <si>
    <t>SuBo Club</t>
  </si>
  <si>
    <t>Hua Li Du</t>
  </si>
  <si>
    <t>Dietzgenstra√üe 11a, Berlin</t>
  </si>
  <si>
    <t>Mamma Mia</t>
  </si>
  <si>
    <t>Acapulco</t>
  </si>
  <si>
    <t>Karl-Marx-Allee 115, Berlin, 10243</t>
  </si>
  <si>
    <t>http://www.acapulco-berlin.de</t>
  </si>
  <si>
    <t>acapulco-berlin@web.de</t>
  </si>
  <si>
    <t>facebook: https://www.facebook.com/sharer/sharer.php?u=https%3A%2F%2Facapulco-berlin.de%2F, twitter: https://twitter.com/share?url=https%3A%2F%2Facapulco-berlin.de%2F&amp;text=Acapulco%20Berlin%20%E2%80%A2%20Mexikanisches%20Restaurant%20%E2%80%A2%20Cocktailbar%20%E2%80%A2%20Caf%C3%A9</t>
  </si>
  <si>
    <t>Prager Hopfenstube</t>
  </si>
  <si>
    <t>Karl-Marx-Allee 127, Berlin, 10243</t>
  </si>
  <si>
    <t>Kos House</t>
  </si>
  <si>
    <t>Karl-Marx-Allee, Berlin, 10243</t>
  </si>
  <si>
    <t>https://koshouse.de/</t>
  </si>
  <si>
    <t>+49 30 4225949</t>
  </si>
  <si>
    <t>Alpenwirt</t>
  </si>
  <si>
    <t>Karl-Marx-Allee 90a, Berlin, 10243</t>
  </si>
  <si>
    <t>https://www.beimalpenwirt.de/</t>
  </si>
  <si>
    <t>post@beimalpenwirt.de</t>
  </si>
  <si>
    <t>+49 30 2965727</t>
  </si>
  <si>
    <t>Luise</t>
  </si>
  <si>
    <t>K√∂nigin-Luise-Stra√üe 40-42, Berlin, 14195</t>
  </si>
  <si>
    <t>https://www.luise-dahlem.de/</t>
  </si>
  <si>
    <t>info@luise-koepenick.de</t>
  </si>
  <si>
    <t>+49 30 8418880</t>
  </si>
  <si>
    <t>Zagreb</t>
  </si>
  <si>
    <t>Steglitzer Damm 54, Berlin, 12169</t>
  </si>
  <si>
    <t>Taverna Olympia</t>
  </si>
  <si>
    <t>Emser Stra√üe 73, Berlin, 12051</t>
  </si>
  <si>
    <t>https://taverna-olympia.de</t>
  </si>
  <si>
    <t>+49 30 6262192</t>
  </si>
  <si>
    <t>facebook: https://www.facebook.com/tavernaolympiaberlin/</t>
  </si>
  <si>
    <t>Ga Ya Ya</t>
  </si>
  <si>
    <t>Reinhartstra√üe 11, Berlin</t>
  </si>
  <si>
    <t>https://www.gayaya-berlin.de/</t>
  </si>
  <si>
    <t>gayaya8@gmail.com</t>
  </si>
  <si>
    <t>+49 174 9882269</t>
  </si>
  <si>
    <t>facebook: https://www.facebook.com/gayayaberlin/, instagram: https://www.instagram.com/gayaya_berlin/</t>
  </si>
  <si>
    <t>Eatalian Trattoria</t>
  </si>
  <si>
    <t>Oderstra√üe 8, Berlin, 10247</t>
  </si>
  <si>
    <t>+49 30 26948191</t>
  </si>
  <si>
    <t>Kane Mam</t>
  </si>
  <si>
    <t>Weichselstra√üe 20a, Berlin, 10247</t>
  </si>
  <si>
    <t>F√§hrhaus Saatwinkel</t>
  </si>
  <si>
    <t>Im Saatwinkel 15, Berlin, 13599</t>
  </si>
  <si>
    <t>https://www.faehrhaus-saatwinkel.de/</t>
  </si>
  <si>
    <t>info@faehrhaus-saatwinkel.de</t>
  </si>
  <si>
    <t>+49 30 49088540</t>
  </si>
  <si>
    <t>Hellersdorfer Krug</t>
  </si>
  <si>
    <t>Steakrestaurant Rivado</t>
  </si>
  <si>
    <t>https://www.rivado-steakhaus.de/</t>
  </si>
  <si>
    <t>Trattoria RetroGusto</t>
  </si>
  <si>
    <t>Ernst-Arndt-Weg 13, Berlin, 12349</t>
  </si>
  <si>
    <t>http://www.retrogusto.de</t>
  </si>
  <si>
    <t>retrogusto.de@gmail.com</t>
  </si>
  <si>
    <t>Maya</t>
  </si>
  <si>
    <t>T√ºrrschmidtstra√üe 36, Berlin, 10317</t>
  </si>
  <si>
    <t>http://mayarestaurant.de</t>
  </si>
  <si>
    <t>maya.in.berlin@gmail.com</t>
  </si>
  <si>
    <t>+49 30 98440339</t>
  </si>
  <si>
    <t>twitter: https://twitter.com/IndischesMaya, facebook: https://www.facebook.com/Maya-Indisches-Restaurant-113378173761425/?epa=SEARCH_BOX, instagram: https://instagram.com/mayaindisch/</t>
  </si>
  <si>
    <t>Trattoria Lugana</t>
  </si>
  <si>
    <t>Fusion Factory</t>
  </si>
  <si>
    <t>Goerzallee 111</t>
  </si>
  <si>
    <t>La Rocca</t>
  </si>
  <si>
    <t>Quanto Basta</t>
  </si>
  <si>
    <t>Leibnizstra√üe 74, Berlin, 10625</t>
  </si>
  <si>
    <t>https://quantobastaberlin.com/</t>
  </si>
  <si>
    <t>+49 30 32303997</t>
  </si>
  <si>
    <t>Jolesch</t>
  </si>
  <si>
    <t>Muskauer Stra√üe 1, Berlin, 10997</t>
  </si>
  <si>
    <t>http://www.jolesch.de</t>
  </si>
  <si>
    <t>mail@jolesch.de</t>
  </si>
  <si>
    <t>+49 30 6123581</t>
  </si>
  <si>
    <t>facebook: https://www.facebook.com/jolesch, instagram: https://www.instagram.com/restaurant_jolesch</t>
  </si>
  <si>
    <t>Der Berliner</t>
  </si>
  <si>
    <t>Berlin, 12051</t>
  </si>
  <si>
    <t>Mekan 36</t>
  </si>
  <si>
    <t>Antica Roma</t>
  </si>
  <si>
    <t>Am Treptower Park 37, Berlin, 12435</t>
  </si>
  <si>
    <t>https://www.antica-roma-treptow.de/</t>
  </si>
  <si>
    <t>+49 30 5337456</t>
  </si>
  <si>
    <t>Caf√© &amp; Restaurant OHA</t>
  </si>
  <si>
    <t>Sonnenallee 127, Berlin, 12059</t>
  </si>
  <si>
    <t>https://www.ohaberlin.de/</t>
  </si>
  <si>
    <t>info@bares-berlin.de</t>
  </si>
  <si>
    <t>+49 1577 3675565</t>
  </si>
  <si>
    <t>Weserstra√üe 159, Berlin, 12045</t>
  </si>
  <si>
    <t>https://www.ramonesmuseum.com/19-77-vegan-diner-bar/</t>
  </si>
  <si>
    <t>mail@ramonesmuseum.com</t>
  </si>
  <si>
    <t>+49 171 6877336</t>
  </si>
  <si>
    <t>instagram: https://www.instagram.com/ramonesmuseum</t>
  </si>
  <si>
    <t>Thai Curry</t>
  </si>
  <si>
    <t>+49 30 45305199</t>
  </si>
  <si>
    <t>Suppengr√ºn</t>
  </si>
  <si>
    <t>Inselstra√üe 1a, Berlin, 10179</t>
  </si>
  <si>
    <t>http://www.suppengruen.net</t>
  </si>
  <si>
    <t>info@suppengruen.net</t>
  </si>
  <si>
    <t>instagram: https://www.instagram.com/suppengruen_berlin/</t>
  </si>
  <si>
    <t>Kuchi</t>
  </si>
  <si>
    <t>Gipsstra√üe 3, Berlin, 10119</t>
  </si>
  <si>
    <t>https://kuchi.de/restaurant/mitte/</t>
  </si>
  <si>
    <t>mitte@kuchi.de</t>
  </si>
  <si>
    <t>+49 30 28386622</t>
  </si>
  <si>
    <t>instagram: https://www.instagram.com/kuchi.kant/</t>
  </si>
  <si>
    <t>Anabelas Kitchen</t>
  </si>
  <si>
    <t>Pestalozzistra√üe 2, Berlin, 10625</t>
  </si>
  <si>
    <t>https://www.anabelas-kitchen.de/</t>
  </si>
  <si>
    <t>mail@anabelas-kitchen.de</t>
  </si>
  <si>
    <t>+4930 2870122 4</t>
  </si>
  <si>
    <t>5 SENSES Restaurant</t>
  </si>
  <si>
    <t>Rothenbachstra√üe 30, Berlin, 13089</t>
  </si>
  <si>
    <t>Villa Medici</t>
  </si>
  <si>
    <t>Spanische Allee 1-3, Berlin, 14129</t>
  </si>
  <si>
    <t>http://www.villa-medici-berlin.de/</t>
  </si>
  <si>
    <t>service@villa-medici-berlin.de</t>
  </si>
  <si>
    <t>+49 30 8021143</t>
  </si>
  <si>
    <t>Crispy's Chicken</t>
  </si>
  <si>
    <t>Sonntagstra√üe 3, Berlin, 10245</t>
  </si>
  <si>
    <t>Jalla Jalla</t>
  </si>
  <si>
    <t>https://www.jallajalla-restaurant-berlin.de/</t>
  </si>
  <si>
    <t>jallajalla.restaurant@gmail.com</t>
  </si>
  <si>
    <t>+49 30 4486388</t>
  </si>
  <si>
    <t>Aftab</t>
  </si>
  <si>
    <t>Kastanienallee 90, Berlin, 10435</t>
  </si>
  <si>
    <t>https://aftab-persianstreetfood.de/</t>
  </si>
  <si>
    <t>+49 177 36 93 89 5</t>
  </si>
  <si>
    <t>facebook: https://www.facebook.com/aftabpersianstreetfood/, instagram: https://www.instagram.com/aftabpersianstreetfood/?hl=en</t>
  </si>
  <si>
    <t>Chi Dang</t>
  </si>
  <si>
    <t>Lausanner Stra√üe 79, Berlin, 12205</t>
  </si>
  <si>
    <t>https://chi-dang.berlin/</t>
  </si>
  <si>
    <t>+49 30 81098660</t>
  </si>
  <si>
    <t>Pratirio</t>
  </si>
  <si>
    <t>https://www.pratirio.de/</t>
  </si>
  <si>
    <t>info@pratirio.de</t>
  </si>
  <si>
    <t>+49 30 54710930</t>
  </si>
  <si>
    <t>facebook: https://www.facebook.com/pratirio.de, instagram: https://www.instagram.com/pratirio.de</t>
  </si>
  <si>
    <t>Mathe Caf√©teria</t>
  </si>
  <si>
    <t>Stra√üe des 17. Juni 136, Berlin, 10623</t>
  </si>
  <si>
    <t>https://mathe-cafe-tu.de/</t>
  </si>
  <si>
    <t>Hong Kong Canteen</t>
  </si>
  <si>
    <t>Leonorenstra√üe 60, Berlin, 12247</t>
  </si>
  <si>
    <t>Schnitzelei</t>
  </si>
  <si>
    <t>Landauer Stra√üe 8, Berlin, 14197</t>
  </si>
  <si>
    <t>https://schnitzelei.de/wilmersdorf/</t>
  </si>
  <si>
    <t>Wilmersdorf@schnitzelei.deUnsere</t>
  </si>
  <si>
    <t>+49 30 8217615</t>
  </si>
  <si>
    <t>facebook: https://www.facebook.com/profile.php?id=100087613388543, instagram: https://www.instagram.com/schnitzeleiwilmersdorf/?hl=de</t>
  </si>
  <si>
    <t>Taverna Odysseus</t>
  </si>
  <si>
    <t>Friedelstra√üe 37, Berlin, 12047</t>
  </si>
  <si>
    <t>http://www.tavernaodysseus.de/</t>
  </si>
  <si>
    <t>Pho Phan</t>
  </si>
  <si>
    <t>Hermannstra√üe 151, Berlin, 12051</t>
  </si>
  <si>
    <t>+49 30 62900946</t>
  </si>
  <si>
    <t>Yorckschl√∂sschen</t>
  </si>
  <si>
    <t>Yorckstra√üe 15, Berlin, 10965</t>
  </si>
  <si>
    <t>https://www.yorckschloesschen.de/</t>
  </si>
  <si>
    <t>info@yorckschloesschen.de</t>
  </si>
  <si>
    <t>+49 30 2158070</t>
  </si>
  <si>
    <t>Albert‚Äôs Restaurant</t>
  </si>
  <si>
    <t>Treskowallee</t>
  </si>
  <si>
    <t>https://www.alberts-restaurants.de/</t>
  </si>
  <si>
    <t>info@alberts-restaurants.de</t>
  </si>
  <si>
    <t>+49 30 41996940</t>
  </si>
  <si>
    <t>instagram: https://www.instagram.com/alberts.restaurant/</t>
  </si>
  <si>
    <t>Vogelweide</t>
  </si>
  <si>
    <t>Berlin, 13507</t>
  </si>
  <si>
    <t>R√ºan-Thai</t>
  </si>
  <si>
    <t>Brunowstra√üe 8, Berlin, 13507</t>
  </si>
  <si>
    <t>Darjiling</t>
  </si>
  <si>
    <t>Alt-Tegel 25, Berlin, 13507</t>
  </si>
  <si>
    <t>https://www.restaurant-darjiling.de/</t>
  </si>
  <si>
    <t>rajah@restaurant-darjiling.de</t>
  </si>
  <si>
    <t>instagram: https://www.instagram.com/darjiling_berlin/, facebook: https://www.facebook.com/Darjiling.restaurant</t>
  </si>
  <si>
    <t>Lucky chinese</t>
  </si>
  <si>
    <t>Alt-Tegel 29, Berlin, 13507</t>
  </si>
  <si>
    <t>http://www.lucky-chinese.de/</t>
  </si>
  <si>
    <t>mail@lucky-chinese.de</t>
  </si>
  <si>
    <t>Bricole</t>
  </si>
  <si>
    <t>Senefelderstra√üe 30, Berlin, 10437</t>
  </si>
  <si>
    <t>http://www.bricole.de/</t>
  </si>
  <si>
    <t>info@bricole.de</t>
  </si>
  <si>
    <t>+49 30 84421362</t>
  </si>
  <si>
    <t>facebook: https://www.facebook.com/BricoleBerlin/, instagram: https://www.instagram.com/bricole_berlin/</t>
  </si>
  <si>
    <t>Gasthaus Bielefeldt</t>
  </si>
  <si>
    <t>Rodelh√ºtte</t>
  </si>
  <si>
    <t>Asia Rong-Vang</t>
  </si>
  <si>
    <t>https://www.rong-vang.de/</t>
  </si>
  <si>
    <t>Burger World</t>
  </si>
  <si>
    <t>Oderberger Stra√üe 16</t>
  </si>
  <si>
    <t>Kiezkantine</t>
  </si>
  <si>
    <t>Oderberger Stra√üe 50</t>
  </si>
  <si>
    <t>http://www.pinel-online.de/index.php?id=1048</t>
  </si>
  <si>
    <t>geschaeftsstelle@pinel.de</t>
  </si>
  <si>
    <t>+49 30 4484484</t>
  </si>
  <si>
    <t>Eastmoon</t>
  </si>
  <si>
    <t>Eberswalder Stra√üe 1, Berlin, 10437</t>
  </si>
  <si>
    <t>http://www.eastmoon.de/</t>
  </si>
  <si>
    <t>+49 30 65213506</t>
  </si>
  <si>
    <t>facebook: https://www.facebook.com/eastmoon</t>
  </si>
  <si>
    <t>Desha - Aceto Lokanta</t>
  </si>
  <si>
    <t>Elsenstra√üe 26, Berlin, 12435</t>
  </si>
  <si>
    <t>http://www.acetolokanta.de</t>
  </si>
  <si>
    <t>werbung@acetolokanta.de</t>
  </si>
  <si>
    <t>+49 30 53 21 91 10</t>
  </si>
  <si>
    <t>Thanh Nam Restaurant</t>
  </si>
  <si>
    <t>Alfred-Kowalke-Stra√üe 38, Berlin, 10315</t>
  </si>
  <si>
    <t>http://thanhnam-restaurant.de</t>
  </si>
  <si>
    <t>Asado</t>
  </si>
  <si>
    <t>Scharnweberstra√üe 67, Berlin, 13405</t>
  </si>
  <si>
    <t>http://www.asado-steakhaus.de</t>
  </si>
  <si>
    <t>info@asado-steakhaus.de</t>
  </si>
  <si>
    <t>+49 30 4138313</t>
  </si>
  <si>
    <t>facebook: https://www.facebook.com/AsadoSteakhaus</t>
  </si>
  <si>
    <t>Restaurant Breslau</t>
  </si>
  <si>
    <t>Sredzkistra√üe 67, Berlin, 10405</t>
  </si>
  <si>
    <t>https://www.restaurantbreslau.de/</t>
  </si>
  <si>
    <t>info@restaurantbreslau.de</t>
  </si>
  <si>
    <t>+49 30 91441017</t>
  </si>
  <si>
    <t>facebook: https://www.facebook.com/TostinaBerlin/</t>
  </si>
  <si>
    <t>Thai Aroma</t>
  </si>
  <si>
    <t>Dunckerstra√üe 18, Berlin, 10437</t>
  </si>
  <si>
    <t>http://www.thaiaroma.de/</t>
  </si>
  <si>
    <t>ristorantecafearoma@gmail.com</t>
  </si>
  <si>
    <t>+49 30 91516049</t>
  </si>
  <si>
    <t>facebook: https://www.facebook.com/Thai-Aroma-Dunckerstr-18-280957568647825</t>
  </si>
  <si>
    <t>Tulum</t>
  </si>
  <si>
    <t>Am Volkspark 85, Berlin, 10715</t>
  </si>
  <si>
    <t>http://www.tulum-restaurant.de</t>
  </si>
  <si>
    <t>info@tulum-restaurant.de</t>
  </si>
  <si>
    <t>Ristorante Botticelli</t>
  </si>
  <si>
    <t>Badensche Stra√üe 33, Berlin, 10715</t>
  </si>
  <si>
    <t>https://ristorante-botticelli.de</t>
  </si>
  <si>
    <t>instagram: https://instagram.com/ristorante.botticelli</t>
  </si>
  <si>
    <t>Latichte</t>
  </si>
  <si>
    <t>Alt-Reinickendorf 29a, Berlin, 13407</t>
  </si>
  <si>
    <t>https://www.latichte-alt-reinickendorf.de/</t>
  </si>
  <si>
    <t>info@latichte-alt-reinickendorf.de</t>
  </si>
  <si>
    <t>+49 30 4952168</t>
  </si>
  <si>
    <t>Al Hamra</t>
  </si>
  <si>
    <t>Raumerstra√üe 16, Berlin, 10437</t>
  </si>
  <si>
    <t>https://www.alhamra.de/</t>
  </si>
  <si>
    <t>bar@alhamra.de</t>
  </si>
  <si>
    <t>+49 30 42850095</t>
  </si>
  <si>
    <t>instagram: https://www.instagram.com/al_hamra_berlin/?hl=de</t>
  </si>
  <si>
    <t>ƒê·ªëng ƒêa</t>
  </si>
  <si>
    <t>Pfarrstra√üe 121, Berlin, 10317</t>
  </si>
  <si>
    <t>https://dongda-restaurant.de/</t>
  </si>
  <si>
    <t>info@dongda-restaurant.de</t>
  </si>
  <si>
    <t>facebook: https://www.facebook.com/dongdarestaurant/?locale=de_DE, instagram: https://www.instagram.com/dongdarestaurant/?hl=de</t>
  </si>
  <si>
    <t>Ausbildungsrestaurant Am Kuhgraben</t>
  </si>
  <si>
    <t>Pfarrstra√üe 111, Berlin, 10317</t>
  </si>
  <si>
    <t>https://www.sozdia.de/taetigkeitsbereiche/ausbildung-qualifizierung/ausbildungsrestaurant-am-kuhgraben/ueber-uns</t>
  </si>
  <si>
    <t>+49 30 5530463</t>
  </si>
  <si>
    <t>facebook: https://www.facebook.com/SozDia/, instagram: https://www.instagram.com/sozdiastiftungberlin, linkedin: https://www.linkedin.com/company/sozdia-stiftung-berlin-gemeinsam-leben-gestalten/</t>
  </si>
  <si>
    <t>Jel√§nger Jelieber</t>
  </si>
  <si>
    <t>Kaskelstra√üe 49, Berlin, 10317</t>
  </si>
  <si>
    <t>https://jel√§ngerjelieber.de</t>
  </si>
  <si>
    <t>jelaengerjelieber@yahoo.de</t>
  </si>
  <si>
    <t>+49 30 55576067</t>
  </si>
  <si>
    <t>facebook: https://www.facebook.com/RestaurantJelangerJelieber/?ref=hl</t>
  </si>
  <si>
    <t>JAS</t>
  </si>
  <si>
    <t>Kaskelstra√üe 27, Berlin, 10317</t>
  </si>
  <si>
    <t>https://www.jas-berlin.de</t>
  </si>
  <si>
    <t>+49 30 57794123</t>
  </si>
  <si>
    <t>instagram: https://www.instagram.com/jas_restauration/?hl=de</t>
  </si>
  <si>
    <t>Goa II</t>
  </si>
  <si>
    <t>Gleimstra√üe 17-18, Berlin, 10437</t>
  </si>
  <si>
    <t>https://www.goa2-berlin.de/</t>
  </si>
  <si>
    <t>+49 30 9759653</t>
  </si>
  <si>
    <t>Blaue Laguna</t>
  </si>
  <si>
    <t>Alt-Tegel 28, Berlin, 13507</t>
  </si>
  <si>
    <t>Kalogria</t>
  </si>
  <si>
    <t>Brunowstra√üe 50, Berlin, 13507</t>
  </si>
  <si>
    <t>Don Giuseppe</t>
  </si>
  <si>
    <t>Berliner Stra√üe 13, Berlin, 13507</t>
  </si>
  <si>
    <t>Sun Wah</t>
  </si>
  <si>
    <t>Alt-Tegel 4, Berlin, 13507</t>
  </si>
  <si>
    <t>https://www.chinarestaurant-berlin-tegel.de/</t>
  </si>
  <si>
    <t>+49 30 4335063</t>
  </si>
  <si>
    <t>Vinpearl</t>
  </si>
  <si>
    <t>Raumerstra√üe 14a, Berlin, 10437</t>
  </si>
  <si>
    <t>http://www.vinpearl.de/</t>
  </si>
  <si>
    <t>47377513info@vinpearl.deSocialinstagramfacebookInfoprivacyimprint</t>
  </si>
  <si>
    <t>+49 30 47377513</t>
  </si>
  <si>
    <t>instagram: https://www.instagram.com/vinpearlberlin/, facebook: https://www.facebook.com/VinpearlRestaurant</t>
  </si>
  <si>
    <t>Restaurantschiff Capt'n Schillow</t>
  </si>
  <si>
    <t>Stra√üe des 17. Juni 113, Berlin, 10623</t>
  </si>
  <si>
    <t>http://www.capt-schillow.de</t>
  </si>
  <si>
    <t>+49 30 31505015</t>
  </si>
  <si>
    <t>Rangla Punjab</t>
  </si>
  <si>
    <t>K√∂penicker Stra√üe 36, Berlin, 12524</t>
  </si>
  <si>
    <t>http://www.rangla-punjab.net/</t>
  </si>
  <si>
    <t>+49 30 63314060</t>
  </si>
  <si>
    <t>China Haus</t>
  </si>
  <si>
    <t>Da Gatto Nero</t>
  </si>
  <si>
    <t>Rapunzelstra√üe 49, Berlin, 12524</t>
  </si>
  <si>
    <t>https://da-gatto-nero.eatbu.com</t>
  </si>
  <si>
    <t>No-Mail@web.de</t>
  </si>
  <si>
    <t>+49 30 67896763</t>
  </si>
  <si>
    <t>instagram: https://www.instagram.com/dagattonero/</t>
  </si>
  <si>
    <t>Kinder Kochspa√ü. Kochschule &amp; Familienrestaurant</t>
  </si>
  <si>
    <t>Binger Stra√üe 9, Berlin, 14197</t>
  </si>
  <si>
    <t>+49 30 639 63 095</t>
  </si>
  <si>
    <t>Eventschiff ‚ÄûarsVivendi‚Äú</t>
  </si>
  <si>
    <t>Freiheit 15, Berlin, 12555</t>
  </si>
  <si>
    <t>https://www.freiheit15.de/</t>
  </si>
  <si>
    <t>+49 30 65887825</t>
  </si>
  <si>
    <t>instagram: https://www.instagram.com/freiheit_15/, facebook: https://www.facebook.com/FreiheitFuenfzehn</t>
  </si>
  <si>
    <t>Aao Ji Restaurant</t>
  </si>
  <si>
    <t>Alt-K√∂penick 1, Berlin, 12555</t>
  </si>
  <si>
    <t>Naveena Path</t>
  </si>
  <si>
    <t>Tegeler Stra√üe 22, Berlin, 13353</t>
  </si>
  <si>
    <t>+49 30 45029460</t>
  </si>
  <si>
    <t>Tex-Mex Cantina</t>
  </si>
  <si>
    <t>Georgenstra√üe, Berlin, 10117</t>
  </si>
  <si>
    <t>Bavarian</t>
  </si>
  <si>
    <t>Askanischer Platz 4, Berlin, 10963</t>
  </si>
  <si>
    <t>http://www.bavarium-berlin.de</t>
  </si>
  <si>
    <t>Veli's Restaurant</t>
  </si>
  <si>
    <t>Stresemannstra√üe 95, Berlin, 10963</t>
  </si>
  <si>
    <t>http://velis-restaurant.de/</t>
  </si>
  <si>
    <t>info@nis-restaurant.de</t>
  </si>
  <si>
    <t>+49 30 69001518</t>
  </si>
  <si>
    <t>Essenza</t>
  </si>
  <si>
    <t>Potsdamer Platz 1, Berlin, 10785</t>
  </si>
  <si>
    <t>http://www.ristorante-essenza.de/index_ls125.html</t>
  </si>
  <si>
    <t>info@ristorante-essenza.de</t>
  </si>
  <si>
    <t>+49 30 25796856</t>
  </si>
  <si>
    <t>Alt-Berliner Wirtshaus</t>
  </si>
  <si>
    <t>Wilhelmstra√üe 77, Berlin, 10117</t>
  </si>
  <si>
    <t>https://www.altberliner-wirtshaus.de/</t>
  </si>
  <si>
    <t>wirtshaus@hamanns-gastronomie.de</t>
  </si>
  <si>
    <t>+49 30 22488205</t>
  </si>
  <si>
    <t>Hopfingerbr√§u im Palais</t>
  </si>
  <si>
    <t>Ebertstra√üe 24, Berlin, 10117</t>
  </si>
  <si>
    <t>+49 30 20458637</t>
  </si>
  <si>
    <t>Osteria Caruso</t>
  </si>
  <si>
    <t>K√∂thener Stra√üe 38, Berlin, 10963</t>
  </si>
  <si>
    <t>https://www.osteria-caruso.de/</t>
  </si>
  <si>
    <t>info@osteria-caruso.de</t>
  </si>
  <si>
    <t>+49 30 23004574</t>
  </si>
  <si>
    <t>Mido</t>
  </si>
  <si>
    <t>Wilmersdorfer Stra√üe 94, Berlin, 10629</t>
  </si>
  <si>
    <t>https://www.mido.berlin/</t>
  </si>
  <si>
    <t>Pizzeria Parisi</t>
  </si>
  <si>
    <t>Yedo</t>
  </si>
  <si>
    <t>Kastanienallee 18, Berlin, 10435</t>
  </si>
  <si>
    <t>https://yedo-berlin.de/</t>
  </si>
  <si>
    <t>facebook: https://www.facebook.com/yedoberlinrestaurant/, instagram: https://www.instagram.com/yedo.berlin/</t>
  </si>
  <si>
    <t>Piazza Mare</t>
  </si>
  <si>
    <t>Aalemannufer 31, Berlin, 13587</t>
  </si>
  <si>
    <t>https://piazzamare.de/</t>
  </si>
  <si>
    <t>info@piazzamare.de</t>
  </si>
  <si>
    <t>+49 30 69565406</t>
  </si>
  <si>
    <t>Ciccia</t>
  </si>
  <si>
    <t>Anna-Louisa-Karsch-Stra√üe 2, Berlin, 10178</t>
  </si>
  <si>
    <t>Viet Long</t>
  </si>
  <si>
    <t>Hohenzollerndamm 54a, Berlin, 14199</t>
  </si>
  <si>
    <t>https://www.viet-long-berlin.de/</t>
  </si>
  <si>
    <t>vietnguyen@live.de</t>
  </si>
  <si>
    <t>+49 30 61299245</t>
  </si>
  <si>
    <t>Haus Sch√∂nwald</t>
  </si>
  <si>
    <t>Ratskeller K√∂penick</t>
  </si>
  <si>
    <t>Alt-K√∂penick 21, Berlin, 12555</t>
  </si>
  <si>
    <t>http://www.ratskeller-koepenick.de</t>
  </si>
  <si>
    <t>info@ratskeller-koepenick.de</t>
  </si>
  <si>
    <t>+49 30 6555178</t>
  </si>
  <si>
    <t>facebook: https://www.facebook.com/RatskellerKoepenick?fref=ts, twitter: https://twitter.com/share</t>
  </si>
  <si>
    <t>Pong's</t>
  </si>
  <si>
    <t>J√∂rsstra√üe 14, Berlin, 13505</t>
  </si>
  <si>
    <t>+49 30 4362070</t>
  </si>
  <si>
    <t>Carpe Diem</t>
  </si>
  <si>
    <t>https://www.carpediem-lichterfelde.de/</t>
  </si>
  <si>
    <t>+49 30 7113644</t>
  </si>
  <si>
    <t>Yumcha Heroes</t>
  </si>
  <si>
    <t>Weinbergsweg 8, Berlin, 10119</t>
  </si>
  <si>
    <t>http://www.yumchaheroes.de/</t>
  </si>
  <si>
    <t>info@yumchaheroes.com</t>
  </si>
  <si>
    <t>instagram: https://www.instagram.com/yumcha_heroes/, tiktok: https://www.tiktok.com/@yumchaheroes_berlin?_r=1&amp;_t=ZN-9204FMXZsog</t>
  </si>
  <si>
    <t>Austernbank</t>
  </si>
  <si>
    <t>Behrenstra√üe 42, Berlin, 10117</t>
  </si>
  <si>
    <t>https://www.austernbank-berlin.de/</t>
  </si>
  <si>
    <t>facebook: https://www.facebook.com/austernbank, instagram: https://www.instagram.com/austernbank/</t>
  </si>
  <si>
    <t>James Simon Bar</t>
  </si>
  <si>
    <t>Berlin, 10178</t>
  </si>
  <si>
    <t>http://www.jamessimonbar.de/</t>
  </si>
  <si>
    <t>+49 30 84710709</t>
  </si>
  <si>
    <t>Arjun</t>
  </si>
  <si>
    <t>Hard Rock Cafe</t>
  </si>
  <si>
    <t>Kurf√ºrstendamm 224, Berlin, 10719</t>
  </si>
  <si>
    <t>https://www.hardrockcafe.com/location/berlin/</t>
  </si>
  <si>
    <t>berlin_social@hardrock.com</t>
  </si>
  <si>
    <t>+49 30 884620</t>
  </si>
  <si>
    <t>instagram: https://www.instagram.com/hardrockcafe/, facebook: http://facebook.com/hardrock, twitter: http://twitter.com/hardrock, tiktok: https://www.tiktok.com/@officialhardrockcafe</t>
  </si>
  <si>
    <t>Wiesenbkick</t>
  </si>
  <si>
    <t>Degnerstra√üe 7, Berlin, 13053</t>
  </si>
  <si>
    <t>Speisegastst√§tte Pietschmanns</t>
  </si>
  <si>
    <t>Silverado</t>
  </si>
  <si>
    <t>Ristorante San Giorgio</t>
  </si>
  <si>
    <t>Mommsenstra√üe 36, Berlin, 10629</t>
  </si>
  <si>
    <t>Katis</t>
  </si>
  <si>
    <t>Blissestra√üe 33, Berlin, 10713</t>
  </si>
  <si>
    <t>http://www.bistro-katis.de/</t>
  </si>
  <si>
    <t>+49 30 53049422</t>
  </si>
  <si>
    <t>Fire 1973</t>
  </si>
  <si>
    <t>Mecklenburgische Stra√üe 14, Berlin, 10713</t>
  </si>
  <si>
    <t>https://fire1973.de</t>
  </si>
  <si>
    <t>+49 30 82716808</t>
  </si>
  <si>
    <t>Ammazza che Pizza</t>
  </si>
  <si>
    <t>Maybachufer 21, Berlin, 12047</t>
  </si>
  <si>
    <t>http://www.ammazza.de/</t>
  </si>
  <si>
    <t>info@ammazza.de</t>
  </si>
  <si>
    <t>+49 30 62900043</t>
  </si>
  <si>
    <t>Mykonos</t>
  </si>
  <si>
    <t>Wendenschlo√üstra√üe 43, Berlin, 12559</t>
  </si>
  <si>
    <t>+49 30 65499219</t>
  </si>
  <si>
    <t>Pasta &amp; Vino</t>
  </si>
  <si>
    <t>Stargarder Stra√üe 72, Berlin</t>
  </si>
  <si>
    <t>http://pasta-vino-berlin.de/</t>
  </si>
  <si>
    <t>info@pasta-vino-berlin.de</t>
  </si>
  <si>
    <t>+49 30 60947917</t>
  </si>
  <si>
    <t>instagram: https://www.instagram.com/pasta_vino_/?hl=de</t>
  </si>
  <si>
    <t>Lumite</t>
  </si>
  <si>
    <t>Stargarder Stra√üe 13, Berlin, 10437</t>
  </si>
  <si>
    <t>Rymi-Sushi</t>
  </si>
  <si>
    <t>Stargarder Stra√üe 11, Berlin, 10437</t>
  </si>
  <si>
    <t>https://miu-sushi.de/5007/</t>
  </si>
  <si>
    <t>'A Magica</t>
  </si>
  <si>
    <t>Greifenhagener Stra√üe 54, Berlin, 10437</t>
  </si>
  <si>
    <t>https://www.amagica.de/</t>
  </si>
  <si>
    <t>+49 30 22808290</t>
  </si>
  <si>
    <t>Baraka</t>
  </si>
  <si>
    <t>Lausitzer Platz 6, Berlin, 10997</t>
  </si>
  <si>
    <t>http://restaurant-baraka.com/</t>
  </si>
  <si>
    <t>Barakaberlin10997@gmail.com</t>
  </si>
  <si>
    <t>+49 30 6126330</t>
  </si>
  <si>
    <t>facebook: https://www.facebook.com/RestaurantBarakaBerlin, instagram: https://www.instagram.com/restaurantbaraka?igsh=bTJwcmJqemNjeW44</t>
  </si>
  <si>
    <t>Crazy Kims</t>
  </si>
  <si>
    <t>Muskauer Stra√üe 13, Berlin, 10997</t>
  </si>
  <si>
    <t>http://crazykims.de/</t>
  </si>
  <si>
    <t>info@crazykims.de</t>
  </si>
  <si>
    <t>+49 30 677 95 777</t>
  </si>
  <si>
    <t>Marktlokal</t>
  </si>
  <si>
    <t>P√ºcklerstra√üe 34, Berlin, 10997</t>
  </si>
  <si>
    <t>https://www.marktlokal.berlin/</t>
  </si>
  <si>
    <t>info@marktlokal.berlin</t>
  </si>
  <si>
    <t>+49 30 28665122</t>
  </si>
  <si>
    <t>Gastst√§tte am Kreuzberg</t>
  </si>
  <si>
    <t>Monumentenstra√üe 22, Berlin, 10965</t>
  </si>
  <si>
    <t>M√∂ckernstra√üe 73a, Berlin, 10965</t>
  </si>
  <si>
    <t>Sichuan China-Restaurant</t>
  </si>
  <si>
    <t>Albrechtstra√üe 92, Berlin, 12167</t>
  </si>
  <si>
    <t>Van Loon</t>
  </si>
  <si>
    <t>Carl-Herz-Ufer 5, Berlin, 10961</t>
  </si>
  <si>
    <t>http://www.vanloon.de</t>
  </si>
  <si>
    <t>info@vanloon.de</t>
  </si>
  <si>
    <t>+49 30 6926293</t>
  </si>
  <si>
    <t>facebook: https://www.facebook.com/vanLoon.Berlin/, instagram: https://www.instagram.com/vanloonberlin, linkedin: https://www.linkedin.com/company/van-loon-restaurantschiffe-und-reederei/</t>
  </si>
  <si>
    <t>Yame Numnums Sushi</t>
  </si>
  <si>
    <t>Friedelstra√üe 24, Berlin, 12047</t>
  </si>
  <si>
    <t>https://www.yamenumnums.com/</t>
  </si>
  <si>
    <t>yamenumnums@gmail.com</t>
  </si>
  <si>
    <t>facebook: https://www.facebook.com/yamenumnum/, instagram: https://www.instagram.com/yame_numnums/?hl=de</t>
  </si>
  <si>
    <t>Galbi-House</t>
  </si>
  <si>
    <t>Buchholzer Stra√üe 5, Berlin, 10437</t>
  </si>
  <si>
    <t>https://vina-haus-restaurant-berlin.eatbu.com/</t>
  </si>
  <si>
    <t>mrvietanhtran@icloud.com</t>
  </si>
  <si>
    <t>+49 1515 3556789</t>
  </si>
  <si>
    <t>Tres Tapas</t>
  </si>
  <si>
    <t>Lychener Stra√üe 30, Berlin, 10437</t>
  </si>
  <si>
    <t>https://www.tres-tapas.de/</t>
  </si>
  <si>
    <t>info@andalucia-berlin.de</t>
  </si>
  <si>
    <t>+49 30 41715718</t>
  </si>
  <si>
    <t>facebook: https://www.facebook.com/TresTapasBerlin/</t>
  </si>
  <si>
    <t>Mr. Hoang</t>
  </si>
  <si>
    <t>Gerichtstra√üe 30, Berlin, 13347</t>
  </si>
  <si>
    <t>Gazzo</t>
  </si>
  <si>
    <t>Hobrechtstra√üe 57, Berlin, 12047</t>
  </si>
  <si>
    <t>https://www.gazzopizza.com/</t>
  </si>
  <si>
    <t>info@gazzopizza.com</t>
  </si>
  <si>
    <t>+49 30 98370104</t>
  </si>
  <si>
    <t>instagram: http://www.instagram.com/gazzopizza, facebook: https://www.facebook.com/Gazzo-Pizza-610089946015192/</t>
  </si>
  <si>
    <t>Kotti Dang</t>
  </si>
  <si>
    <t>Lenaustra√üe 28, Berlin, 12047</t>
  </si>
  <si>
    <t>http://kottidang.de/</t>
  </si>
  <si>
    <t>Monsieur Vuong</t>
  </si>
  <si>
    <t>Alte Sch√∂nhauser Stra√üe 46, Berlin, 10119</t>
  </si>
  <si>
    <t>http://www.monsieurvuong.de/</t>
  </si>
  <si>
    <t>instagram: https://www.instagram.com/monsieur_vuong/</t>
  </si>
  <si>
    <t>La Paz</t>
  </si>
  <si>
    <t>Kurt-Weill-Gasse 7, Berlin, 12627</t>
  </si>
  <si>
    <t>http://www.lapaz-berlin.de/</t>
  </si>
  <si>
    <t>info@lapaz.de</t>
  </si>
  <si>
    <t>+49 30 99498457</t>
  </si>
  <si>
    <t>Do-Long</t>
  </si>
  <si>
    <t>Wilmersdorfer Stra√üe 29, Berlin, 10585</t>
  </si>
  <si>
    <t>Lecker Song</t>
  </si>
  <si>
    <t>Schliemannstra√üe 19, Berlin, 10437</t>
  </si>
  <si>
    <t>https://www.leckersong.de/</t>
  </si>
  <si>
    <t>+49 30 26374447</t>
  </si>
  <si>
    <t>Kongfu Chili</t>
  </si>
  <si>
    <t>Schliemannstra√üe 31, Berlin, 10437</t>
  </si>
  <si>
    <t>https://www.kongfuchili.de/</t>
  </si>
  <si>
    <t>+49 30 28636328</t>
  </si>
  <si>
    <t>Uncle Bien</t>
  </si>
  <si>
    <t>Fennstra√üe 4, Berlin, 13347</t>
  </si>
  <si>
    <t>Majhe Wale</t>
  </si>
  <si>
    <t>Stra√üe 231 129, Berlin, 12355</t>
  </si>
  <si>
    <t>majhe-wale.eatbu.com</t>
  </si>
  <si>
    <t>majhewale22@yahoo.com</t>
  </si>
  <si>
    <t>+49 30 66621349</t>
  </si>
  <si>
    <t>Timeless - Restaurant/Cocktailbar</t>
  </si>
  <si>
    <t>Kaiserin-Augusta-Allee 92, Berlin, 10589</t>
  </si>
  <si>
    <t>https://timeless-restaurant.eu/</t>
  </si>
  <si>
    <t>timeless_restaurant@arcor.deWeb</t>
  </si>
  <si>
    <t>Berkis</t>
  </si>
  <si>
    <t>Winterfeldtstra√üe 45, Berlin, 10781</t>
  </si>
  <si>
    <t>https://www.berkis.de/</t>
  </si>
  <si>
    <t>+49 30 77900402</t>
  </si>
  <si>
    <t>Teller</t>
  </si>
  <si>
    <t>Pappelallee 29, Berlin, 10437</t>
  </si>
  <si>
    <t>https://www.tellerberlin.com</t>
  </si>
  <si>
    <t>hello@tellerberlin.com</t>
  </si>
  <si>
    <t>instagram: https://www.instagram.com/tellerberlin</t>
  </si>
  <si>
    <t>Zia Maria</t>
  </si>
  <si>
    <t>Pappelallee 32a, Berlin, 10437</t>
  </si>
  <si>
    <t>https://www.zia-maria.de/</t>
  </si>
  <si>
    <t>Ziamariaberlin1@gmail.com</t>
  </si>
  <si>
    <t>LIBA Pizzeria &amp; Cafe</t>
  </si>
  <si>
    <t>Nonnendammallee 93b, Berlin, 13629</t>
  </si>
  <si>
    <t>Thai Hang Bistro</t>
  </si>
  <si>
    <t>Hohenzollernplatz 7-4, Berlin, 14129</t>
  </si>
  <si>
    <t>https://www.thaihangbistro.de/</t>
  </si>
  <si>
    <t>April</t>
  </si>
  <si>
    <t>Eisenacher Stra√üe 75, Berlin, 10823</t>
  </si>
  <si>
    <t>https://www.restaurant-april.net</t>
  </si>
  <si>
    <t>+49 30 2168869</t>
  </si>
  <si>
    <t>facebook: https://www.facebook.com/restaurantapril/, instagram: https://www.instagram.com/restaurantapril_/</t>
  </si>
  <si>
    <t>Trattoria Lambretta</t>
  </si>
  <si>
    <t>Revaler Stra√üe 14, Berlin, 10245</t>
  </si>
  <si>
    <t>https://www.labruschetta-berlin.de/</t>
  </si>
  <si>
    <t>+49 30 55526317</t>
  </si>
  <si>
    <t>instagram: https://www.instagram.com/trattorialabruschetta, facebook: https://www.facebook.com/labruschetta.berlin</t>
  </si>
  <si>
    <t>Zama Janan</t>
  </si>
  <si>
    <t>Kaiserdamm 114, Berlin, 14057</t>
  </si>
  <si>
    <t>Tratorria La Calabrisella</t>
  </si>
  <si>
    <t>Principessa</t>
  </si>
  <si>
    <t>Prinzessinnenstra√üe 3, Berlin, 12307</t>
  </si>
  <si>
    <t>https://www.restaurant-principessa-berlin.de</t>
  </si>
  <si>
    <t>+49 30 70766965</t>
  </si>
  <si>
    <t>Sushi Yana</t>
  </si>
  <si>
    <t>Bahnhofstra√üe 29, Berlin, 12305</t>
  </si>
  <si>
    <t>https://www.sushi-yana.de/sushi-lieferservice-berlin-lichtenrade/</t>
  </si>
  <si>
    <t>+49 30 70766437</t>
  </si>
  <si>
    <t>Ristorante "Landhaus am Poloplatz"</t>
  </si>
  <si>
    <t>Am Poloplatz 9, Berlin, 13465</t>
  </si>
  <si>
    <t>https://www.landhausampoloplatz.de/</t>
  </si>
  <si>
    <t>landhausampoloplatz@email.de</t>
  </si>
  <si>
    <t>+49 30 4019035</t>
  </si>
  <si>
    <t>Yammas Tavernakis</t>
  </si>
  <si>
    <t>Bahnhofstra√üe 39, Berlin, 12305</t>
  </si>
  <si>
    <t>https://www.yammas-lichtenrade.de</t>
  </si>
  <si>
    <t>+49 30 23907266</t>
  </si>
  <si>
    <t>facebook: https://www.facebook.com/Yammasgyros/, instagram: https://www.instagram.com/yammas.lichtenrade/</t>
  </si>
  <si>
    <t>Pizzeria Europa</t>
  </si>
  <si>
    <t>Wiclefstra√üe 30, Berlin, 10551</t>
  </si>
  <si>
    <t>http://www.pizza-europa-berlin.de/</t>
  </si>
  <si>
    <t>info@da-luma.de</t>
  </si>
  <si>
    <t>+49 30 3923351</t>
  </si>
  <si>
    <t>Ko Chang</t>
  </si>
  <si>
    <t>Bahnhofstra√üe, Berlin, 12305</t>
  </si>
  <si>
    <t>Moon</t>
  </si>
  <si>
    <t>Langhansstra√üe 153, Berlin, 13086</t>
  </si>
  <si>
    <t>+49 30 92901768</t>
  </si>
  <si>
    <t>Klements</t>
  </si>
  <si>
    <t>Mahlerstra√üe 5, Berlin, 13088</t>
  </si>
  <si>
    <t>https://restaurant-klements.de/</t>
  </si>
  <si>
    <t>rainer.klement@gmx.de</t>
  </si>
  <si>
    <t>+49 30 60270477</t>
  </si>
  <si>
    <t>Eierschale</t>
  </si>
  <si>
    <t>Podbielskiallee 50, Berlin, 14195</t>
  </si>
  <si>
    <t>http://www.berliner-eierschale.de/</t>
  </si>
  <si>
    <t>info@berliner-eierschale.de</t>
  </si>
  <si>
    <t>+49 30 83228387</t>
  </si>
  <si>
    <t>Charme Thai Bistro Cafe</t>
  </si>
  <si>
    <t>Lychener Stra√üe 13, Berlin, 10437</t>
  </si>
  <si>
    <t>service@charme-thaibistro.de</t>
  </si>
  <si>
    <t>Brauhaus Georgbr√§u</t>
  </si>
  <si>
    <t>Spreeufer 4, Berlin, 10178</t>
  </si>
  <si>
    <t>http://www.georgbraeu.de</t>
  </si>
  <si>
    <t>+49 30 2424244</t>
  </si>
  <si>
    <t>Das Lemke</t>
  </si>
  <si>
    <t>Dircksenstra√üe 143, Berlin, 10178</t>
  </si>
  <si>
    <t>https://hm.lemke.berlin/</t>
  </si>
  <si>
    <t>hackeschermarkt@lemkeberlin.com</t>
  </si>
  <si>
    <t>+49 30 24728727</t>
  </si>
  <si>
    <t>instagram: https://www.instagram.com/daslemke/, facebook: https://www.facebook.com/daslemke/</t>
  </si>
  <si>
    <t>Qui 31</t>
  </si>
  <si>
    <t>Suarezstra√üe 31, Berlin, 14057</t>
  </si>
  <si>
    <t>https://qui31.de</t>
  </si>
  <si>
    <t>info@qui31.de</t>
  </si>
  <si>
    <t>Der Hahn Ist Tot!</t>
  </si>
  <si>
    <t>Zionskirchstra√üe 40, Berlin, 10119</t>
  </si>
  <si>
    <t>http://www.der-hahn-ist-tot.de</t>
  </si>
  <si>
    <t>zuckerbrot-und-peitsche@der-hahn-ist-tot.de</t>
  </si>
  <si>
    <t>+49 30 65706756</t>
  </si>
  <si>
    <t>Sixties</t>
  </si>
  <si>
    <t>Oranienburger Stra√üe 11, Berlin, 10178</t>
  </si>
  <si>
    <t>https://sixtiesdiner.de/</t>
  </si>
  <si>
    <t>info@sixtiesdiner.de</t>
  </si>
  <si>
    <t>+49 30 28599041</t>
  </si>
  <si>
    <t>facebook: https://www.facebook.com/TheSixtiesDinerBerlin/, instagram: https://www.instagram.com/route66dinerberlin/</t>
  </si>
  <si>
    <t>Museumsrestaurant Anhalt</t>
  </si>
  <si>
    <t>Trebbiner Stra√üe 9, Berlin, 10963</t>
  </si>
  <si>
    <t>https://einhorn-catering.de/de/restaurants.php#cafe_anhalt</t>
  </si>
  <si>
    <t>info@einhorn-catering.de</t>
  </si>
  <si>
    <t>Feng Yuan</t>
  </si>
  <si>
    <t>Kaiser-Wilhelm-Stra√üe 8, Berlin, 12247</t>
  </si>
  <si>
    <t>https://www.chinarestaurantfengyuan.de/</t>
  </si>
  <si>
    <t>+49 30 8343862</t>
  </si>
  <si>
    <t>Mittmann‚Äôs</t>
  </si>
  <si>
    <t>Br√ºckenstra√üe 12, Berlin, 10179</t>
  </si>
  <si>
    <t>https://www.mittmanns-restaurant.de/</t>
  </si>
  <si>
    <t>+49 30 2793502</t>
  </si>
  <si>
    <t>Caf√©teria EN</t>
  </si>
  <si>
    <t>Einsteinufer 17, Berlin, 10587</t>
  </si>
  <si>
    <t>http://personalkantine.personalabteilung.tu-berlin.de/</t>
  </si>
  <si>
    <t>Altberliner Restaurant</t>
  </si>
  <si>
    <t>F√ºrstenberger Stra√üe 1, Berlin, 10435</t>
  </si>
  <si>
    <t>http://www.altberliner-restaurant.de</t>
  </si>
  <si>
    <t>alf.kolbe@arcor.de</t>
  </si>
  <si>
    <t>+49 30 4495151</t>
  </si>
  <si>
    <t>Da Silvana &amp; Renato</t>
  </si>
  <si>
    <t>Zur Linde</t>
  </si>
  <si>
    <t>Kirchhainer Damm 37, Berlin, 12309</t>
  </si>
  <si>
    <t>http://zur-linde-lichtenrade.de/</t>
  </si>
  <si>
    <t>info@zur-linde-lichtenrade.com</t>
  </si>
  <si>
    <t>+49 30 7445558</t>
  </si>
  <si>
    <t>Hoa Sen</t>
  </si>
  <si>
    <t>Lichtenrader Damm 10, 12305</t>
  </si>
  <si>
    <t>http://www.hoasen-restaurant.de</t>
  </si>
  <si>
    <t>+49 30 7422657</t>
  </si>
  <si>
    <t>Alin</t>
  </si>
  <si>
    <t>+49 1732089056</t>
  </si>
  <si>
    <t>Restaurant Charlottchen</t>
  </si>
  <si>
    <t>Droysenstra√üe 1, Berlin, 10629</t>
  </si>
  <si>
    <t>https://www.restaurant-charlottchen.de/</t>
  </si>
  <si>
    <t>charlottchen@mosaik-berlin.de</t>
  </si>
  <si>
    <t>+49 30 3244717</t>
  </si>
  <si>
    <t>Kurpfalz-Weinstuben</t>
  </si>
  <si>
    <t>Wilmersdorfer Stra√üe 93, Berlin, 10629</t>
  </si>
  <si>
    <t>https://kurpfalz-weinstuben.de/</t>
  </si>
  <si>
    <t>+49 30 8836664</t>
  </si>
  <si>
    <t>facebook: https://www.facebook.com/Kurpfalz-Weinstuben-150448044991985, instagram: https://www.instagram.com/kurpfalz.weinstuben/</t>
  </si>
  <si>
    <t>Sisal</t>
  </si>
  <si>
    <t>Doree</t>
  </si>
  <si>
    <t>Dominicusstra√üe 37, Berlin, 10827</t>
  </si>
  <si>
    <t>Son La</t>
  </si>
  <si>
    <t>Franz-Jacob-Stra√üe 2a, Berlin, 10369</t>
  </si>
  <si>
    <t>Lichtblick</t>
  </si>
  <si>
    <t>Birkenstra√üe 33, Berlin, 10551</t>
  </si>
  <si>
    <t>http://www.restaurant-lichtblick.de</t>
  </si>
  <si>
    <t>info@restaurant-lichtblick.de</t>
  </si>
  <si>
    <t>+49 30 3951996</t>
  </si>
  <si>
    <t>Leysia</t>
  </si>
  <si>
    <t>The Future is Up to You</t>
  </si>
  <si>
    <t>Kastanienallee 63, Berlin, 10119</t>
  </si>
  <si>
    <t>https://www.thefiuty-thefutureisuptoyou.berlin/about/</t>
  </si>
  <si>
    <t>+49 3070238336</t>
  </si>
  <si>
    <t>Hackescher Hof</t>
  </si>
  <si>
    <t>Rosenthaler Stra√üe 40-41, Berlin, 10178</t>
  </si>
  <si>
    <t>http://www.hackescher-hof.de</t>
  </si>
  <si>
    <t>post@hackescher-hof.de</t>
  </si>
  <si>
    <t>+49 30 28 35 293</t>
  </si>
  <si>
    <t>Oxymoron</t>
  </si>
  <si>
    <t>http://www.oxymoron-berlin.de</t>
  </si>
  <si>
    <t>info@oxymoron-berlin.de</t>
  </si>
  <si>
    <t>+49 30 28391886</t>
  </si>
  <si>
    <t>D≈çH≈ç Sushi</t>
  </si>
  <si>
    <t>Dahlmannstra√üe 14, Berlin, 10629</t>
  </si>
  <si>
    <t>https://www.dohosushibar-berlin.de/</t>
  </si>
  <si>
    <t>dohosushi14@gmail.com</t>
  </si>
  <si>
    <t>SemiRamis</t>
  </si>
  <si>
    <t>Dahlmannstra√üe, Berlin, 10629</t>
  </si>
  <si>
    <t>http://www.semiramis-berlin.de/</t>
  </si>
  <si>
    <t>info@semiramis-berlin.de</t>
  </si>
  <si>
    <t>Noumi noodles</t>
  </si>
  <si>
    <t>Turmstra√üe 64, Berlin, 10551</t>
  </si>
  <si>
    <t>Han Sa Rang</t>
  </si>
  <si>
    <t>Beusselstra√üe 61, Berlin, 10553</t>
  </si>
  <si>
    <t>https://www.hansarangkitchens.com/</t>
  </si>
  <si>
    <t>nikhanh85@gmail.com</t>
  </si>
  <si>
    <t>+49 30 68965018</t>
  </si>
  <si>
    <t>Chez Maurice</t>
  </si>
  <si>
    <t>B√∂tzowstra√üe 39, Berlin, 10407</t>
  </si>
  <si>
    <t>http://www.chez-maurice.com</t>
  </si>
  <si>
    <t>4250506chezmaurice@gmx.dezum</t>
  </si>
  <si>
    <t>+49 30 4250506</t>
  </si>
  <si>
    <t>Ayam Zaman</t>
  </si>
  <si>
    <t>Beusselstra√üe 17, Berlin, 10553</t>
  </si>
  <si>
    <t>http://zamzam-berlin.de/</t>
  </si>
  <si>
    <t>Tiergartenquelle</t>
  </si>
  <si>
    <t>Bachstra√üe S-Bahnb√∂gen 481 und 482, Berlin, 10555</t>
  </si>
  <si>
    <t>http://www.tiergartenquelle.de/</t>
  </si>
  <si>
    <t>info@tiergartenquelle.de</t>
  </si>
  <si>
    <t>+49 30 3927615</t>
  </si>
  <si>
    <t>Erdinger am Gendarmenmarkt</t>
  </si>
  <si>
    <t>J√§gerstra√üe 56, Berlin, 10117</t>
  </si>
  <si>
    <t>https://erdingerberlin.de</t>
  </si>
  <si>
    <t>info@augustiner-braeu-berlin.de</t>
  </si>
  <si>
    <t>+49 30 208 799800</t>
  </si>
  <si>
    <t>instagram: https://www.instagram.com/erdinger_berlin/, facebook: https://www.facebook.com/ERDINGERamGendarmenmarkt</t>
  </si>
  <si>
    <t>Goodtime</t>
  </si>
  <si>
    <t>Hausvogteiplatz 11a, Berlin, 10117</t>
  </si>
  <si>
    <t>https://www.goodtime-berlin.de/</t>
  </si>
  <si>
    <t>+49 30 20074870</t>
  </si>
  <si>
    <t>instagram: https://www.instagram.com/goodtime.berlin/, facebook: https://www.facebook.com/goodtime.berlin</t>
  </si>
  <si>
    <t>Il Buco</t>
  </si>
  <si>
    <t>Lal Haweli</t>
  </si>
  <si>
    <t>Alt-Moabit, Berlin, 10555</t>
  </si>
  <si>
    <t>Al-Safa</t>
  </si>
  <si>
    <t>Sonnenallee 75, Berlin, 12045</t>
  </si>
  <si>
    <t>Restaurant Kyjiw</t>
  </si>
  <si>
    <t>Erkstra√üe 10, Berlin, 12043</t>
  </si>
  <si>
    <t>https://patrice-restaurant.de/</t>
  </si>
  <si>
    <t>+49 30 86314848</t>
  </si>
  <si>
    <t>Maharadsch</t>
  </si>
  <si>
    <t>Gotzkowskystra√üe 25, Berlin, 10555</t>
  </si>
  <si>
    <t>https://maharadsch.com</t>
  </si>
  <si>
    <t>Diodata</t>
  </si>
  <si>
    <t>Fritz-Reuter-Allee 182, Berlin, 12359</t>
  </si>
  <si>
    <t>http://diodata-restaurant.de/</t>
  </si>
  <si>
    <t>+49 30 66462046</t>
  </si>
  <si>
    <t>La lupa e l‚Äôorso</t>
  </si>
  <si>
    <t>Sch√∂nflie√üer Stra√üe 14, Berlin, 10439</t>
  </si>
  <si>
    <t>http://www.lalupaelorso.de</t>
  </si>
  <si>
    <t>pizzeria@lalupaelorso.de</t>
  </si>
  <si>
    <t>+49 30 96601824</t>
  </si>
  <si>
    <t>Restaurant Nolle</t>
  </si>
  <si>
    <t>https://www.restaurant-nolle.de/</t>
  </si>
  <si>
    <t>+49 30 2082645</t>
  </si>
  <si>
    <t>instagram: https://www.instagram.com/restaurant_nolle/</t>
  </si>
  <si>
    <t>Tapas No. 6</t>
  </si>
  <si>
    <t>https://tapas-nr6.de/</t>
  </si>
  <si>
    <t>Giotto</t>
  </si>
  <si>
    <t>Friedrichstra√üe 132, Berlin, 10117</t>
  </si>
  <si>
    <t>http://www.restaurant-giotto.de</t>
  </si>
  <si>
    <t>Zrinka.Stipic@restaurant-giotto.de</t>
  </si>
  <si>
    <t>+49 30 97894491</t>
  </si>
  <si>
    <t>Boulevard Friedrichstra√üe</t>
  </si>
  <si>
    <t>Pizzeria Metro</t>
  </si>
  <si>
    <t>Storkower Stra√üe 156, Berlin, 10407</t>
  </si>
  <si>
    <t>+49 30 44357388</t>
  </si>
  <si>
    <t>Hamy</t>
  </si>
  <si>
    <t>Hasenheide 10, Berlin, 10967</t>
  </si>
  <si>
    <t>http://www.hamycafe.com</t>
  </si>
  <si>
    <t>info@hamycafe.de</t>
  </si>
  <si>
    <t>+49 30 61625959</t>
  </si>
  <si>
    <t>BAK Fr√ºhstuckhaus</t>
  </si>
  <si>
    <t>Badstra√üe 8A, Berlin, 13357</t>
  </si>
  <si>
    <t>Lichtburg</t>
  </si>
  <si>
    <t>Behmstra√üe 9, Berlin, 13357</t>
  </si>
  <si>
    <t>https://www.restaurant-lichtburg.de/</t>
  </si>
  <si>
    <t>info@restaurant-lichtburg.de</t>
  </si>
  <si>
    <t>Tutti Gusti</t>
  </si>
  <si>
    <t>Heerstra√üe 11, Berlin, 14052</t>
  </si>
  <si>
    <t>http://www.tutti-gusti.de</t>
  </si>
  <si>
    <t>49tuttigusti@web.deReservierungen</t>
  </si>
  <si>
    <t>+49 30 30614749</t>
  </si>
  <si>
    <t>facebook: https://www.facebook.com/Tutti-Gusti-Berlin-170624673304051/?rf=319130904831247</t>
  </si>
  <si>
    <t>Atuka</t>
  </si>
  <si>
    <t>Goethestra√üe 40, Berlin, 10625</t>
  </si>
  <si>
    <t>Yummy Kitchen</t>
  </si>
  <si>
    <t>Zossener Stra√üe 13, Berlin, 10961</t>
  </si>
  <si>
    <t>https://yummy-kitchen.de/</t>
  </si>
  <si>
    <t>info@yummy-kitchen.de</t>
  </si>
  <si>
    <t>+49 30 6900 6455</t>
  </si>
  <si>
    <t>facebook: https://www.facebook.com/YummyKitchenBerlin, instagram: https://www.instagram.com/yummykitchen.berlin/</t>
  </si>
  <si>
    <t>Vorwerck</t>
  </si>
  <si>
    <t>Karl-Marx-Stra√üe 131</t>
  </si>
  <si>
    <t>https://www.vorwerck-berlin.de/</t>
  </si>
  <si>
    <t>facebook: https://www.facebook.com/about/privacy</t>
  </si>
  <si>
    <t>Gastst√§tte Friedrichsfelde</t>
  </si>
  <si>
    <t>Alt-Friedrichsfelde 88, Berlin, 10315</t>
  </si>
  <si>
    <t>+49 30 525 12 02</t>
  </si>
  <si>
    <t>Looms</t>
  </si>
  <si>
    <t>Berkaer Stra√üe 40, Berlin, 14199</t>
  </si>
  <si>
    <t>http://www.looms-berlin.de</t>
  </si>
  <si>
    <t>E-Maildialog@looms-berlin.de</t>
  </si>
  <si>
    <t>facebook: https://www.facebook.com/loomsRestaurant/, instagram: https://www.instagram.com/looms.berlin/</t>
  </si>
  <si>
    <t>Taverna Hellas</t>
  </si>
  <si>
    <t>Utrechter Stra√üe 22, Berlin, 13347</t>
  </si>
  <si>
    <t>https://www.taverna-hellas.info/</t>
  </si>
  <si>
    <t>utrechter@taverna-hellas.info</t>
  </si>
  <si>
    <t>+49 30 4562932</t>
  </si>
  <si>
    <t>facebook: https://www.facebook.com/pages/Taverna-Hellas-in-Mitte/307882719393279</t>
  </si>
  <si>
    <t>Tokio-Haus</t>
  </si>
  <si>
    <t>Brandenburgische Stra√üe 30, Berlin, 10707</t>
  </si>
  <si>
    <t>http://www.tokyohaus.de</t>
  </si>
  <si>
    <t>+49 30 88707989</t>
  </si>
  <si>
    <t>Umami</t>
  </si>
  <si>
    <t>Knaackstra√üe 16-18, Berlin, 10405</t>
  </si>
  <si>
    <t>http://umami-restaurant.de/</t>
  </si>
  <si>
    <t>info@umami-restaurant.de</t>
  </si>
  <si>
    <t>+49 30 288 60 626</t>
  </si>
  <si>
    <t>facebook: https://www.facebook.com/umamirestaurantxberg</t>
  </si>
  <si>
    <t>Asia Mami</t>
  </si>
  <si>
    <t>Weitlingstra√üe 41, Berlin, 10317</t>
  </si>
  <si>
    <t>https://asiamami.de</t>
  </si>
  <si>
    <t>asiamami@yahoo.com</t>
  </si>
  <si>
    <t>Salsa</t>
  </si>
  <si>
    <t>http://restaurant-salsa.de/</t>
  </si>
  <si>
    <t>info@restaurant-salsa.de</t>
  </si>
  <si>
    <t>+49 30 5252541</t>
  </si>
  <si>
    <t>NOAH'S</t>
  </si>
  <si>
    <t>Ansbacher Stra√üe 21, Berlin, 10787</t>
  </si>
  <si>
    <t>https://www.noahs-berlin.de/</t>
  </si>
  <si>
    <t>info@noahs-berlin.de</t>
  </si>
  <si>
    <t>+49 30 21967573</t>
  </si>
  <si>
    <t>facebook: https://www.facebook.com/pages/NOAHS-Restaurant-I-Caf%C3%A9/184883494868672?fref=ts</t>
  </si>
  <si>
    <t>Nuovo Antica Roma</t>
  </si>
  <si>
    <t>Wittenbergplatz 5, Berlin, 10789</t>
  </si>
  <si>
    <t>Il Bufalo</t>
  </si>
  <si>
    <t>Rummelsburger Stra√üe 84, Berlin, 10315</t>
  </si>
  <si>
    <t>https://www.il-bufalo-berlin.de/</t>
  </si>
  <si>
    <t>+49 30 52679705</t>
  </si>
  <si>
    <t>facebook: https://www.facebook.com/sharer.php?s=100&amp;p[url]='https%3A%2F%2Fwww.il-bufalo-berlin.de', twitter: https://twitter.com/intent/tweet?url='https%3A%2F%2Fwww.il-bufalo-berlin.de'&amp;text=Ristorante+Il+Bufalo+in+Berlin&amp;hashtags=Ristorante_Il_Bufalo,Berlin</t>
  </si>
  <si>
    <t>Sy</t>
  </si>
  <si>
    <t>Kantstra√üe 54, Berlin, 10627</t>
  </si>
  <si>
    <t>http://www.sy-restaurant.de/</t>
  </si>
  <si>
    <t>+49 30 32765761</t>
  </si>
  <si>
    <t>facebook: http://www.facebook.com/syrestaurant</t>
  </si>
  <si>
    <t>Schweighofer's</t>
  </si>
  <si>
    <t>Weimarer Stra√üe 12, Berlin, 10625</t>
  </si>
  <si>
    <t>http://www.schweighofers.de/</t>
  </si>
  <si>
    <t>schweighofers@hotmail.com</t>
  </si>
  <si>
    <t>+49 30 3130127</t>
  </si>
  <si>
    <t>Genazvale</t>
  </si>
  <si>
    <t>Hohenzollerndamm 33, Berlin, 10713</t>
  </si>
  <si>
    <t>https://www.genazvale.de/</t>
  </si>
  <si>
    <t>info@genazvale.de</t>
  </si>
  <si>
    <t>instagram: https://www.instagram.com/genazvale_berlin/, facebook: https://www.facebook.com/genazvale/?locale=de_DE</t>
  </si>
  <si>
    <t>Tonsai</t>
  </si>
  <si>
    <t>Kaiserin-Augusta-Stra√üe 73, Berlin, 12103</t>
  </si>
  <si>
    <t>http://www.tonsai-thairestaurant.de/</t>
  </si>
  <si>
    <t>tonsai-thai-restaurant@gmx.de</t>
  </si>
  <si>
    <t>Pasternak</t>
  </si>
  <si>
    <t>Knaackstra√üe 22/24, Berlin, 10405</t>
  </si>
  <si>
    <t>https://restaurant-pasternak.de/</t>
  </si>
  <si>
    <t>+49 30 4413399</t>
  </si>
  <si>
    <t>facebook: https://www.facebook.com/RestaurantPasternak/, instagram: https://www.instagram.com/restaurantpasternak/</t>
  </si>
  <si>
    <t>Trattoria di Benni</t>
  </si>
  <si>
    <t>Khoi Viet BBQ</t>
  </si>
  <si>
    <t>Gardesch√ºtzenweg 139, Berlin, 12203</t>
  </si>
  <si>
    <t>Zum Hufeisen</t>
  </si>
  <si>
    <t>Fritz-Reuter-Allee 48, Berlin, 12359</t>
  </si>
  <si>
    <t>+49 30 606 38 05</t>
  </si>
  <si>
    <t>Doon</t>
  </si>
  <si>
    <t>Weerthstra√üe 10, Berlin</t>
  </si>
  <si>
    <t>https://www.restaurant-doon.de/</t>
  </si>
  <si>
    <t>reservierung@restaurant-doon.de</t>
  </si>
  <si>
    <t>+49 30 54617783</t>
  </si>
  <si>
    <t>Izakaya Yancha</t>
  </si>
  <si>
    <t>Karl-Marx-Allee 141, Berlin, 10243</t>
  </si>
  <si>
    <t>https://www.yancha.de/</t>
  </si>
  <si>
    <t>yanchaberlin@gmail.com</t>
  </si>
  <si>
    <t>+49 30 68055088</t>
  </si>
  <si>
    <t>Zero Stress Pizza</t>
  </si>
  <si>
    <t>Lausitzer Platz 10, Berlin, 10997</t>
  </si>
  <si>
    <t>https://zerostresspizza.de/</t>
  </si>
  <si>
    <t>zerostresspizzatruck@gmail.comor</t>
  </si>
  <si>
    <t>+49 30 84515952</t>
  </si>
  <si>
    <t>China City</t>
  </si>
  <si>
    <t>Leipziger Stra√üe 46, Berlin, 10117</t>
  </si>
  <si>
    <t>+49 30 204 53802</t>
  </si>
  <si>
    <t>Himalaya</t>
  </si>
  <si>
    <t>Thrasoltstra√üe 12, Berlin, 10585</t>
  </si>
  <si>
    <t>https://www.himaliberlin.de/</t>
  </si>
  <si>
    <t>himali@hotmail.de</t>
  </si>
  <si>
    <t>+49 30 78716175</t>
  </si>
  <si>
    <t>Sole d'Oro</t>
  </si>
  <si>
    <t>Wilmersdorfer Stra√üe 153, Berlin, 10585</t>
  </si>
  <si>
    <t>https://www.sole-d-oro.de/</t>
  </si>
  <si>
    <t>conte@soledoro.de</t>
  </si>
  <si>
    <t>+49 30 24358299</t>
  </si>
  <si>
    <t>Thu Huong</t>
  </si>
  <si>
    <t>Wilmersdorfer Stra√üe 164, Berlin, 10585</t>
  </si>
  <si>
    <t>http://www.thu-huong.de</t>
  </si>
  <si>
    <t>+49 30 5478 5500</t>
  </si>
  <si>
    <t>Strandbad-Mitte</t>
  </si>
  <si>
    <t>Kleine Hamburger Stra√üe 16, Berlin, 10117</t>
  </si>
  <si>
    <t>https://www.strandbad-mitte.de/</t>
  </si>
  <si>
    <t>+49 30 24628963</t>
  </si>
  <si>
    <t>facebook: https://www.facebook.com/pages/Strandbad-Mitte/162639187096338</t>
  </si>
  <si>
    <t>tangs kantine</t>
  </si>
  <si>
    <t>Dieffenbachstra√üe 18, Berlin, 10967</t>
  </si>
  <si>
    <t>http://www.tangs-kantine.de</t>
  </si>
  <si>
    <t>+49 30 25 902 988</t>
  </si>
  <si>
    <t>facebook: https://www.facebook.com/tangs.kantine</t>
  </si>
  <si>
    <t>Monte Mente</t>
  </si>
  <si>
    <t>Bellevuestra√üe 5, Berlin, 10785</t>
  </si>
  <si>
    <t>https://montemente.com</t>
  </si>
  <si>
    <t>Ionah</t>
  </si>
  <si>
    <t>Friedrichshaller Stra√üe 20, Berlin, 14199</t>
  </si>
  <si>
    <t>http://www.ionah.de/</t>
  </si>
  <si>
    <t>facebook: https://www.facebook.com/Ionah-Restaurant-1579801345674947/, instagram: https://www.instagram.com/ionahrestaurant/</t>
  </si>
  <si>
    <t>Wartesaal</t>
  </si>
  <si>
    <t>Kantstra√üe 10, Berlin, 10623</t>
  </si>
  <si>
    <t>http://wartesaal.berlin/</t>
  </si>
  <si>
    <t>info@wartesaal.berlin</t>
  </si>
  <si>
    <t>Landhaus Grunewald</t>
  </si>
  <si>
    <t>Delbr√ºckstra√üe 37, 14193</t>
  </si>
  <si>
    <t>https://landhaus-grunewald.de/</t>
  </si>
  <si>
    <t>info@landhaus-grunewald.de</t>
  </si>
  <si>
    <t>facebook: https://www.facebook.com/landhaus.grunewald, instagram: https://www.instagram.com/landhaus_grunewald/</t>
  </si>
  <si>
    <t>La Cascina</t>
  </si>
  <si>
    <t>Delbr√ºckstra√üe 28, Berlin, 14193</t>
  </si>
  <si>
    <t>https://www.cascina.de/</t>
  </si>
  <si>
    <t>info@company.de</t>
  </si>
  <si>
    <t>ALEX</t>
  </si>
  <si>
    <t>Panoramastra√üe 1A, Berlin, 10178</t>
  </si>
  <si>
    <t>https://www.dein-alex.de/berlin-alexanderplatz#oeffnungszeiten</t>
  </si>
  <si>
    <t>12 Apostoli</t>
  </si>
  <si>
    <t>Berlin, 10117</t>
  </si>
  <si>
    <t>https://12-apostoli.de/mitte/</t>
  </si>
  <si>
    <t>+49 30 23362404</t>
  </si>
  <si>
    <t>Piccolo Mondo</t>
  </si>
  <si>
    <t>Reichsstra√üe 9, Berlin, 14052</t>
  </si>
  <si>
    <t>https://www.piccolo-mondo.de</t>
  </si>
  <si>
    <t>info@piccolo-mondo.deRistorante</t>
  </si>
  <si>
    <t>twitter: https://twitter.com/PiccoMoBerlin</t>
  </si>
  <si>
    <t>Valle dei Templi</t>
  </si>
  <si>
    <t>Br√ºsseler Stra√üe 10, Berlin, 13353</t>
  </si>
  <si>
    <t>http://www.valle-dei-templi.de</t>
  </si>
  <si>
    <t>+49 304543927</t>
  </si>
  <si>
    <t>Pane &amp; Vino</t>
  </si>
  <si>
    <t>Kastanienallee 2, Berlin, 10435</t>
  </si>
  <si>
    <t>http://paneevino-rudow.berlin/</t>
  </si>
  <si>
    <t>info@paneevino-rudow.berlin</t>
  </si>
  <si>
    <t>+49 30 85072104</t>
  </si>
  <si>
    <t>instagram: https://instagram.com/pane_e_vino_rudow?r=nametag</t>
  </si>
  <si>
    <t>Dschunke</t>
  </si>
  <si>
    <t>Breite Stra√üe 15, Berlin, 14199</t>
  </si>
  <si>
    <t>http://www.china-dschunke.de/</t>
  </si>
  <si>
    <t>+493082486 89</t>
  </si>
  <si>
    <t>Makedonija Grill</t>
  </si>
  <si>
    <t>Ernststra√üe 59, Berlin, 13509</t>
  </si>
  <si>
    <t>Lon-Men's Noodle House</t>
  </si>
  <si>
    <t>Kantstra√üe 33, Berlin, 10625</t>
  </si>
  <si>
    <t>https://lon-mens-noodle-house.menueat.net/</t>
  </si>
  <si>
    <t>+49 30 31519678</t>
  </si>
  <si>
    <t>facebook: https://www.facebook.com/profile.php?id=100063546611186&amp;locale=vi_VN, instagram: https://www.instagram.com/lonmensnoodlehouse/</t>
  </si>
  <si>
    <t>D√∂neria</t>
  </si>
  <si>
    <t>Ristorante Fontana di Trevi</t>
  </si>
  <si>
    <t>Leipziger Stra√üe 56</t>
  </si>
  <si>
    <t>https://www.fontanaditreviberlin.de/</t>
  </si>
  <si>
    <t>info@fontanaditreviberlin.de</t>
  </si>
  <si>
    <t>Rasas</t>
  </si>
  <si>
    <t>Bayernallee 42, Berlin, 14052</t>
  </si>
  <si>
    <t>https://restaurant-rasas.de</t>
  </si>
  <si>
    <t>Berlin-Westendwestend@restaurant-rasas.de</t>
  </si>
  <si>
    <t>+49 30 33772941</t>
  </si>
  <si>
    <t>instagram: https://www.instagram.com/rasas_berlin/, facebook: https://www.facebook.com/RASASBERLIN?mibextid=b06tZ0, tiktok: https://www.tiktok.com/@rasasrestaurant?_t=ZN-8unPyb9m0PO&amp;_r=1</t>
  </si>
  <si>
    <t>Thai Food Orchidee</t>
  </si>
  <si>
    <t>m.looi</t>
  </si>
  <si>
    <t>Reichsstra√üe 102, Berlin, 14052</t>
  </si>
  <si>
    <t>http://www.mlooi-sushi.com/</t>
  </si>
  <si>
    <t>+49 30 32598538</t>
  </si>
  <si>
    <t>Charlottenburger Botschaft</t>
  </si>
  <si>
    <t>Pho Reis</t>
  </si>
  <si>
    <t>Reichsstra√üe, Berlin, 14052</t>
  </si>
  <si>
    <t>Osteria Mia</t>
  </si>
  <si>
    <t>Olympische Stra√üe 2, Berlin, 14052</t>
  </si>
  <si>
    <t>https://ilcardinale.de</t>
  </si>
  <si>
    <t>info@osteriamia.de</t>
  </si>
  <si>
    <t>+49 30 323 83 05</t>
  </si>
  <si>
    <t>Zensation</t>
  </si>
  <si>
    <t>Boxhagener Stra√üe 27, Berlin, 10245</t>
  </si>
  <si>
    <t>Fusion</t>
  </si>
  <si>
    <t>Uhlandstra√üe 184, Berlin, 10623</t>
  </si>
  <si>
    <t>Fuki Sushi</t>
  </si>
  <si>
    <t>Rosenthaler Stra√üe 61</t>
  </si>
  <si>
    <t>Delhi Palast Snack</t>
  </si>
  <si>
    <t>Niederbarnimstra√üe 24, Berlin, 10247</t>
  </si>
  <si>
    <t>Auszeit</t>
  </si>
  <si>
    <t>Sisaket</t>
  </si>
  <si>
    <t>Dircksenstra√üe 47, Berlin, 10178</t>
  </si>
  <si>
    <t>https://www.maothai.de/#sisaket</t>
  </si>
  <si>
    <t>Maru</t>
  </si>
  <si>
    <t>Rigaer Stra√üe 74, Berlin, 10247</t>
  </si>
  <si>
    <t>https://www.mars-berlin.net/</t>
  </si>
  <si>
    <t>mars@silent-green.net</t>
  </si>
  <si>
    <t>+49 30 120822131</t>
  </si>
  <si>
    <t>instagram: https://www.instagram.com/mars.silentgreen_berlin/, facebook: https://www.facebook.com/mars.silentgreen/</t>
  </si>
  <si>
    <t>Altes Europa</t>
  </si>
  <si>
    <t>Gipsstra√üe 11, Berlin, 10119</t>
  </si>
  <si>
    <t>+49 30 28093840</t>
  </si>
  <si>
    <t>Ja! Niko Ja!</t>
  </si>
  <si>
    <t>Budapester Stra√üe 13, Berlin, 10787</t>
  </si>
  <si>
    <t>http://www.ja-niko-ja.de</t>
  </si>
  <si>
    <t>+49 30 85621776</t>
  </si>
  <si>
    <t>dolce</t>
  </si>
  <si>
    <t>Auguststra√üe 82, Berlin, 10117</t>
  </si>
  <si>
    <t>http://www.dolcetto.berlin/</t>
  </si>
  <si>
    <t>+49 30 88 67 15</t>
  </si>
  <si>
    <t>Nyom</t>
  </si>
  <si>
    <t>Gabriel-Max-Stra√üe 17, Berlin, 10245</t>
  </si>
  <si>
    <t>https://nyom-restaurant.de</t>
  </si>
  <si>
    <t>kontakt@nyom-restaurant.de</t>
  </si>
  <si>
    <t>+49 30 29003929</t>
  </si>
  <si>
    <t>facebook: https://www.facebook.com/nyom.restaurant, instagram: https://www.instagram.com/nyom.restaurant/, tiktok: https://www.tiktok.com/@nyom.restaurant</t>
  </si>
  <si>
    <t>Jade Palast</t>
  </si>
  <si>
    <t>W√ºhlischstra√üe 30, Berlin, 10245</t>
  </si>
  <si>
    <t>https://jadepalast.de/</t>
  </si>
  <si>
    <t>info@jadepalast.de</t>
  </si>
  <si>
    <t>+49 30 61201996</t>
  </si>
  <si>
    <t>instagram: https://www.instagram.com/jadepalast.restaurant/?hl=de, facebook: https://www.facebook.com/p/Jade-Palast-%E7%8E%89%E9%9D%A2%E9%98%81-100091965319801/?locale=de_DE, tiktok: https://www.tiktok.com/@jade.palast</t>
  </si>
  <si>
    <t>Mercan</t>
  </si>
  <si>
    <t>Wiener Stra√üe 10, Berlin, 10999</t>
  </si>
  <si>
    <t>Yogi-Ashram</t>
  </si>
  <si>
    <t>Gabriel-Max-Stra√üe 19, Berlin, 10245</t>
  </si>
  <si>
    <t>https://www.yogi-ashramberlin.de/</t>
  </si>
  <si>
    <t>+49 30 29779761</t>
  </si>
  <si>
    <t>Restaurant Der Kretaner</t>
  </si>
  <si>
    <t>Riemeisterstra√üe 129, Berlin, 14169</t>
  </si>
  <si>
    <t>https://derkretaner.de/</t>
  </si>
  <si>
    <t>+49 30 84719117</t>
  </si>
  <si>
    <t>instagram: https://www.instagram.com/derkretaner/, facebook: https://www.facebook.com/profile.php?id=100063668134203</t>
  </si>
  <si>
    <t>Viet Nam</t>
  </si>
  <si>
    <t>Herzbergstra√üe 104</t>
  </si>
  <si>
    <t>+49 30 80407332</t>
  </si>
  <si>
    <t>Ristorante Gelateria La Strada</t>
  </si>
  <si>
    <t>Bella Italia</t>
  </si>
  <si>
    <t>Brunnenstra√üe 104, Berlin, 13355</t>
  </si>
  <si>
    <t>https://www.stellaalpina.de/</t>
  </si>
  <si>
    <t>+49 30 46309500</t>
  </si>
  <si>
    <t>Rosengarten</t>
  </si>
  <si>
    <t>Hohenzollerndamm 110a, Berlin, 14199</t>
  </si>
  <si>
    <t>http://www.rosengarten-china.de/</t>
  </si>
  <si>
    <t>L'Opera Siciliana</t>
  </si>
  <si>
    <t>Sch√∂nwalder Stra√üe 57A, Berlin, 13585</t>
  </si>
  <si>
    <t>http://www.operasiciliana.de/</t>
  </si>
  <si>
    <t>info@operasiciliana.de</t>
  </si>
  <si>
    <t>Ungarisches Restaurant</t>
  </si>
  <si>
    <t>Eschengraben 41, Berlin, 13189</t>
  </si>
  <si>
    <t>https://www.ungarische-gaststaette.de</t>
  </si>
  <si>
    <t>ungarn@medionmail.com</t>
  </si>
  <si>
    <t>+49 30 4732300</t>
  </si>
  <si>
    <t>Agata Torrisi</t>
  </si>
  <si>
    <t>W√∂hlertstra√üe 5, Berlin, 10115</t>
  </si>
  <si>
    <t>https://www.agata-torrisi-berlin.de/</t>
  </si>
  <si>
    <t>marcoriso@hotmail.it</t>
  </si>
  <si>
    <t>Yungheene</t>
  </si>
  <si>
    <t>Weinbergsweg 5, Berlin, 10119</t>
  </si>
  <si>
    <t>L'Angolo</t>
  </si>
  <si>
    <t>Badensche Stra√üe 18, Berlin, 10715</t>
  </si>
  <si>
    <t>https://ristorante-langolo.com/</t>
  </si>
  <si>
    <t>info@ristorante-langolo.com</t>
  </si>
  <si>
    <t>+49 30 64462666</t>
  </si>
  <si>
    <t>facebook: https://www.facebook.com/Ristorante-LAngolo-2092871120794857/?ref=page_internal, twitter: https://twitter.com/WebSiteX5</t>
  </si>
  <si>
    <t>Steakhaus San Martin</t>
  </si>
  <si>
    <t>Gugelhof</t>
  </si>
  <si>
    <t>https://gugelhof.de/</t>
  </si>
  <si>
    <t>+49 30 442 92 29</t>
  </si>
  <si>
    <t>Haus Dannenberg</t>
  </si>
  <si>
    <t>Alt-Heiligensee 52, Berlin, 13503</t>
  </si>
  <si>
    <t>https://www.haus-dannenberg.de/</t>
  </si>
  <si>
    <t>kontakt@haus-dannenberg.de</t>
  </si>
  <si>
    <t>Dorfaue</t>
  </si>
  <si>
    <t>Alt-Heiligensee 67, Berlin, 13503</t>
  </si>
  <si>
    <t>https://dorfaue-heiligensee.com</t>
  </si>
  <si>
    <t>info@dorfaue-heiligensee.com</t>
  </si>
  <si>
    <t>+49 30 40 63 71 82</t>
  </si>
  <si>
    <t>Ristorante Roma</t>
  </si>
  <si>
    <t>Bundesplatz 8, Berlin, 10715</t>
  </si>
  <si>
    <t>https://www.roma-bundesplatz.de</t>
  </si>
  <si>
    <t>+49 30 8534240</t>
  </si>
  <si>
    <t>facebook: https://www.facebook.com/RomaBundesplatz/?locale=de_DE, instagram: https://www.instagram.com/bundesplatz_roma/</t>
  </si>
  <si>
    <t>Bocado</t>
  </si>
  <si>
    <t>Fra Diavolo</t>
  </si>
  <si>
    <t>Neufertstra√üe 22, Berlin, 14059</t>
  </si>
  <si>
    <t>https://www.fradiavolo-berlin.de</t>
  </si>
  <si>
    <t>+49 30 30109450</t>
  </si>
  <si>
    <t>Meet Noodles</t>
  </si>
  <si>
    <t>Ushido</t>
  </si>
  <si>
    <t>Lychener Stra√üe 18, Berlin, 10437</t>
  </si>
  <si>
    <t>http://www.ushido-bbq.com/</t>
  </si>
  <si>
    <t>info@ushido-bbq.com</t>
  </si>
  <si>
    <t>+49 30 55242448</t>
  </si>
  <si>
    <t>facebook: https://www.facebook.com/UshidoBBQ, instagram: https://www.instagram.com/ushido.bbq/</t>
  </si>
  <si>
    <t>Aventuras</t>
  </si>
  <si>
    <t>Holzhauser Stra√üe 59, Berlin, 13509</t>
  </si>
  <si>
    <t>http://www.aventuras-berlin.de</t>
  </si>
  <si>
    <t>info@aventuras-berlin.de</t>
  </si>
  <si>
    <t>+4930 4353888</t>
  </si>
  <si>
    <t>instagram: https://www.instagram.com/restaurant.aventuras/?hl=de</t>
  </si>
  <si>
    <t>Hirsch</t>
  </si>
  <si>
    <t>Kopernikusstra√üe 3, Berlin, 10243</t>
  </si>
  <si>
    <t>https://hirsch-fhain.de/</t>
  </si>
  <si>
    <t>mail@hirsch-fhain.de</t>
  </si>
  <si>
    <t>+49 30 296 63 296</t>
  </si>
  <si>
    <t>facebook: https://www.facebook.com/hirschfhain/, instagram: https://www.instagram.com/hirsch_fhain/</t>
  </si>
  <si>
    <t>Stern 63</t>
  </si>
  <si>
    <t>Sterndamm 63, Berlin, 12487</t>
  </si>
  <si>
    <t>http://stern63.de</t>
  </si>
  <si>
    <t>Nea Olympia</t>
  </si>
  <si>
    <t>http://510470382.swh.strato-hosting.eu/</t>
  </si>
  <si>
    <t>+49 30 831 31 25</t>
  </si>
  <si>
    <t>Sunny Saigon</t>
  </si>
  <si>
    <t>Unter den Eichen 108, Berlin, 12203</t>
  </si>
  <si>
    <t>https://www.sunnysaigon.berlin/</t>
  </si>
  <si>
    <t>facebook: https://www.facebook.com/Sunny-Saigon-104842981100576</t>
  </si>
  <si>
    <t>Pesetas</t>
  </si>
  <si>
    <t>Unter den Eichen 112A, Berlin, 12203</t>
  </si>
  <si>
    <t>http://www.pesetas-restaurant.de</t>
  </si>
  <si>
    <t>info@pesetas-restaurant.de</t>
  </si>
  <si>
    <t>+49 30 84319161</t>
  </si>
  <si>
    <t>Sushi and friends</t>
  </si>
  <si>
    <t>Sterndamm 57, 12487</t>
  </si>
  <si>
    <t>http://www.sushiandfriends-berlin.de/</t>
  </si>
  <si>
    <t>+49 30 63902938</t>
  </si>
  <si>
    <t>facebook: https://www.facebook.com/pages/Sushi-and-Friends/174504205925575</t>
  </si>
  <si>
    <t>Dionysos</t>
  </si>
  <si>
    <t>Sterndamm 59</t>
  </si>
  <si>
    <t>www.dionysos.berlin</t>
  </si>
  <si>
    <t>+49 30 6362216</t>
  </si>
  <si>
    <t>Sirtaki Taverna</t>
  </si>
  <si>
    <t>http://www.taverna-sirtaki.com/</t>
  </si>
  <si>
    <t>kosta.i@t-online.de</t>
  </si>
  <si>
    <t>+49 30 7749332</t>
  </si>
  <si>
    <t>Taverna Kretamos</t>
  </si>
  <si>
    <t>Gardesch√ºtzenweg 68, Berlin, 12203</t>
  </si>
  <si>
    <t>https://kretamos-berlin.de</t>
  </si>
  <si>
    <t>geliz.zerndt3@gmail.com</t>
  </si>
  <si>
    <t>+49 30 52686720</t>
  </si>
  <si>
    <t>facebook: https://www.facebook.com/profile.php?id=61577551222261, instagram: https://www.instagram.com/taverna.kretamos/</t>
  </si>
  <si>
    <t>Chirag</t>
  </si>
  <si>
    <t>Unter den Eichen 42, 12203</t>
  </si>
  <si>
    <t>https://chirag-restaurant.de</t>
  </si>
  <si>
    <t>+49 30 84318941</t>
  </si>
  <si>
    <t>Neighborhood</t>
  </si>
  <si>
    <t>Chaplin</t>
  </si>
  <si>
    <t>http://www.chaplin-friedenau.de/</t>
  </si>
  <si>
    <t>Kipos</t>
  </si>
  <si>
    <t>Beckerstra√üe 15, Berlin</t>
  </si>
  <si>
    <t>https://www.kiposrestaurant-berlin.com/</t>
  </si>
  <si>
    <t>+49 30 8555454</t>
  </si>
  <si>
    <t>LuLa Deli &amp; Grill</t>
  </si>
  <si>
    <t>Lauterstra√üe 14/15, Berlin, 12159</t>
  </si>
  <si>
    <t>https://www.lula-berlin.de/</t>
  </si>
  <si>
    <t>info@lula-berlin.de</t>
  </si>
  <si>
    <t>instagram: https://www.instagram.com/lulaammarkt_berlin</t>
  </si>
  <si>
    <t>Manzini</t>
  </si>
  <si>
    <t>Ludwigkirchstra√üe 11, Berlin, 10719</t>
  </si>
  <si>
    <t>https://www.manzini.de/</t>
  </si>
  <si>
    <t>mail@manzini.de</t>
  </si>
  <si>
    <t>+49 30 8857820</t>
  </si>
  <si>
    <t>Tai-Lee</t>
  </si>
  <si>
    <t>Hildburghauser Stra√üe 29, Berlin, 12279</t>
  </si>
  <si>
    <t>http://www.restaurant-tai-lee.de/</t>
  </si>
  <si>
    <t>+49 30 7216552</t>
  </si>
  <si>
    <t>facebook: https://www.facebook.com/pages/China-Restaurant-Tai-Lee/150870928284188</t>
  </si>
  <si>
    <t>cucina comoda</t>
  </si>
  <si>
    <t>Wielandstra√üe 11, Berlin, 10629</t>
  </si>
  <si>
    <t>Zum Hax'nwirt</t>
  </si>
  <si>
    <t>Hohenzollerndamm 185, Berlin, 10713</t>
  </si>
  <si>
    <t>http://www.zum-haxenwirt-berlin.de</t>
  </si>
  <si>
    <t>haxenwirt@gmail.com</t>
  </si>
  <si>
    <t>+49 30 8225133</t>
  </si>
  <si>
    <t>instagram: https://www.instagram.com/haxenwirt?r=nametag, facebook: https://www.facebook.com/buzzdeefleischer/</t>
  </si>
  <si>
    <t>Don Quijote</t>
  </si>
  <si>
    <t>Bleibtreustra√üe 41, Berlin, 10623</t>
  </si>
  <si>
    <t>+49 30 33021916</t>
  </si>
  <si>
    <t>Baba Angora</t>
  </si>
  <si>
    <t>Schl√ºterstra√üe 29, Berlin, 10629</t>
  </si>
  <si>
    <t>http://www.babaangora.de/</t>
  </si>
  <si>
    <t>info@babaangora.de</t>
  </si>
  <si>
    <t>+49 30 3237096</t>
  </si>
  <si>
    <t>Osteria Centrale</t>
  </si>
  <si>
    <t>Bleibtreustra√üe 51, Berlin, 10623</t>
  </si>
  <si>
    <t>Witwe Bolte</t>
  </si>
  <si>
    <t>Uhlandstra√üe 133, Berlin, 10717</t>
  </si>
  <si>
    <t>http://www.witwebolte-berlin.de</t>
  </si>
  <si>
    <t>+49 30 8614720</t>
  </si>
  <si>
    <t>facebook: https://www.facebook.com/WitweBolteRestaurant/?locale=de_DE, instagram: https://www.instagram.com/witwebolteberlin/#</t>
  </si>
  <si>
    <t>Piazza Fontana</t>
  </si>
  <si>
    <t>Martin-Buber-Stra√üe 18, Berlin, 14163</t>
  </si>
  <si>
    <t>+49 30 850 12 415</t>
  </si>
  <si>
    <t>Aristoteles</t>
  </si>
  <si>
    <t>K√∂nigstra√üe 44, Berlin, 12105</t>
  </si>
  <si>
    <t>+49 30 7064486</t>
  </si>
  <si>
    <t>Zur Haxe</t>
  </si>
  <si>
    <t>Erich-Weinert-Stra√üe 128, Berlin, 10409</t>
  </si>
  <si>
    <t>http://zurhaxe-berlin.de/</t>
  </si>
  <si>
    <t>+49 30 4216312</t>
  </si>
  <si>
    <t>Lemon Grass Scent</t>
  </si>
  <si>
    <t>Schwedter Stra√üe 12, Berlin, 10119</t>
  </si>
  <si>
    <t>https://www.lemongrass-scent.de</t>
  </si>
  <si>
    <t>hello@lemongrass-scent.com</t>
  </si>
  <si>
    <t>+49 30 40576985</t>
  </si>
  <si>
    <t>instagram: https://www.instagram.com/lemongrass_scent/</t>
  </si>
  <si>
    <t>Wen Cheng II</t>
  </si>
  <si>
    <t>Sch√∂nhauser Allee 10, Berlin, 10119</t>
  </si>
  <si>
    <t>https://wenchengnoodles.de/</t>
  </si>
  <si>
    <t>info@wenchengnoodles.com</t>
  </si>
  <si>
    <t>instagram: https://www.instagram.com/wencheng_handpullednoodles, facebook: https://www.facebook.com/wencheng.noodles/, linkedin: https://www.linkedin.com/company/wen-cheng-noodles/</t>
  </si>
  <si>
    <t>Restaurant M√£m√¢y</t>
  </si>
  <si>
    <t>Sch√∂nhauser Allee 61, Berlin, 10437</t>
  </si>
  <si>
    <t>http://www.mamay-berlin.de</t>
  </si>
  <si>
    <t>info@mamay-berlin.de</t>
  </si>
  <si>
    <t>+49 30 4447270</t>
  </si>
  <si>
    <t>facebook: https://www.facebook.com/mamay.berlin/</t>
  </si>
  <si>
    <t>Ambrosios</t>
  </si>
  <si>
    <t>Galvanistra√üe 12A, Berlin, 10587</t>
  </si>
  <si>
    <t>https://www.ambrosios-berlin.de/</t>
  </si>
  <si>
    <t>berlin.ambrosius@hotmail.com</t>
  </si>
  <si>
    <t>+49 30 341 55 54</t>
  </si>
  <si>
    <t>Neo Polita</t>
  </si>
  <si>
    <t>Marko's Schlemmerstube</t>
  </si>
  <si>
    <t>Neuk√∂llner Stra√üe 316, Berlin, 12357</t>
  </si>
  <si>
    <t>https://www.markos-schlemmerstube.eu/</t>
  </si>
  <si>
    <t>markos_schlemmerstube@yahoo.de</t>
  </si>
  <si>
    <t>+49 30 6616065</t>
  </si>
  <si>
    <t>Casa Montella</t>
  </si>
  <si>
    <t>Krokusstra√üe 80, Berlin, 12357</t>
  </si>
  <si>
    <t>Paracas</t>
  </si>
  <si>
    <t>G√ºntzelstra√üe 37 a, Berlin, 10717</t>
  </si>
  <si>
    <t>https://www.paracas.de/</t>
  </si>
  <si>
    <t>GapShap</t>
  </si>
  <si>
    <t>G√ºntzelstra√üe 19, Berlin, 10717</t>
  </si>
  <si>
    <t>Kai Maison</t>
  </si>
  <si>
    <t>Maybachufer 23, Berlin, 12047</t>
  </si>
  <si>
    <t>Zum gr√ºnen Baum</t>
  </si>
  <si>
    <t>Wilhelmplatz 4, Berlin, 14109</t>
  </si>
  <si>
    <t>https://www.wiesenstein.de/</t>
  </si>
  <si>
    <t>Forsthaus Wannsee</t>
  </si>
  <si>
    <t>https://hotel-forsthaus-wannsee.de/</t>
  </si>
  <si>
    <t>info@hotel-forsthaus-wannsee.de</t>
  </si>
  <si>
    <t>+49 30 8058680</t>
  </si>
  <si>
    <t>Kleines Landhaus</t>
  </si>
  <si>
    <t>Alt-Rudow 31, Berlin, 12357</t>
  </si>
  <si>
    <t>+49 30 6632971</t>
  </si>
  <si>
    <t>Nea Knosso</t>
  </si>
  <si>
    <t>Pho Bay</t>
  </si>
  <si>
    <t>Berliner Stra√üe 32, Berlin, 10715</t>
  </si>
  <si>
    <t>http://phobay.de/</t>
  </si>
  <si>
    <t>PhoBayBerlin@googlemail.com</t>
  </si>
  <si>
    <t>ishin</t>
  </si>
  <si>
    <t>Bundesallee 203, Berlin, 10717</t>
  </si>
  <si>
    <t>https://ishin.de/places/bundesallee</t>
  </si>
  <si>
    <t>+49 30 21016009</t>
  </si>
  <si>
    <t>facebook: https://www.facebook.com/ishinberlin, instagram: https://www.instagram.com/ishin.berlin</t>
  </si>
  <si>
    <t>Nori Sushi</t>
  </si>
  <si>
    <t>Osmanya</t>
  </si>
  <si>
    <t>Birkenstra√üe 17, Berlin, 10559</t>
  </si>
  <si>
    <t>https://www.osmanya.com</t>
  </si>
  <si>
    <t>info@osmanya.de</t>
  </si>
  <si>
    <t>+49 30 48829999</t>
  </si>
  <si>
    <t>Doreedos</t>
  </si>
  <si>
    <t>Lepsiusstra√üe 45, Berlin, 12163</t>
  </si>
  <si>
    <t>http://doreedos-steakhaus.de/</t>
  </si>
  <si>
    <t>+49308978 2250</t>
  </si>
  <si>
    <t>facebook: https://www.facebook.com/Doreedos-Steglitz-100948354961392/</t>
  </si>
  <si>
    <t>Taverna Areti</t>
  </si>
  <si>
    <t>Rothenburgstra√üe 41, Berlin, 12163</t>
  </si>
  <si>
    <t>Tien Linh Khang</t>
  </si>
  <si>
    <t>Pankstra√üe 42, Berlin, 13357</t>
  </si>
  <si>
    <t>https://tilikharestaurant.de</t>
  </si>
  <si>
    <t>MangiarBene</t>
  </si>
  <si>
    <t>Thai Tasty</t>
  </si>
  <si>
    <t>Luisenstra√üe 14, Berlin, 10117</t>
  </si>
  <si>
    <t>Masala</t>
  </si>
  <si>
    <t>Friedbergstra√üe 38, Berlin, 14057</t>
  </si>
  <si>
    <t>http://www.restaurant-masala.de/</t>
  </si>
  <si>
    <t>kontakt@restaurant-masala.de</t>
  </si>
  <si>
    <t>+49 30 48481787</t>
  </si>
  <si>
    <t>Francesco Forgione</t>
  </si>
  <si>
    <t>Herr Nguyen 1991</t>
  </si>
  <si>
    <t>Podbielskiallee 49, Berlin, 14195</t>
  </si>
  <si>
    <t>+49 30 92093588</t>
  </si>
  <si>
    <t>Marende</t>
  </si>
  <si>
    <t>Zoppoter Stra√üe 1, Berlin, 14199</t>
  </si>
  <si>
    <t>https://www.restaurante-marende.de/</t>
  </si>
  <si>
    <t xml:space="preserve">yesiltepe@gmx.net </t>
  </si>
  <si>
    <t>+49 30 8972 2051</t>
  </si>
  <si>
    <t>Myo</t>
  </si>
  <si>
    <t>Mommsenstra√üe 12, Berlin, 10629</t>
  </si>
  <si>
    <t>Adnan</t>
  </si>
  <si>
    <t>Schl√ºterstra√üe, Berlin, 10629</t>
  </si>
  <si>
    <t>https://www.kanaan-berlin.de/</t>
  </si>
  <si>
    <t>info@kanaan-berlin.de</t>
  </si>
  <si>
    <t>+49 30 45956801</t>
  </si>
  <si>
    <t>facebook: https://www.facebook.com/KanaanRestaurantBerlin/, instagram: https://www.instagram.com/explore/locations/1014319451/kanaan/</t>
  </si>
  <si>
    <t>Mak√©n√©n√©</t>
  </si>
  <si>
    <t>Schillerstra√üe 20, Berlin, 10625</t>
  </si>
  <si>
    <t>https://www.makenene.de/</t>
  </si>
  <si>
    <t>info@makenene.de</t>
  </si>
  <si>
    <t>+49 30 65773256</t>
  </si>
  <si>
    <t>Duy Nam</t>
  </si>
  <si>
    <t>Windscheidstra√üe 1, Berlin, 10627</t>
  </si>
  <si>
    <t>Osteria Ballar√≤</t>
  </si>
  <si>
    <t>Friedbergstra√üe 22, Berlin, 14057</t>
  </si>
  <si>
    <t>https://osteria-ballaro.berlin/</t>
  </si>
  <si>
    <t>instagram: https://www.instagram.com/osteriaballaroberlin/</t>
  </si>
  <si>
    <t>Bio Fein Bio</t>
  </si>
  <si>
    <t>Leibnizstra√üe 30, Berlin, 10625</t>
  </si>
  <si>
    <t>+49 30 54710980</t>
  </si>
  <si>
    <t>Lenhardt</t>
  </si>
  <si>
    <t>Stuttgarter Platz 21, Berlin, 10627</t>
  </si>
  <si>
    <t>https://leonhardt-restaurant.de/</t>
  </si>
  <si>
    <t>info@leonhardt-restaurant.de</t>
  </si>
  <si>
    <t>+49 30 49877840</t>
  </si>
  <si>
    <t>facebook: https://www.facebook.com/leonhardt.berlin, instagram: https://www.instagram.com/leonhardt.berlin/</t>
  </si>
  <si>
    <t>Ebn Tamshah</t>
  </si>
  <si>
    <t>Leibnizstra√üe 34, Berlin, 10625</t>
  </si>
  <si>
    <t>Weinstube Garage</t>
  </si>
  <si>
    <t>Damaschkestra√üe 8, Berlin, 10711</t>
  </si>
  <si>
    <t>Buschbeck‚Äôs</t>
  </si>
  <si>
    <t>Trendelenburgstra√üe 14, Berlin, 14057</t>
  </si>
  <si>
    <t>https://www.buschbecks-berlin.com</t>
  </si>
  <si>
    <t>Sara &amp; Gogi</t>
  </si>
  <si>
    <t>Suarezstra√üe, Berlin, 14057</t>
  </si>
  <si>
    <t>MiNa Restaurant</t>
  </si>
  <si>
    <t>Joachim-Friedrich-Stra√üe 33, Berlin, 10711</t>
  </si>
  <si>
    <t>https://mina-kitchen.de/</t>
  </si>
  <si>
    <t>+49 30 99278686</t>
  </si>
  <si>
    <t>Epavlis</t>
  </si>
  <si>
    <t>Olympische Stra√üe 30, Berlin, 14052</t>
  </si>
  <si>
    <t>http://www.epavlis.de/</t>
  </si>
  <si>
    <t>+49 30 30103950</t>
  </si>
  <si>
    <t>facebook: https://www.facebook.com/profile.php?id=100009392283251&amp;fref=ts</t>
  </si>
  <si>
    <t>h√§ngbok</t>
  </si>
  <si>
    <t>Damaschkestra√üe 12, Berlin, 10711</t>
  </si>
  <si>
    <t>Pastis</t>
  </si>
  <si>
    <t>R√ºdesheimer Stra√üe 9, Berlin, 14197</t>
  </si>
  <si>
    <t>http://www.restaurant-pastis.de/</t>
  </si>
  <si>
    <t>+49 30 81055769</t>
  </si>
  <si>
    <t>instagram: https://www.instagram.com/pastisrestaurant, facebook: https://www.facebook.com/Restaurant-Pastis-Berlin-114876038550669/</t>
  </si>
  <si>
    <t>Don Camillo</t>
  </si>
  <si>
    <t>Schlo√üstra√üe 7-8, Berlin, 14059</t>
  </si>
  <si>
    <t>https://doncastillo.de</t>
  </si>
  <si>
    <t>info@doncastillo.de</t>
  </si>
  <si>
    <t>+49 30 927 993 29</t>
  </si>
  <si>
    <t>Taj</t>
  </si>
  <si>
    <t>Schlo√üstra√üe 64, Berlin, 14059</t>
  </si>
  <si>
    <t>https://tajberlin.de/</t>
  </si>
  <si>
    <t>info@tajberlin.de</t>
  </si>
  <si>
    <t>+49 30 36702299</t>
  </si>
  <si>
    <t>facebook: https://www.facebook.com/tajcharlottenburg, instagram: https://www.instagram.com/tajcharlottenburg, tiktok: https://www.tiktok.com/@tajcharlottenburg, linkedin: https://www.linkedin.com/company/tajcharlottenburg/</t>
  </si>
  <si>
    <t>Gasthaus Stelzeneder</t>
  </si>
  <si>
    <t>Zillestra√üe 113, Berlin, 10585</t>
  </si>
  <si>
    <t>La Vucciria</t>
  </si>
  <si>
    <t>R√ºdesheimer Stra√üe 8, Berlin, 14197</t>
  </si>
  <si>
    <t>https://la-vucciria.com/</t>
  </si>
  <si>
    <t>ciao@lavucciria.de</t>
  </si>
  <si>
    <t>+49 30 93621276</t>
  </si>
  <si>
    <t>facebook: https://www.facebook.com/La-Vucciria-Cucina-Siciliana-Made-in-Palermo-961664793853188/, instagram: https://www.instagram.com/explore/locations/838999926/la-vucciria-cucina-siciliana-made-in-palermo/?hl=de</t>
  </si>
  <si>
    <t>Nirwana</t>
  </si>
  <si>
    <t>Schlo√üstra√üe 48a, Berlin, 12165</t>
  </si>
  <si>
    <t>http://nirwana-restaurant.de</t>
  </si>
  <si>
    <t>info@nirwana-restaurant.de</t>
  </si>
  <si>
    <t>+49 30 7931659</t>
  </si>
  <si>
    <t>Brigantino</t>
  </si>
  <si>
    <t>Rheinstra√üe 53, Berlin, 12161</t>
  </si>
  <si>
    <t>http://www.brigantino.de/</t>
  </si>
  <si>
    <t>Thai-A-Dong</t>
  </si>
  <si>
    <t>Treskowallee 116, Berlin, 10318</t>
  </si>
  <si>
    <t>http://www.thaiadong.de</t>
  </si>
  <si>
    <t>+49 30 51061551</t>
  </si>
  <si>
    <t>instagram: https://www.instagram.com/thaiadongberlin/?hl=de</t>
  </si>
  <si>
    <t>Yogi-Snack</t>
  </si>
  <si>
    <t>Simon-Dach-Stra√üe 11, Berlin, 10245</t>
  </si>
  <si>
    <t>http://www.yogisnack.de</t>
  </si>
  <si>
    <t>+49 30 29004838</t>
  </si>
  <si>
    <t>Salt'n'Pepper</t>
  </si>
  <si>
    <t>Miso Lab</t>
  </si>
  <si>
    <t>Gleimstra√üe 10A, Berlin, 10437</t>
  </si>
  <si>
    <t>Holly</t>
  </si>
  <si>
    <t>Schustehrusstra√üe 3, Berlin, 10585</t>
  </si>
  <si>
    <t>Gia Han</t>
  </si>
  <si>
    <t>Reinickendorfer Stra√üe 13, Berlin, 13347</t>
  </si>
  <si>
    <t>http://www.qype.com/place/1632163-Gia-han-Berlin</t>
  </si>
  <si>
    <t>+49 30 47010120</t>
  </si>
  <si>
    <t>Buchkantine</t>
  </si>
  <si>
    <t>Dortmunder Stra√üe 1, Berlin, 10555</t>
  </si>
  <si>
    <t>http://www.buchkantine.de</t>
  </si>
  <si>
    <t>+49 30 94883728</t>
  </si>
  <si>
    <t>instagram: https://www.instagram.com/buchkantine/, facebook: https://www.facebook.com/Buchkantine/, linkedin: https://www.linkedin.com/company/buchkantine/, tiktok: https://www.tiktok.com/@buchkantine</t>
  </si>
  <si>
    <t>Sapori di Casa</t>
  </si>
  <si>
    <t>Wilsnacker Stra√üe 61, Berlin, 10559</t>
  </si>
  <si>
    <t>https://saporidicasa.de/</t>
  </si>
  <si>
    <t>info@saporidicasa.de</t>
  </si>
  <si>
    <t>+49 30 28424572</t>
  </si>
  <si>
    <t>La Famiglia</t>
  </si>
  <si>
    <t>Eichborndamm 80, Berlin, 13403</t>
  </si>
  <si>
    <t>https://la-famiglia-restaurant.eatbu.com/?lang=de</t>
  </si>
  <si>
    <t>Dzemalij.ameti1@gmail.com</t>
  </si>
  <si>
    <t>+4930 55519 711</t>
  </si>
  <si>
    <t>Zur Alten Laterne</t>
  </si>
  <si>
    <t>Alt-K√∂penick 31, Berlin, 12555</t>
  </si>
  <si>
    <t>http://www.altelaterne.de/</t>
  </si>
  <si>
    <t>info@alte-laterne.de</t>
  </si>
  <si>
    <t>+49 30 6557297</t>
  </si>
  <si>
    <t>Best Friends</t>
  </si>
  <si>
    <t>Gleimstra√üe 10, Berlin, 10437</t>
  </si>
  <si>
    <t>Bep of Meo</t>
  </si>
  <si>
    <t>Wisbyer Stra√üe 4, Berlin, 10439</t>
  </si>
  <si>
    <t>+49 30 92122348</t>
  </si>
  <si>
    <t>B·∫øn Th√†nh</t>
  </si>
  <si>
    <t>Neue Bahnhofstra√üe 36, Berlin, 10245</t>
  </si>
  <si>
    <t>https://benthanh-berlin.de</t>
  </si>
  <si>
    <t>+49 30 71531545</t>
  </si>
  <si>
    <t>Villa Toscana</t>
  </si>
  <si>
    <t>Weinstube Rotes Haus</t>
  </si>
  <si>
    <t>Die Seelodge</t>
  </si>
  <si>
    <t>Wernsdorfer Stra√üe 38, Berlin, 12527</t>
  </si>
  <si>
    <t>https://dieseelodge-berlin.de</t>
  </si>
  <si>
    <t>+49 30 76880848</t>
  </si>
  <si>
    <t>Sapa Sushi</t>
  </si>
  <si>
    <t>Kronenstra√üe 54, Berlin, 10117</t>
  </si>
  <si>
    <t>https://funasushi.de/</t>
  </si>
  <si>
    <t>+49 30 202 16979</t>
  </si>
  <si>
    <t>Saigon Grill &amp; Hotpot</t>
  </si>
  <si>
    <t>Spandauer Damm 181, Berlin, 14050</t>
  </si>
  <si>
    <t>https://www.saigon-grill.de/</t>
  </si>
  <si>
    <t>+49 30 23560493</t>
  </si>
  <si>
    <t>La Maison Bleue</t>
  </si>
  <si>
    <t>Pannierstra√üe 26, Berlin, 12047</t>
  </si>
  <si>
    <t>https://la-maison-bleue.de/</t>
  </si>
  <si>
    <t>info@la-maison-bleue.de</t>
  </si>
  <si>
    <t>+49 30 915 38214</t>
  </si>
  <si>
    <t>instagram: https://www.instagram.com/lamaisonbleueberlin/, facebook: https://www.facebook.com/LaMaisonBleueBerlin</t>
  </si>
  <si>
    <t>Gran Casino</t>
  </si>
  <si>
    <t>Weserstra√üe 208, Berlin, 12047</t>
  </si>
  <si>
    <t>https://gran-casino.de/</t>
  </si>
  <si>
    <t>reservierung@gran-casino.de</t>
  </si>
  <si>
    <t>instagram: https://www.instagram.com/gran_casino_pizzeria/</t>
  </si>
  <si>
    <t>Landhaus Alt-L√ºbars</t>
  </si>
  <si>
    <t>Alt-L√ºbars 1 D, 13469</t>
  </si>
  <si>
    <t>http://www.landhaus-alt-l√ºbars.de</t>
  </si>
  <si>
    <t>Trattoria Europa</t>
  </si>
  <si>
    <t>Tikka Masala</t>
  </si>
  <si>
    <t>Dietzgenstra√üe 43</t>
  </si>
  <si>
    <t>https://tikka-masala.eatbu.com/</t>
  </si>
  <si>
    <t>mamunmollaaz@gmail.com</t>
  </si>
  <si>
    <t>Ristorante Francavilla Pizzeria</t>
  </si>
  <si>
    <t>Dietzgenstra√üe 70, Berlin, 13156</t>
  </si>
  <si>
    <t>Havelwelle</t>
  </si>
  <si>
    <t>Ristorante Cappuccino</t>
  </si>
  <si>
    <t>Alt-Gatow 1-3, Berlin, 14089</t>
  </si>
  <si>
    <t>https://www.ristorante-cappuccino.de/</t>
  </si>
  <si>
    <t>buchhaltung01@ristorante-cappuccino.de</t>
  </si>
  <si>
    <t>+49 30 36992263</t>
  </si>
  <si>
    <t>facebook: https://www.facebook.com/cappuccino.gatow/, instagram: https://www.instagram.com/cappuccino_gatow/</t>
  </si>
  <si>
    <t>Com Dang</t>
  </si>
  <si>
    <t>Alt-Gatow 31, Berlin, 14089</t>
  </si>
  <si>
    <t>https://comdang.de/</t>
  </si>
  <si>
    <t>mail@comdang.de</t>
  </si>
  <si>
    <t>+49 30 55668099</t>
  </si>
  <si>
    <t>facebook: https://facebook.com/comdanggatow, instagram: https://www.instagram.com/comdanggatow, twitter: https://twitter.com/comdanggatow, tiktok: https://www.tiktok.com/@comdanggatow</t>
  </si>
  <si>
    <t>Villa Rodizio</t>
  </si>
  <si>
    <t>Milastra√üe 2, Berlin, 10437</t>
  </si>
  <si>
    <t>https://www.villa-rodizio.de</t>
  </si>
  <si>
    <t>info@villa-rodizio.de</t>
  </si>
  <si>
    <t>+49 30 44046900</t>
  </si>
  <si>
    <t>Ali Baba</t>
  </si>
  <si>
    <t>Krossener Stra√üe 17, Berlin, 10245</t>
  </si>
  <si>
    <t>http://www.restaurant-sai-baba.de</t>
  </si>
  <si>
    <t>alibaba.restaurant1972@gmail.com</t>
  </si>
  <si>
    <t>+49 30 69206861</t>
  </si>
  <si>
    <t>Shalimar</t>
  </si>
  <si>
    <t>Bellermannstra√üe 17, Berlin, 13357</t>
  </si>
  <si>
    <t>https://www.shalimar.berlin</t>
  </si>
  <si>
    <t>+49 30 4944028</t>
  </si>
  <si>
    <t>Landhaus Sch√∂neberg</t>
  </si>
  <si>
    <t>Wartburgstra√üe 19, Berlin, 10825</t>
  </si>
  <si>
    <t>https://www.landhaus-schoeneberg.de/</t>
  </si>
  <si>
    <t>+49 30 78957462</t>
  </si>
  <si>
    <t>facebook: https://www.facebook.com/profile.php?id=100088820208082, instagram: https://www.instagram.com/landhaus_schoeneberg/</t>
  </si>
  <si>
    <t>Tadka</t>
  </si>
  <si>
    <t>Feurigstra√üe 38, Berlin, 10827</t>
  </si>
  <si>
    <t>https://www.tadka.de/</t>
  </si>
  <si>
    <t>tadkaberlin@gmail.comFollow</t>
  </si>
  <si>
    <t>+49 30 29366620</t>
  </si>
  <si>
    <t>facebook: https://www.facebook.com/tadkaberlin, instagram: https://www.instagram.com/tadkaberlin</t>
  </si>
  <si>
    <t>Pinelli</t>
  </si>
  <si>
    <t>Ebersstra√üe 67, Berlin, 10827</t>
  </si>
  <si>
    <t>https://www.cucinelli-ristorante.de/</t>
  </si>
  <si>
    <t>+49 30 78792917</t>
  </si>
  <si>
    <t>instagram: https://www.instagram.com/cucinelli_ristorante/</t>
  </si>
  <si>
    <t>il Bene</t>
  </si>
  <si>
    <t>Fritz-Erler-Allee 181, Berlin, 12353</t>
  </si>
  <si>
    <t>+49 30 36433794</t>
  </si>
  <si>
    <t>Wirtshaus zum Mitterhofer</t>
  </si>
  <si>
    <t>Fichtestra√üe 1, Berlin, 10967</t>
  </si>
  <si>
    <t>Guru</t>
  </si>
  <si>
    <t>K√∂rtestra√üe 30, Berlin, 10967</t>
  </si>
  <si>
    <t>https://www.restaurant-guru.de</t>
  </si>
  <si>
    <t>Gasthaus Valentin</t>
  </si>
  <si>
    <t>Hasenheide 49, Berlin, 10967</t>
  </si>
  <si>
    <t>+49 30 54813167</t>
  </si>
  <si>
    <t>Maharadscha-India</t>
  </si>
  <si>
    <t>Radickestra√üe 44, Berlin, 12489</t>
  </si>
  <si>
    <t>Athen</t>
  </si>
  <si>
    <t>Radickestra√üe 57, Berlin, 12489</t>
  </si>
  <si>
    <t>https://www.athen-adlershof.de/</t>
  </si>
  <si>
    <t>Jalapenos</t>
  </si>
  <si>
    <t>Adlergestell 263, Berlin, 12489</t>
  </si>
  <si>
    <t>Il Mondo</t>
  </si>
  <si>
    <t>Platz der Befreiung 1, Berlin, 12489</t>
  </si>
  <si>
    <t>https://www.trattoria-il-mondo.de/</t>
  </si>
  <si>
    <t>+49 30 66775820</t>
  </si>
  <si>
    <t>facebook: https://www.facebook.com/Trattoria-Il-Mondo-453993411454107/</t>
  </si>
  <si>
    <t>Pho 39</t>
  </si>
  <si>
    <t>Berkaer Stra√üe 39, Berlin, 14199</t>
  </si>
  <si>
    <t>https://www.pho39-restaurant-berlin.de/</t>
  </si>
  <si>
    <t>+49 30 74783363</t>
  </si>
  <si>
    <t>Aki Tatsu Sushi</t>
  </si>
  <si>
    <t>Adalbertstra√üe 90, Berlin, 10997</t>
  </si>
  <si>
    <t>http://www.akitatsu.de/</t>
  </si>
  <si>
    <t>akitatsu_adalbert@yahoo.de</t>
  </si>
  <si>
    <t>+49 30 69569176</t>
  </si>
  <si>
    <t>Terra</t>
  </si>
  <si>
    <t>Grimmstra√üe 1, Berlin, 10967</t>
  </si>
  <si>
    <t>http://www.maroni-berlin-kreuzberg.de</t>
  </si>
  <si>
    <t>+49 30 54976251</t>
  </si>
  <si>
    <t>Koah Bistro</t>
  </si>
  <si>
    <t>Karl-Lade-Stra√üe 42</t>
  </si>
  <si>
    <t>R√ºdiger's</t>
  </si>
  <si>
    <t>Motzstra√üe 63, Berlin, 10777</t>
  </si>
  <si>
    <t>https://www.ruedigers-berlin.de/</t>
  </si>
  <si>
    <t>info@ruedigers-berlin.de</t>
  </si>
  <si>
    <t>Hindi</t>
  </si>
  <si>
    <t>Plesser Stra√üe 6, Berlin, 12435</t>
  </si>
  <si>
    <t>http://www.restaurant-hindi.de/</t>
  </si>
  <si>
    <t>info@hindi-singh.de</t>
  </si>
  <si>
    <t>+49 30 99408428</t>
  </si>
  <si>
    <t>Maria Bonita</t>
  </si>
  <si>
    <t>Danziger Stra√üe 33, Berlin, 10435</t>
  </si>
  <si>
    <t>https://mariabonita.de</t>
  </si>
  <si>
    <t>+49 30 20255338</t>
  </si>
  <si>
    <t>instagram: http://instagram.com/mariabonitaberlin/, facebook: https://www.facebook.com/mariabonitaberlin, tiktok: https://www.tiktok.com/@maria.bonita.berlin</t>
  </si>
  <si>
    <t>Brauhaus S√ºdstern</t>
  </si>
  <si>
    <t>Hasenheide 69, Berlin, 10967</t>
  </si>
  <si>
    <t>http://www.brauhaus-suedstern.de</t>
  </si>
  <si>
    <t>info@brauhaus-suedstern.de</t>
  </si>
  <si>
    <t>+49 30 69001624</t>
  </si>
  <si>
    <t>facebook: https://www.facebook.com/BrauhausSuedstern/?ref=br_rs</t>
  </si>
  <si>
    <t>non la</t>
  </si>
  <si>
    <t>Grunewaldstra√üe 28, Berlin, 12165</t>
  </si>
  <si>
    <t>https://nonla.de</t>
  </si>
  <si>
    <t>Pizza Berlino</t>
  </si>
  <si>
    <t>Seydelstra√üe 20, Berlin, 10117</t>
  </si>
  <si>
    <t>https://www.pizzaberlino.de/</t>
  </si>
  <si>
    <t>info@pizzaberlino.deImpressum</t>
  </si>
  <si>
    <t>+49 30 37472366</t>
  </si>
  <si>
    <t>instagram: https://www.instagram.com/pizza_berlino?igsh=Ync5b3Fid25oejc0</t>
  </si>
  <si>
    <t>Vi Viet</t>
  </si>
  <si>
    <t>Walter-Benjamin-Platz 8, Berlin, 10629</t>
  </si>
  <si>
    <t>IL Calice</t>
  </si>
  <si>
    <t>https://enoiteca-il-calice.de/</t>
  </si>
  <si>
    <t>restaurant@ilcalice.de</t>
  </si>
  <si>
    <t>+49 30 324 2308</t>
  </si>
  <si>
    <t>facebook: https://www.facebook.com/enoiteca.ilcalice/, instagram: https://www.instagram.com/il.calice/?hl=de</t>
  </si>
  <si>
    <t>Basak</t>
  </si>
  <si>
    <t>Grolmanstra√üe 27, Berlin, 10623</t>
  </si>
  <si>
    <t>tavola calda</t>
  </si>
  <si>
    <t>Leibnizstra√üe, Berlin, 10629</t>
  </si>
  <si>
    <t>LeConsulat</t>
  </si>
  <si>
    <t>Mommsenstra√üe 57, Berlin, 10629</t>
  </si>
  <si>
    <t>Sake Sushi Bar</t>
  </si>
  <si>
    <t>Schl√ºterstra√üe 33, Berlin, 10629</t>
  </si>
  <si>
    <t>http://www.sakesushibar.de/</t>
  </si>
  <si>
    <t>service@sakesushibar.de</t>
  </si>
  <si>
    <t>Terzo Mondo</t>
  </si>
  <si>
    <t>Grolmanstra√üe 28, Berlin, 10623</t>
  </si>
  <si>
    <t>http://www.terzomondo.de</t>
  </si>
  <si>
    <t>+49 30 8815261</t>
  </si>
  <si>
    <t>instagram: https://www.instagram.com/terzogram/</t>
  </si>
  <si>
    <t>√Ñnnchen von Tharau</t>
  </si>
  <si>
    <t>Rolandufer 6, Berlin, 10179</t>
  </si>
  <si>
    <t>http://www.aennchen-von-tharau.de</t>
  </si>
  <si>
    <t>info@aevt.de</t>
  </si>
  <si>
    <t>+49 30 726202070</t>
  </si>
  <si>
    <t>facebook: https://www.facebook.com/aevt.de</t>
  </si>
  <si>
    <t>Restaurant Blattlaus</t>
  </si>
  <si>
    <t>Am Adlergestell 181, Berlin, 12489</t>
  </si>
  <si>
    <t>https://www.blattlaus-adlershof.de/</t>
  </si>
  <si>
    <t>mail@blattlaus-adlershof.de</t>
  </si>
  <si>
    <t>+49 177 8336810</t>
  </si>
  <si>
    <t>The Flying Monkey</t>
  </si>
  <si>
    <t>Kastanienallee 15, Berlin, 10435</t>
  </si>
  <si>
    <t>https://www.flyingmonkeyberlin.com/</t>
  </si>
  <si>
    <t>info@flyingmonkeyberlin.comReservations</t>
  </si>
  <si>
    <t>instagram: https://www.instagram.com/theflyingmonkey.berlin/</t>
  </si>
  <si>
    <t>Pizza Pane</t>
  </si>
  <si>
    <t>Kastanienallee 28, Berlin, 10435</t>
  </si>
  <si>
    <t>+49 176 69396260</t>
  </si>
  <si>
    <t>Babel</t>
  </si>
  <si>
    <t>Kastanienallee 33, Berlin, 10435</t>
  </si>
  <si>
    <t>http://babel-restaurant.com/</t>
  </si>
  <si>
    <t>+49 30 44031318</t>
  </si>
  <si>
    <t>Esra</t>
  </si>
  <si>
    <t>Kastanienallee 88, Berlin, 10435</t>
  </si>
  <si>
    <t>http://esra.restaurant</t>
  </si>
  <si>
    <t>Pho Bistro</t>
  </si>
  <si>
    <t>Kastanienallee 89, Berlin, 10435</t>
  </si>
  <si>
    <t>polos-bistro@web.de</t>
  </si>
  <si>
    <t>+49 30 4408308</t>
  </si>
  <si>
    <t>0.4</t>
  </si>
  <si>
    <t>Smart cooking</t>
  </si>
  <si>
    <t>https://www.smartcooking-berlin.com/</t>
  </si>
  <si>
    <t>facebook: https://www.facebook.com/smartcookingberlin/</t>
  </si>
  <si>
    <t>Takumi Nine</t>
  </si>
  <si>
    <t>https://www.takuminineberlin.de/takumi-nine-prenzlauer-berg</t>
  </si>
  <si>
    <t>facebook: https://www.facebook.com/share/1ZYcGsvzJF/?mibextid=wwXIfr, instagram: https://www.instagram.com/takumi9tonkotsu/</t>
  </si>
  <si>
    <t>Gasthof zur gr√ºnen Linde</t>
  </si>
  <si>
    <t>http://gr√ºnelinde-berlin.de/</t>
  </si>
  <si>
    <t>Mitho Cha!</t>
  </si>
  <si>
    <t>Rykestra√üe 40, Berlin, 10405</t>
  </si>
  <si>
    <t>https://www.mitho-cha.com/</t>
  </si>
  <si>
    <t>info@mitho-cha.com</t>
  </si>
  <si>
    <t>+49 30 44041455</t>
  </si>
  <si>
    <t>instagram: https://www.instagram.com/mitho_cha_neukoelln/</t>
  </si>
  <si>
    <t>Jomo</t>
  </si>
  <si>
    <t>Rykestra√üe 14, Berlin, 10405</t>
  </si>
  <si>
    <t>https://jomo.choiceqr.com</t>
  </si>
  <si>
    <t>Suriya Kanthi</t>
  </si>
  <si>
    <t>Knaackstra√üe 4, Berlin, 10405</t>
  </si>
  <si>
    <t>http://www.suriya-kanthi.de/</t>
  </si>
  <si>
    <t>Kong II Bao-House</t>
  </si>
  <si>
    <t>Prenzlauer Allee 27A, Berlin, 10405</t>
  </si>
  <si>
    <t>DDR Speisegastst√§tte Pionierlager</t>
  </si>
  <si>
    <t>Prenzlauer Allee 26, Berlin, 10405</t>
  </si>
  <si>
    <t>https://restaurant-pila.de/</t>
  </si>
  <si>
    <t>Obermaier Restaurant</t>
  </si>
  <si>
    <t>Erkelenzdamm 17, Berlin, 10999</t>
  </si>
  <si>
    <t>https://www.obermaier-kreuzberg.de/</t>
  </si>
  <si>
    <t>+49 30 61656862</t>
  </si>
  <si>
    <t>Cocina Mexicana</t>
  </si>
  <si>
    <t>Marzano</t>
  </si>
  <si>
    <t>Mehrower Allee 18, Berlin</t>
  </si>
  <si>
    <t>+49 30 9378991</t>
  </si>
  <si>
    <t>Taverna Orakel</t>
  </si>
  <si>
    <t>Dannenwalder Weg 70, Berlin, 13439</t>
  </si>
  <si>
    <t>https://www.taverna-orakel.de/</t>
  </si>
  <si>
    <t>info@taverna-orakel.de</t>
  </si>
  <si>
    <t>+49 30 417 20 959</t>
  </si>
  <si>
    <t>Wok Show</t>
  </si>
  <si>
    <t>Greifenhagener Stra√üe 31, Berlin, 10437</t>
  </si>
  <si>
    <t>https://www.wok-show.de</t>
  </si>
  <si>
    <t>+49 30 43911857</t>
  </si>
  <si>
    <t>La Mama</t>
  </si>
  <si>
    <t>Albrechtstra√üe 119, Berlin, 12167</t>
  </si>
  <si>
    <t>https://la-mama-steglitz.de/</t>
  </si>
  <si>
    <t>+49 30 70760100</t>
  </si>
  <si>
    <t>Taj Mahal</t>
  </si>
  <si>
    <t>Schnellerstra√üe 128, Berlin, 12439</t>
  </si>
  <si>
    <t>https://www.taj-mahal-berlin.de/</t>
  </si>
  <si>
    <t>+49 30 63978067</t>
  </si>
  <si>
    <t>Pam Bao</t>
  </si>
  <si>
    <t>Spreestra√üe 27, Berlin, 12439</t>
  </si>
  <si>
    <t>https://pambao-restaurant.de</t>
  </si>
  <si>
    <t>info@pambao-restaurant.de</t>
  </si>
  <si>
    <t>+49 30 62874979</t>
  </si>
  <si>
    <t>El Buen Gusto</t>
  </si>
  <si>
    <t>Kiefholzstra√üe 191, Berlin, 12437</t>
  </si>
  <si>
    <t>http://el-buen-gusto.de/</t>
  </si>
  <si>
    <t>info@el-buen-gusto.de</t>
  </si>
  <si>
    <t>+49 30 51060013</t>
  </si>
  <si>
    <t>Bellissimo</t>
  </si>
  <si>
    <t>https://www.restaurantbellissimo.de/</t>
  </si>
  <si>
    <t>Trattoria Il Gusto Italiano</t>
  </si>
  <si>
    <t>Hohenzollerndamm 50, Berlin, 14199</t>
  </si>
  <si>
    <t>https://il-gusto-trattoria.de/</t>
  </si>
  <si>
    <t>+49 30 82407287</t>
  </si>
  <si>
    <t>facebook: http://www.facebook.com/pages/Ilgustotrattoriaberlin/167551673410820</t>
  </si>
  <si>
    <t>Il Nuovo Primo</t>
  </si>
  <si>
    <t>S√ºdstern 3, Berlin, 10967</t>
  </si>
  <si>
    <t>Moc</t>
  </si>
  <si>
    <t>Lychener Stra√üe 28, 10437</t>
  </si>
  <si>
    <t>http://www.asiandeli.de/</t>
  </si>
  <si>
    <t>+49 30 44048920</t>
  </si>
  <si>
    <t>Poseidon</t>
  </si>
  <si>
    <t>Fritz-Wildung-Stra√üe 7a, Berlin, 14199</t>
  </si>
  <si>
    <t>+49 30 8231038</t>
  </si>
  <si>
    <t>Paris Bar</t>
  </si>
  <si>
    <t>Kantstra√üe 152, Berlin, 10623</t>
  </si>
  <si>
    <t>http://www.parisbar.net</t>
  </si>
  <si>
    <t>office@parisbar.net</t>
  </si>
  <si>
    <t>+49 30 3138052</t>
  </si>
  <si>
    <t>Groschen Keller</t>
  </si>
  <si>
    <t>Bismarckstra√üe 7, Berlin, 12157</t>
  </si>
  <si>
    <t>http://www.groschenkeller.de</t>
  </si>
  <si>
    <t>info@groschenkeller.com</t>
  </si>
  <si>
    <t>+49 30 7951987</t>
  </si>
  <si>
    <t>facebook: https://www.facebook.com/Groschenkellercom/, instagram: https://www.instagram.com/groschen_keller/, twitter: https://twitter.com/Groschen_Keller</t>
  </si>
  <si>
    <t>Al Mora</t>
  </si>
  <si>
    <t>Pasta degli Angeli</t>
  </si>
  <si>
    <t>Dietzgenstra√üe 63, Berlin, 13156</t>
  </si>
  <si>
    <t>http://www.pan-degli-angeli.com/</t>
  </si>
  <si>
    <t>info@pandegliangeli.de</t>
  </si>
  <si>
    <t>Konstantin</t>
  </si>
  <si>
    <t>Invalidenstra√üe 50-51, Berlin, 10557</t>
  </si>
  <si>
    <t>https://restaurant-konstantin.de/</t>
  </si>
  <si>
    <t>+49 30 7071 3650</t>
  </si>
  <si>
    <t>instagram: https://www.instagram.com/restauranthamburgerbahnhof/</t>
  </si>
  <si>
    <t>The No Name</t>
  </si>
  <si>
    <t>https://www.facebook.com/TheNoNameBerlin/</t>
  </si>
  <si>
    <t>Rossini Quattro</t>
  </si>
  <si>
    <t>Rathausstra√üe 1, Berlin, 10367</t>
  </si>
  <si>
    <t>Neumann's Gastst√§tten</t>
  </si>
  <si>
    <t>Alt-Moabit 126, Berlin, 10557</t>
  </si>
  <si>
    <t>https://restaurantneumanns.de/</t>
  </si>
  <si>
    <t>restaurantneumanns@online.de</t>
  </si>
  <si>
    <t>+49 30 392993</t>
  </si>
  <si>
    <t>facebook: http://www.facebook.com/pages/Restaurant-Neumanns/149574098418254?fref=ts</t>
  </si>
  <si>
    <t>Salt‚Äòn‚ÄòSugar</t>
  </si>
  <si>
    <t>https://salt-n-sugar.de/</t>
  </si>
  <si>
    <t>welcome@salt-n-sugar.de</t>
  </si>
  <si>
    <t>+49 30 36500981</t>
  </si>
  <si>
    <t>facebook: https://www.facebook.com/helmutkladow</t>
  </si>
  <si>
    <t>Transit</t>
  </si>
  <si>
    <t>Sonntagstra√üe 28, Berlin, 10245</t>
  </si>
  <si>
    <t>https://www.transit-restaurants.com/</t>
  </si>
  <si>
    <t>FRIEDRICHSHAININFO@transit.berlinBERLIN</t>
  </si>
  <si>
    <t>+49 30 26948415</t>
  </si>
  <si>
    <t>instagram: https://www.instagram.com/transit.berlin/, facebook: https://www.facebook.com/Transit.Restaurants/</t>
  </si>
  <si>
    <t>Club-Restaurant</t>
  </si>
  <si>
    <t>Rio Grande</t>
  </si>
  <si>
    <t>May-Ayim-Ufer 9, Berlin, 10997</t>
  </si>
  <si>
    <t>http://www.riogrande-berlin.de/</t>
  </si>
  <si>
    <t>info@riogrande-berlin.de</t>
  </si>
  <si>
    <t>+49 30 61074981</t>
  </si>
  <si>
    <t>Masel Topf</t>
  </si>
  <si>
    <t>Rykestra√üe 2, Berlin, 10405</t>
  </si>
  <si>
    <t>https://restaurant-maseltopf.de</t>
  </si>
  <si>
    <t>+49 30 44317525</t>
  </si>
  <si>
    <t>Ashoka</t>
  </si>
  <si>
    <t>Grolmanstra√üe 51, Berlin, 10623</t>
  </si>
  <si>
    <t>http://www.myashoka.de/index.html</t>
  </si>
  <si>
    <t>Xxenia</t>
  </si>
  <si>
    <t>Aaina</t>
  </si>
  <si>
    <t>Tempelhofer Damm 216, Berlin, 12099</t>
  </si>
  <si>
    <t>https://aaina-tempelhof.de/</t>
  </si>
  <si>
    <t>aaina.tempelhof@gmail.com</t>
  </si>
  <si>
    <t>+49 30 720 12 589</t>
  </si>
  <si>
    <t>Moustache</t>
  </si>
  <si>
    <t>https://www.restaurant-moustache.de/</t>
  </si>
  <si>
    <t>+49 30 3423094</t>
  </si>
  <si>
    <t>Chen's Wok</t>
  </si>
  <si>
    <t>Otto-Suhr-Allee 11-13, Berlin, 10585</t>
  </si>
  <si>
    <t>https://chenswok.de</t>
  </si>
  <si>
    <t>info@chenswok.de</t>
  </si>
  <si>
    <t>+49 30 3419013</t>
  </si>
  <si>
    <t>facebook: https://www.facebook.com/chenswokberlin, instagram: https://www.instagram.com/chenswokberlin</t>
  </si>
  <si>
    <t>Konoba</t>
  </si>
  <si>
    <t>Otto-Suhr-Allee 17, Berlin, 10585</t>
  </si>
  <si>
    <t>http://www.konoba-charlottenburg.de/</t>
  </si>
  <si>
    <t>k.vegman20@gmx.deImpressum</t>
  </si>
  <si>
    <t>+49 30 3412627</t>
  </si>
  <si>
    <t>Panbao &amp; Lobster</t>
  </si>
  <si>
    <t>Bajra</t>
  </si>
  <si>
    <t>Boxhagener Stra√üe 60, Berlin, 10245</t>
  </si>
  <si>
    <t>https://www.barraberlin.com</t>
  </si>
  <si>
    <t>reservations@barraberlin.com</t>
  </si>
  <si>
    <t>+49 30 81860757</t>
  </si>
  <si>
    <t>instagram: https://www.instagram.com/barra_berlin/, facebook: https://www.facebook.com/barraberlin/</t>
  </si>
  <si>
    <t>chi chu</t>
  </si>
  <si>
    <t>Lausitzer Platz 14, Berlin, 10997</t>
  </si>
  <si>
    <t>http://www.chi-chu.de</t>
  </si>
  <si>
    <t>+49 30 81803482</t>
  </si>
  <si>
    <t>Kim Thanh</t>
  </si>
  <si>
    <t>Helmholtzstra√üe 15, Berlin, 10587</t>
  </si>
  <si>
    <t>https://kimthanh.de/</t>
  </si>
  <si>
    <t>info@kimthanh.de</t>
  </si>
  <si>
    <t>+49 30 39837488</t>
  </si>
  <si>
    <t>facebook: https://www.facebook.com/kimthanhBerlin/</t>
  </si>
  <si>
    <t>Ya-Man</t>
  </si>
  <si>
    <t>Gotzkowskystra√üe 17, Berlin, 10555</t>
  </si>
  <si>
    <t>http://ya-man.info/</t>
  </si>
  <si>
    <t>facebook: http://www.facebook.com/yamansoulfoodberlin, instagram: http://www.instagram.com/yamansoulfoodberlin</t>
  </si>
  <si>
    <t>Taste</t>
  </si>
  <si>
    <t>Alt-Moabit 54, Berlin, 10555</t>
  </si>
  <si>
    <t>http://taste-singa.de</t>
  </si>
  <si>
    <t>Reis 23</t>
  </si>
  <si>
    <t>Mother's Heart</t>
  </si>
  <si>
    <t>Oranienstra√üe 37</t>
  </si>
  <si>
    <t>https://mothersheart-restaurant.de/</t>
  </si>
  <si>
    <t>+49 30 62876724</t>
  </si>
  <si>
    <t>Safran</t>
  </si>
  <si>
    <t>Oranienstra√üe 172, Berlin, 10999</t>
  </si>
  <si>
    <t>http://www.safran-restaurant.de/</t>
  </si>
  <si>
    <t>reservation@paranberlin.de</t>
  </si>
  <si>
    <t>+49 30 6156211</t>
  </si>
  <si>
    <t>PHO 6</t>
  </si>
  <si>
    <t>Gotzkowskystra√üe 6, Berlin, 10555</t>
  </si>
  <si>
    <t>Al Abdalla</t>
  </si>
  <si>
    <t>Gotzkowskystra√üe 35, Berlin, 10555</t>
  </si>
  <si>
    <t>Rice Village</t>
  </si>
  <si>
    <t>parantez</t>
  </si>
  <si>
    <t>Oranienplatz 15, Berlin, 10999</t>
  </si>
  <si>
    <t>Gorgonzola Club</t>
  </si>
  <si>
    <t>Dresdener Stra√üe, Berlin, 10999</t>
  </si>
  <si>
    <t>http://www.gorgonzolaclub.de/</t>
  </si>
  <si>
    <t>info@gorgonzolaclub.de</t>
  </si>
  <si>
    <t>Cevicher√≠a</t>
  </si>
  <si>
    <t>Dresdener Stra√üe 120, Berlin, 10999</t>
  </si>
  <si>
    <t>http://cevicheria-berlin.com/</t>
  </si>
  <si>
    <t>+49 30 55624038</t>
  </si>
  <si>
    <t>Ins Morgen</t>
  </si>
  <si>
    <t>Stiege</t>
  </si>
  <si>
    <t>Oranienstra√üe 47, Berlin, 10969</t>
  </si>
  <si>
    <t>Qebabtor Stari Most</t>
  </si>
  <si>
    <t>Weinblatt</t>
  </si>
  <si>
    <t>Dieffenbachstra√üe 59, Berlin, 10967</t>
  </si>
  <si>
    <t>http://www.feinkost-weinblatt.de/</t>
  </si>
  <si>
    <t>+49 30 69517365</t>
  </si>
  <si>
    <t>Pho Noodlebar</t>
  </si>
  <si>
    <t>Adalbertstra√üe 9, Berlin, 10999</t>
  </si>
  <si>
    <t>https://pho.berlin/kreuzberg</t>
  </si>
  <si>
    <t>kreuzberg@pho.berlin</t>
  </si>
  <si>
    <t>+49 30 536 792 35</t>
  </si>
  <si>
    <t>instagram: http://instagram.com/pho.noodlebar/, facebook: https://www.facebook.com/PHO.noodlebar.berlin/</t>
  </si>
  <si>
    <t>Santa Maria</t>
  </si>
  <si>
    <t>Oranienstra√üe 170, Berlin, 10999</t>
  </si>
  <si>
    <t>https://www.santaberlin.com/</t>
  </si>
  <si>
    <t>0027INFO@SANTABERLIN.COM</t>
  </si>
  <si>
    <t>+49 30 9221 0027</t>
  </si>
  <si>
    <t>instagram: https://www.instagram.com/santamexican/, facebook: https://www.facebook.com/santa.maria.xberg</t>
  </si>
  <si>
    <t>esswirtschaft</t>
  </si>
  <si>
    <t>Charlottenstra√üe 63, Berlin, 10117</t>
  </si>
  <si>
    <t>https://www.forum-esswirtschaft.de/</t>
  </si>
  <si>
    <t>info@forum-esswirtschaft.de</t>
  </si>
  <si>
    <t>+49 30 992110300</t>
  </si>
  <si>
    <t>linkedin: https://www.linkedin.com/company/forum-esswirtschaft-gmbh/, instagram: https://www.instagram.com/esswirtschaft_daily/</t>
  </si>
  <si>
    <t>Schwarze Heidi</t>
  </si>
  <si>
    <t>Mariannenstra√üe 50, Berlin, 10997</t>
  </si>
  <si>
    <t>http://www.schwarzeheidi.de/</t>
  </si>
  <si>
    <t>info@schwarzeheidi.de</t>
  </si>
  <si>
    <t>+49 30 6115455</t>
  </si>
  <si>
    <t>facebook: https://www.facebook.com/SchwarzeHeidiBerlin/, instagram: https://www.instagram.com/explore/locations/268951868/</t>
  </si>
  <si>
    <t>Chelany</t>
  </si>
  <si>
    <t>Friedelstra√üe 41, Berlin, 12047</t>
  </si>
  <si>
    <t>https://neukolln.chelanyrestaurant-berlin.de</t>
  </si>
  <si>
    <t>neukolln@chelanyrestaurant-berlin.de</t>
  </si>
  <si>
    <t>+49 30 41768688</t>
  </si>
  <si>
    <t>Lac Viet</t>
  </si>
  <si>
    <t>Rheinstra√üe 50, Berlin, 12161</t>
  </si>
  <si>
    <t>https://lacvietinberlin.de</t>
  </si>
  <si>
    <t>+49 30 84183160</t>
  </si>
  <si>
    <t>Atrium</t>
  </si>
  <si>
    <t>Miss Saigon</t>
  </si>
  <si>
    <t>Skalitzer Stra√üe 38, Berlin, 10999</t>
  </si>
  <si>
    <t>https://miss-saigon-berlin.de/</t>
  </si>
  <si>
    <t>+49 30 69533377</t>
  </si>
  <si>
    <t>Tre Xanh</t>
  </si>
  <si>
    <t>Heimstra√üe 8, Berlin, 10965</t>
  </si>
  <si>
    <t>Jiddoh</t>
  </si>
  <si>
    <t>Maa√üenstra√üe 14, Berlin, 10777</t>
  </si>
  <si>
    <t>Batho</t>
  </si>
  <si>
    <t>Gabriel-Max-Stra√üe 16, Berlin, 10245</t>
  </si>
  <si>
    <t>Gasthaus Kater Alex</t>
  </si>
  <si>
    <t>Cum Laude</t>
  </si>
  <si>
    <t>Unter den Linden 6, Berlin, 10117</t>
  </si>
  <si>
    <t>BBQ Kitchen</t>
  </si>
  <si>
    <t>Am Zwirngraben 5, Berlin, 10178</t>
  </si>
  <si>
    <t>http://www.bbq-kitchen.de</t>
  </si>
  <si>
    <t>info@bbq-kitchen.de</t>
  </si>
  <si>
    <t>+49 30 27909816</t>
  </si>
  <si>
    <t>facebook: https://www.facebook.com/pages/BBQ-Kitchen/514240595279167</t>
  </si>
  <si>
    <t>Funkturm-Restaurant</t>
  </si>
  <si>
    <t>funkturm@capital-catering.de</t>
  </si>
  <si>
    <t>Dokmai</t>
  </si>
  <si>
    <t>Muthesiusstra√üe 38, Berlin, 12163</t>
  </si>
  <si>
    <t>http://dokmaithai.de/</t>
  </si>
  <si>
    <t>+49 30 70096185</t>
  </si>
  <si>
    <t>Bertie</t>
  </si>
  <si>
    <t>Schwedter Stra√üe 13, Berlin, 10119</t>
  </si>
  <si>
    <t>Taverna Athene</t>
  </si>
  <si>
    <t>Tempelhofer Ufer 12, Berlin, 10963</t>
  </si>
  <si>
    <t>https://www.taverna-athene.de/</t>
  </si>
  <si>
    <t>restaurant@taverna-athene.de</t>
  </si>
  <si>
    <t>+49 30 2516069</t>
  </si>
  <si>
    <t>facebook: https://www.facebook.com/profile.php?id=100063726786330, instagram: https://www.instagram.com/tavernaathene/</t>
  </si>
  <si>
    <t>Hoan Kiem</t>
  </si>
  <si>
    <t>Jonasstra√üe 4, Berlin, 10551</t>
  </si>
  <si>
    <t>https://hoan-kiem.jimdo.com/</t>
  </si>
  <si>
    <t>+49 30 39 63 632</t>
  </si>
  <si>
    <t>Taverna Amphipolis</t>
  </si>
  <si>
    <t>Wilhelmshavener Stra√üe, Berlin, 10551</t>
  </si>
  <si>
    <t>+49 30 3951556</t>
  </si>
  <si>
    <t>Aiko</t>
  </si>
  <si>
    <t>Brunnenstra√üe 193, Berlin, 10119</t>
  </si>
  <si>
    <t>http://www.aiko-sushi.de</t>
  </si>
  <si>
    <t>+49 30 28 09 81 11</t>
  </si>
  <si>
    <t>twitter: https://twitter.com/aikosushide, facebook: http://www.facebook.com/pages/Aiko-Sushi-Berlin/195899413764818</t>
  </si>
  <si>
    <t>Lila</t>
  </si>
  <si>
    <t>Chausseestra√üe 56, Berlin, 10115</t>
  </si>
  <si>
    <t>http://essenlila.de/</t>
  </si>
  <si>
    <t>lilaberlin56@yahoo.com</t>
  </si>
  <si>
    <t>+49 30 27590206</t>
  </si>
  <si>
    <t>Tra My</t>
  </si>
  <si>
    <t>Lauterstra√üe 16, Berlin, 12159</t>
  </si>
  <si>
    <t>https://www.tra-my-restaurant.de</t>
  </si>
  <si>
    <t>+49 30 81486115</t>
  </si>
  <si>
    <t>miX.it Italian-Thai-Food</t>
  </si>
  <si>
    <t>Alt-Lietzow 7, Berlin, 10587</t>
  </si>
  <si>
    <t>http://www.mixit-italianthaifood.de/</t>
  </si>
  <si>
    <t>+49 30 239 38 233</t>
  </si>
  <si>
    <t>Amon</t>
  </si>
  <si>
    <t>Charlottenstra√üe 35-36, Berlin, 10117</t>
  </si>
  <si>
    <t>Gendarmerie</t>
  </si>
  <si>
    <t>https://www.restaurant-gendarmerie.de/</t>
  </si>
  <si>
    <t>+49 30 7677 5270</t>
  </si>
  <si>
    <t>Lungomare</t>
  </si>
  <si>
    <t>Krausenstra√üe 11, Berlin, 10117</t>
  </si>
  <si>
    <t>https://www.lungomare.de/</t>
  </si>
  <si>
    <t>+49 30 22487616</t>
  </si>
  <si>
    <t>Dosa King</t>
  </si>
  <si>
    <t>Schildhornstra√üe 98, Berlin, 12163</t>
  </si>
  <si>
    <t>Dolcini</t>
  </si>
  <si>
    <t>J√§gerstra√üe 70, Berlin, 10117</t>
  </si>
  <si>
    <t>https://www.dolcini.berlin/</t>
  </si>
  <si>
    <t>avanti@dolcini.berlin</t>
  </si>
  <si>
    <t>+49 30 24630456</t>
  </si>
  <si>
    <t>Gasthaus Siegfriedshof</t>
  </si>
  <si>
    <t>Siegfriedstra√üe 204, Berlin, 10365</t>
  </si>
  <si>
    <t>+49 30 55154690</t>
  </si>
  <si>
    <t>Taverna Karagiosis</t>
  </si>
  <si>
    <t>http://www.taverna-karagiosis-berlin.de/</t>
  </si>
  <si>
    <t>webmaster@taverna-karagiosis-berlin.de</t>
  </si>
  <si>
    <t>Mioshi</t>
  </si>
  <si>
    <t>Klausenerplatz 14</t>
  </si>
  <si>
    <t>http://mioshi.de</t>
  </si>
  <si>
    <t>+49 30 30096769</t>
  </si>
  <si>
    <t>W Pizza Mitte</t>
  </si>
  <si>
    <t>Invalidenstra√üe 112, Berlin, 10115</t>
  </si>
  <si>
    <t>+49 30 84514551</t>
  </si>
  <si>
    <t>Restaurant Dubrovnik</t>
  </si>
  <si>
    <t>Potsdamer Stra√üe 33, Berlin, 14163</t>
  </si>
  <si>
    <t>https://www.restaurant-dubrovnik-berlin-zehlendorf.de/</t>
  </si>
  <si>
    <t>restaurant.dubrovnik.saric@gmail.com</t>
  </si>
  <si>
    <t>+49 30 80906948</t>
  </si>
  <si>
    <t>Trattoria Don Carlo</t>
  </si>
  <si>
    <t>Elgersburger Stra√üe 29, Berlin, 14193</t>
  </si>
  <si>
    <t>http://www.trattoria-doncarlo.de/</t>
  </si>
  <si>
    <t>don-carlo@arcor.de</t>
  </si>
  <si>
    <t>+49 30 8223498</t>
  </si>
  <si>
    <t>La Via del Muro</t>
  </si>
  <si>
    <t>Mauerstra√üe 83/84, Berlin, 10117</t>
  </si>
  <si>
    <t>http://www.laviadelmuro.de/</t>
  </si>
  <si>
    <t>info@laviadelmuro.de</t>
  </si>
  <si>
    <t>+49 30 27890388</t>
  </si>
  <si>
    <t>K√∂nig 19</t>
  </si>
  <si>
    <t>https://koenig19.de/</t>
  </si>
  <si>
    <t>info@koenig19.de</t>
  </si>
  <si>
    <t>+49 30 8055055</t>
  </si>
  <si>
    <t>instagram: https://www.instagram.com/koenig19feinkost/</t>
  </si>
  <si>
    <t>Kien-Du-Kiang-Thong</t>
  </si>
  <si>
    <t>Kaiser-Friedrich-Stra√üe 89, Berlin, 10585</t>
  </si>
  <si>
    <t>Prema</t>
  </si>
  <si>
    <t>Wundtstra√üe 9, Berlin, 14059</t>
  </si>
  <si>
    <t>https://prema-restaurant.de/</t>
  </si>
  <si>
    <t>+49 30 68325630</t>
  </si>
  <si>
    <t>Taverna Elena</t>
  </si>
  <si>
    <t>Gierkezeile 23, Berlin, 10585</t>
  </si>
  <si>
    <t>http://www.taverna-elena.de</t>
  </si>
  <si>
    <t>+49 30 3420697</t>
  </si>
  <si>
    <t>Kartoffelkiste</t>
  </si>
  <si>
    <t>Tauentzienstra√üe 9-12, Berlin, 10789</t>
  </si>
  <si>
    <t>http://kartoffelkiste-berlin.de/</t>
  </si>
  <si>
    <t>2614254Emailinfo@kartoffelkiste-berlin.deAdresseKartoffelkiste</t>
  </si>
  <si>
    <t>facebook: https://www.facebook.com/KartoffelkisteBerlin</t>
  </si>
  <si>
    <t>Stadtklause</t>
  </si>
  <si>
    <t>Stresemannstra√üe 37, Berlin, 10963</t>
  </si>
  <si>
    <t>Bollywood Tadka</t>
  </si>
  <si>
    <t>Richard-Wagner-Stra√üe 13, Berlin, 10585</t>
  </si>
  <si>
    <t>https://www.bollywoodtadka.de</t>
  </si>
  <si>
    <t>2222contact@bollywoodtadka.deWE</t>
  </si>
  <si>
    <t>Restaurant Galija</t>
  </si>
  <si>
    <t>Otto-Suhr-Allee 139, Berlin, 10585</t>
  </si>
  <si>
    <t>http://www.galija-am-schloss.de/Galija_am_Schloss/Ihr_Restaurant_am_Schloss_Charlottenburg.html</t>
  </si>
  <si>
    <t>Gobento</t>
  </si>
  <si>
    <t>Reichenberger Stra√üe 118, Berlin, 10999</t>
  </si>
  <si>
    <t>Belmondo</t>
  </si>
  <si>
    <t>Knesebeckstra√üe 93, Berlin, 10623</t>
  </si>
  <si>
    <t>https://belmondo-berlin.de/</t>
  </si>
  <si>
    <t>info@das-belmundo.de</t>
  </si>
  <si>
    <t>facebook: https://www.facebook.com/Restaurant-Belmondo-Berlin-146133331995, instagram: https://www.instagram.com/restaurantbelmondo/</t>
  </si>
  <si>
    <t>Pasta &amp; Basta</t>
  </si>
  <si>
    <t>Knesebeckstra√üe 94, Berlin, 10623</t>
  </si>
  <si>
    <t>http://pasta-e-basta-berlin.de/</t>
  </si>
  <si>
    <t>Enoteca L‚ÄôAngolino</t>
  </si>
  <si>
    <t>Knesebeckstra√üe 92, Berlin, 10623</t>
  </si>
  <si>
    <t>http://www.enoteca-langolino.de/</t>
  </si>
  <si>
    <t>info@enoteca-langolino.de</t>
  </si>
  <si>
    <t>Brisgavi</t>
  </si>
  <si>
    <t>Breisgauer Stra√üe 1-3, Berlin, 14129</t>
  </si>
  <si>
    <t>https://brisgavi-berlin.eatbu.com/</t>
  </si>
  <si>
    <t>info@brisgavi-berlin.de</t>
  </si>
  <si>
    <t>Cube</t>
  </si>
  <si>
    <t>Sushi Berlin</t>
  </si>
  <si>
    <t>Knesebeckstra√üe 88, Berlin, 10623</t>
  </si>
  <si>
    <t>https://www.sushi-berlin.de/</t>
  </si>
  <si>
    <t>dang@sushi-berlin.de</t>
  </si>
  <si>
    <t>facebook: https://www.facebook.com/SushiberlinGmbH/, instagram: https://www.instagram.com/sushi.berlin/</t>
  </si>
  <si>
    <t>Babu</t>
  </si>
  <si>
    <t>Treptower Stra√üe 95, Berlin, 12059</t>
  </si>
  <si>
    <t>https://babu-berlin.de/</t>
  </si>
  <si>
    <t>visit@babu-restaurant.com</t>
  </si>
  <si>
    <t>+49 30 46994966</t>
  </si>
  <si>
    <t>Weiss</t>
  </si>
  <si>
    <t>Leibnizstra√üe 31, Berlin, 10625</t>
  </si>
  <si>
    <t>http://restaurantweiss.de/</t>
  </si>
  <si>
    <t>facebook: https://www.facebook.com/pages/Restaurant-Weiss/201021629936771</t>
  </si>
  <si>
    <t>Buddha</t>
  </si>
  <si>
    <t>+49 30 28384661</t>
  </si>
  <si>
    <t>Maison Umami</t>
  </si>
  <si>
    <t>Schlesische Stra√üe 5, Berlin, 10997</t>
  </si>
  <si>
    <t>https://umami-restaurants.de</t>
  </si>
  <si>
    <t>hello@maison-umami.de</t>
  </si>
  <si>
    <t>+49 30 27982424</t>
  </si>
  <si>
    <t>instagram: https://www.instagram.com/umami_restaurants/</t>
  </si>
  <si>
    <t>Vineria del Este</t>
  </si>
  <si>
    <t>B√§nschstra√üe 41, Berlin, 10247</t>
  </si>
  <si>
    <t>http://www.vineriaytapas.de/</t>
  </si>
  <si>
    <t>42024943info@vineriaytapas.de</t>
  </si>
  <si>
    <t>+49 30 42024943</t>
  </si>
  <si>
    <t>Quasimodo</t>
  </si>
  <si>
    <t>Kantstra√üe 12A, Berlin, 10623</t>
  </si>
  <si>
    <t>https://quasimodo.restaurant/</t>
  </si>
  <si>
    <t>info@quasimodo.restaurant</t>
  </si>
  <si>
    <t>+49 30 31804560</t>
  </si>
  <si>
    <t>Kaiy≈ç Izakaya</t>
  </si>
  <si>
    <t>Torfstra√üe 26, 13353</t>
  </si>
  <si>
    <t>https://kaiyo.berlin/</t>
  </si>
  <si>
    <t>+49 30 26308268</t>
  </si>
  <si>
    <t>Le Barache</t>
  </si>
  <si>
    <t>K√∂rtestra√üe 5, Berlin, 10967</t>
  </si>
  <si>
    <t>Horv√°th</t>
  </si>
  <si>
    <t>Paul-Lincke-Ufer 44a, Berlin, 10999</t>
  </si>
  <si>
    <t>http://restaurant-horvath.de/</t>
  </si>
  <si>
    <t>instagram: https://www.instagram.com/restauranthorvathberlin/, facebook: https://www.facebook.com/RestHORVATH/</t>
  </si>
  <si>
    <t>Maison Rahel</t>
  </si>
  <si>
    <t>K√∂rtestra√üe 15, Berlin, 10967</t>
  </si>
  <si>
    <t>Speisemanufaktur Bistro</t>
  </si>
  <si>
    <t>Albert-Einstein-Stra√üe 4, Berlin, 12489</t>
  </si>
  <si>
    <t>https://speisemanufaktur-adlershof.de</t>
  </si>
  <si>
    <t>+49 30 63417573</t>
  </si>
  <si>
    <t>Osteria Doppio Passo</t>
  </si>
  <si>
    <t>Lepsiusstra√üe 36, Berlin, 12163</t>
  </si>
  <si>
    <t>Syrtaki</t>
  </si>
  <si>
    <t>Fritz-Lang-Platz 5, Berlin, 12627</t>
  </si>
  <si>
    <t>https://www.syrtaki-berlin.de/</t>
  </si>
  <si>
    <t>info@syrtaki-berlin.com</t>
  </si>
  <si>
    <t>+49 30 93026040</t>
  </si>
  <si>
    <t>OLLA Grill &amp; Orient Lounge</t>
  </si>
  <si>
    <t>http://olla-orientlounge.de/</t>
  </si>
  <si>
    <t>reservierung@olla-orientlounge.de</t>
  </si>
  <si>
    <t>+49 30 20054515</t>
  </si>
  <si>
    <t>HAPPA</t>
  </si>
  <si>
    <t>Schlesische Stra√üe 35a, Berlin, 10997</t>
  </si>
  <si>
    <t>https://happa-berlin.com/</t>
  </si>
  <si>
    <t>info@happa-berlin.com</t>
  </si>
  <si>
    <t>Danto</t>
  </si>
  <si>
    <t>Pestalozzistra√üe 33, Berlin, 10627</t>
  </si>
  <si>
    <t>https://www.dao-thairestaurant.com/</t>
  </si>
  <si>
    <t>info@dao-thairestaurant.com</t>
  </si>
  <si>
    <t>facebook: https://www.facebook.com/daobymeothairestaurant/?locale=de_DE, instagram: https://www.instagram.com/p/Bo7nBY6HqAP/</t>
  </si>
  <si>
    <t>Pastatrium</t>
  </si>
  <si>
    <t>Freiligrathstra√üe 8, Berlin, 10967</t>
  </si>
  <si>
    <t>http://pastarium.de/</t>
  </si>
  <si>
    <t>info@pastariumgmbh.com</t>
  </si>
  <si>
    <t>facebook: https://www.facebook.com/Pastarium-Berlin-888745357873407/?fref=ts, instagram: https://www.instagram.com/pastarium.berlin/</t>
  </si>
  <si>
    <t>Yogi</t>
  </si>
  <si>
    <t>M√ºllenhoffstra√üe 1, Berlin, 10967</t>
  </si>
  <si>
    <t>https://www.yogi-restaurant-berlin.de</t>
  </si>
  <si>
    <t>+49 30 6913887</t>
  </si>
  <si>
    <t>Rocco und seine Br√ºder</t>
  </si>
  <si>
    <t>Lausitzer Platz 13, 10997</t>
  </si>
  <si>
    <t>http://www.roccoundseinebrueder.de/</t>
  </si>
  <si>
    <t>info@roccoundseinebrueder.de</t>
  </si>
  <si>
    <t>+49 30 69566939</t>
  </si>
  <si>
    <t>Long March Canteen</t>
  </si>
  <si>
    <t>Wrangelstra√üe 20, Berlin, 10997</t>
  </si>
  <si>
    <t>http://www.longmarchcanteen.com/</t>
  </si>
  <si>
    <t>info@longmarchcanteen.com</t>
  </si>
  <si>
    <t>facebook: https://www.facebook.com/LongMarchCanteenBerlin, twitter: https://twitter.com/semplicelabs, instagram: https://www.instagram.com/long_march_canteen</t>
  </si>
  <si>
    <t>Mangiare Berlin</t>
  </si>
  <si>
    <t>https://www.mangiareberlin.de/</t>
  </si>
  <si>
    <t>+49 176 46753507</t>
  </si>
  <si>
    <t>Gasthaus Figl</t>
  </si>
  <si>
    <t>Urbanstra√üe 47, Berlin, 10967</t>
  </si>
  <si>
    <t>https://gasthaus-figl.de/</t>
  </si>
  <si>
    <t>office@gasthaus-figl.de</t>
  </si>
  <si>
    <t>Tasty</t>
  </si>
  <si>
    <t>Rungestra√üe 14, Berlin, 10179</t>
  </si>
  <si>
    <t>https://tasty-berlin.eatbu.com/</t>
  </si>
  <si>
    <t>info@tasty-berlin.de</t>
  </si>
  <si>
    <t>facebook: https://www.facebook.com/TastyRestaurantBerlin, instagram: https://www.instagram.com/tastyrestaurantberlin/</t>
  </si>
  <si>
    <t>Bejte Ethiopia</t>
  </si>
  <si>
    <t>Zietenstra√üe 8, Berlin, 10783</t>
  </si>
  <si>
    <t>https://www.bejte-ethiopia.de/</t>
  </si>
  <si>
    <t>info@bejte-ethiopia.de</t>
  </si>
  <si>
    <t>+49 30 2625933</t>
  </si>
  <si>
    <t>facebook: https://www.facebook.com/Bejte-Ethiopia-129079443838669/</t>
  </si>
  <si>
    <t>Peperoncino</t>
  </si>
  <si>
    <t>Urbanstra√üe 137, Berlin, 10967</t>
  </si>
  <si>
    <t>Medel</t>
  </si>
  <si>
    <t>Fichtestra√üe 32, Berlin, 10967</t>
  </si>
  <si>
    <t>http://www.ristorante-medel.de/</t>
  </si>
  <si>
    <t>Tante Fichte</t>
  </si>
  <si>
    <t>Fichtestra√üe 31, Berlin, 10967</t>
  </si>
  <si>
    <t>Xinh Xinh</t>
  </si>
  <si>
    <t>Linienstra√üe 136, Berlin, 10115</t>
  </si>
  <si>
    <t>Mama dut</t>
  </si>
  <si>
    <t>Schmiljanstra√üe 4, Berlin, 12161</t>
  </si>
  <si>
    <t>https://www.mamadut-berlin.de/</t>
  </si>
  <si>
    <t>mamadut.de@gmail.com</t>
  </si>
  <si>
    <t>+49 30 30103898</t>
  </si>
  <si>
    <t>Cassambalis</t>
  </si>
  <si>
    <t>Grolmanstra√üe 35, Berlin, 10623</t>
  </si>
  <si>
    <t>https://www.cassambalis.de/</t>
  </si>
  <si>
    <t>info@cassambalis.de</t>
  </si>
  <si>
    <t>+49 30 8854747</t>
  </si>
  <si>
    <t>Due Fratelli</t>
  </si>
  <si>
    <t>Chausseestra√üe 131, Berlin, 10115</t>
  </si>
  <si>
    <t>https://due-fratelli-restaurant-berlin.metro.rest/?lang=de</t>
  </si>
  <si>
    <t>atilla.polat@yahoo.com</t>
  </si>
  <si>
    <t>+49 30 98419956</t>
  </si>
  <si>
    <t>Maselli Ristorante</t>
  </si>
  <si>
    <t>Nostitzstra√üe 49, Berlin, 10961</t>
  </si>
  <si>
    <t>info@maselliristorante.de</t>
  </si>
  <si>
    <t>Balkaymak Simit Evi</t>
  </si>
  <si>
    <t>Gneisenaustra√üe 3, Berlin, 10961</t>
  </si>
  <si>
    <t>Fratelli La Bionda</t>
  </si>
  <si>
    <t>Bergmannstra√üe 31, Berlin, 10961</t>
  </si>
  <si>
    <t>https://www.fratellilabionda.de/</t>
  </si>
  <si>
    <t>info@fratellilabionda.de</t>
  </si>
  <si>
    <t>+49 30 63901770</t>
  </si>
  <si>
    <t>Mindful Living</t>
  </si>
  <si>
    <t>Pico Tapas Bar</t>
  </si>
  <si>
    <t>Erkelenzdamm 47, Berlin, 10999</t>
  </si>
  <si>
    <t>https://www.picoteo.de</t>
  </si>
  <si>
    <t>+49 30 60407400</t>
  </si>
  <si>
    <t>Landhaus Schupke</t>
  </si>
  <si>
    <t>Alt-Wittenau 66, Berlin, 13437</t>
  </si>
  <si>
    <t>https://www.landhaus-schupke.de/</t>
  </si>
  <si>
    <t>+49 30 4555569</t>
  </si>
  <si>
    <t>Nam Kio</t>
  </si>
  <si>
    <t>Kurf√ºrstendamm 131, Berlin, 10711</t>
  </si>
  <si>
    <t>https://namkio.site123.me</t>
  </si>
  <si>
    <t>namkio.restaurant@gmail.comUmsatzsteuer</t>
  </si>
  <si>
    <t>facebook: https://www.facebook.com/NAM-KIO-370229806799629/</t>
  </si>
  <si>
    <t>Dervish</t>
  </si>
  <si>
    <t>Krossener Stra√üe 16, Berlin, 10245</t>
  </si>
  <si>
    <t>https://dervish.eu/</t>
  </si>
  <si>
    <t>Aposto</t>
  </si>
  <si>
    <t>Monbijouplatz 12, 10178</t>
  </si>
  <si>
    <t>https://aposto-berlin.de/</t>
  </si>
  <si>
    <t>info@aposto-berlin.de</t>
  </si>
  <si>
    <t>+49 30 27595559</t>
  </si>
  <si>
    <t>Weihenstephaner</t>
  </si>
  <si>
    <t>Neue Promenade 5, Berlin, 10178</t>
  </si>
  <si>
    <t>http://www.weihenstephaner-berlin.de/</t>
  </si>
  <si>
    <t>info@weihenstephaner-berlin.deJetzt</t>
  </si>
  <si>
    <t>+49 30 84 71 07 60</t>
  </si>
  <si>
    <t>facebook: https://www.facebook.com/weihenstephanerberlin</t>
  </si>
  <si>
    <t>Garbatella</t>
  </si>
  <si>
    <t>Onkel-Tom-Stra√üe 21, Berlin, 14169</t>
  </si>
  <si>
    <t>Peking Perle</t>
  </si>
  <si>
    <t>Yoko Sushi</t>
  </si>
  <si>
    <t>Boxhagener Stra√üe 44, Berlin, 10245</t>
  </si>
  <si>
    <t>http://www.yoko.de/</t>
  </si>
  <si>
    <t>+49 30 42020266</t>
  </si>
  <si>
    <t>La Perla</t>
  </si>
  <si>
    <t>Sandstra√üe 66, Berlin, 13593</t>
  </si>
  <si>
    <t>https://www.la-mezcla.de/</t>
  </si>
  <si>
    <t>reservierung@la-mezcla.de</t>
  </si>
  <si>
    <t>+49 30 49803408</t>
  </si>
  <si>
    <t>instagram: https://www.instagram.com/lamezclaberlin, facebook: https://www.facebook.com/lamezclaberlin/</t>
  </si>
  <si>
    <t>Toscana</t>
  </si>
  <si>
    <t>Mohriner Allee 122, Berlin, 12347</t>
  </si>
  <si>
    <t>+49 30 67899534</t>
  </si>
  <si>
    <t>Maxes Kohlenhof</t>
  </si>
  <si>
    <t>Pritstabelstra√üe 60, Berlin, 12557</t>
  </si>
  <si>
    <t>+49 30 6513951</t>
  </si>
  <si>
    <t>Vegang</t>
  </si>
  <si>
    <t>Oderberger Stra√üe 52, Berlin, 10435</t>
  </si>
  <si>
    <t>http://vegangberlin.de/vegang-prenzlauer-berg/</t>
  </si>
  <si>
    <t>+49 30 68908811</t>
  </si>
  <si>
    <t>facebook: https://www.facebook.com/vegangpberg, instagram: https://www.instagram.com/vegang.pberg</t>
  </si>
  <si>
    <t>Culaccino</t>
  </si>
  <si>
    <t>Fasanenstra√üe 40, Berlin, 10719</t>
  </si>
  <si>
    <t>http://www.culaccino.berlin/</t>
  </si>
  <si>
    <t>Emailreservierung@culaccino.berlin</t>
  </si>
  <si>
    <t>facebook: https://www.facebook.com/culaccinoberlin</t>
  </si>
  <si>
    <t>Jasmin Bistro</t>
  </si>
  <si>
    <t>Hermannstra√üe 45, Berlin, 12049</t>
  </si>
  <si>
    <t>http://jasminbistro.de/</t>
  </si>
  <si>
    <t>+49 30 6271680</t>
  </si>
  <si>
    <t>DaVinci</t>
  </si>
  <si>
    <t>Georgenstra√üe 192, Berlin, 10117</t>
  </si>
  <si>
    <t>http://www.davinci-ristorante.de/</t>
  </si>
  <si>
    <t>info@davinci-ristorante.de</t>
  </si>
  <si>
    <t>Alte Pumpe</t>
  </si>
  <si>
    <t>L√ºtzowstra√üe 42, Berlin, 10785</t>
  </si>
  <si>
    <t>http://www.altepumpe.de</t>
  </si>
  <si>
    <t>info@altepumpe.de</t>
  </si>
  <si>
    <t>+49 30 26484265</t>
  </si>
  <si>
    <t>Piroschka</t>
  </si>
  <si>
    <t>Jungfernstieg 29, Berlin, 12207</t>
  </si>
  <si>
    <t>http://www.piroschka.net/</t>
  </si>
  <si>
    <t>+49 30 7727018</t>
  </si>
  <si>
    <t>Vietnam Village</t>
  </si>
  <si>
    <t>Oderberger Stra√üe 7, Berlin, 10435</t>
  </si>
  <si>
    <t>+49 30 36423292</t>
  </si>
  <si>
    <t>Cello Spiel &amp; Sport</t>
  </si>
  <si>
    <t>Scharnweberstra√üe 55a, Berlin, 13405</t>
  </si>
  <si>
    <t>Il Campo</t>
  </si>
  <si>
    <t>Feldstra√üe 1, Berlin, 12207</t>
  </si>
  <si>
    <t>+49 30 7124034</t>
  </si>
  <si>
    <t>W66</t>
  </si>
  <si>
    <t>Leipziger Stra√üe 16, Berlin, 10117</t>
  </si>
  <si>
    <t>https://w66berlin.com/</t>
  </si>
  <si>
    <t>hello@w66berlin.com</t>
  </si>
  <si>
    <t>+49 30 22488021</t>
  </si>
  <si>
    <t>instagram: https://www.instagram.com/w66.berlin/</t>
  </si>
  <si>
    <t>Antep Etoƒülu Sofrasi</t>
  </si>
  <si>
    <t>Kottbusser Damm 36, Berlin, 10967</t>
  </si>
  <si>
    <t>http://www.etoglu.com/</t>
  </si>
  <si>
    <t>facebook: https://www.facebook.com/AntepEtogluSofrasi/</t>
  </si>
  <si>
    <t>Osmanlƒ± Saray Mutfaƒüƒ±</t>
  </si>
  <si>
    <t>Kottbusser Damm 77, Berlin, 10967</t>
  </si>
  <si>
    <t>http://www.osmanlisaray-mutfagi.com/</t>
  </si>
  <si>
    <t>Mayflower</t>
  </si>
  <si>
    <t>Greifenhagener Stra√üe 27, Berlin, 10437</t>
  </si>
  <si>
    <t>http://www.chinarestaurant-mayflower.de</t>
  </si>
  <si>
    <t>info@chinarestaurant-mayflower.de</t>
  </si>
  <si>
    <t>+49 30 4450277</t>
  </si>
  <si>
    <t>Nuova Mirabella</t>
  </si>
  <si>
    <t>Alt-Tempelhof 27, Berlin, 12103</t>
  </si>
  <si>
    <t>https://www.nuovamirabella.de/</t>
  </si>
  <si>
    <t>+49 30 786 37 01</t>
  </si>
  <si>
    <t>Choice</t>
  </si>
  <si>
    <t>Akazienstra√üe 9, Berlin, 10823</t>
  </si>
  <si>
    <t>http://www.choice-vietnamese.de/</t>
  </si>
  <si>
    <t>info@choice-vietnamese.de</t>
  </si>
  <si>
    <t>+49 30 78006204</t>
  </si>
  <si>
    <t>facebook: https://www.facebook.com/choiceberlin, instagram: https://www.instagram.com/choice.asia/</t>
  </si>
  <si>
    <t>Bahnhofs-Wirtschaft</t>
  </si>
  <si>
    <t>Jungfernstieg 4, Berlin, 12207</t>
  </si>
  <si>
    <t>+49 30 7736426</t>
  </si>
  <si>
    <t>Bistro Osdorfer St√ºbchen</t>
  </si>
  <si>
    <t>Osdorfer Stra√üe 99, Berlin, 12207</t>
  </si>
  <si>
    <t>Fischfabrik</t>
  </si>
  <si>
    <t>Danziger Stra√üe 24, Berlin, 10435</t>
  </si>
  <si>
    <t>https://fischfabrik.eatbu.com/</t>
  </si>
  <si>
    <t>Casaelsol@aol.com</t>
  </si>
  <si>
    <t>facebook: https://www.facebook.com/Fischfabrik-108796145851107/?ref=page_internal</t>
  </si>
  <si>
    <t>EK Sushibar</t>
  </si>
  <si>
    <t>https://ek-sushibar.de/</t>
  </si>
  <si>
    <t>+49 30 7 97 10 49</t>
  </si>
  <si>
    <t>Willkommen daheim</t>
  </si>
  <si>
    <t>Schlosspark Grill</t>
  </si>
  <si>
    <t>B√§kestra√üe 9, Berlin, 12207</t>
  </si>
  <si>
    <t>+49 30 8335653</t>
  </si>
  <si>
    <t>La Laura / Pizza Daily</t>
  </si>
  <si>
    <t>Gon 80</t>
  </si>
  <si>
    <t>Eylauer Stra√üe 16, Berlin, 10965</t>
  </si>
  <si>
    <t>+49 30 81474854</t>
  </si>
  <si>
    <t>Chenab</t>
  </si>
  <si>
    <t>Knobelsdorffstra√üe 35, Berlin, 14059</t>
  </si>
  <si>
    <t>http://www.chenab-restaurant.de</t>
  </si>
  <si>
    <t>info@chenab-restaurant.de</t>
  </si>
  <si>
    <t>+49 30 364 347 99</t>
  </si>
  <si>
    <t>facebook: https://www.facebook.com/chenabberlin/, instagram: https://www.instagram.com/chenab.restaurant/</t>
  </si>
  <si>
    <t>Das Strandhaus</t>
  </si>
  <si>
    <t>Kochstudio Cookeria</t>
  </si>
  <si>
    <t>Haeselerstra√üe 28, Berlin, 14050</t>
  </si>
  <si>
    <t>https://cookeria.de/</t>
  </si>
  <si>
    <t>+49 30 30107011</t>
  </si>
  <si>
    <t>Noodle Village</t>
  </si>
  <si>
    <t>Kantstra√üe 32, Berlin, 10625</t>
  </si>
  <si>
    <t>https://www.noodlevillage.de/</t>
  </si>
  <si>
    <t>noodlevillage@gmail.com</t>
  </si>
  <si>
    <t>+49 30 23539102</t>
  </si>
  <si>
    <t>Keyser Soze</t>
  </si>
  <si>
    <t>Tucholskystra√üe 33, Berlin, 10117</t>
  </si>
  <si>
    <t>https://www.keyser-soze.de/</t>
  </si>
  <si>
    <t>reservierung@keyser-soze.de</t>
  </si>
  <si>
    <t>+49 30 28599489</t>
  </si>
  <si>
    <t>BSV 92 Harri Wuttke Sportcasino</t>
  </si>
  <si>
    <t>Parmera Pasta</t>
  </si>
  <si>
    <t>MASTAN</t>
  </si>
  <si>
    <t>Gneisenaustra√üe 67, Berlin, 10961</t>
  </si>
  <si>
    <t>http://restaurantmastan.com/</t>
  </si>
  <si>
    <t>info@mastan.de</t>
  </si>
  <si>
    <t>facebook: https://www.facebook.com/profile.php?id=100091519942395, instagram: https://www.instagram.com/restaurantmastan_berlin/</t>
  </si>
  <si>
    <t>El Bandito</t>
  </si>
  <si>
    <t>Sachtlebenstra√üe 18, Berlin, 14165</t>
  </si>
  <si>
    <t>+49 30 8159505</t>
  </si>
  <si>
    <t>Sushi-Club</t>
  </si>
  <si>
    <t>D√ºppelstra√üe 41, Berlin, 12163</t>
  </si>
  <si>
    <t>https://www.sushi-club.net/</t>
  </si>
  <si>
    <t>81info@sushi-club.net</t>
  </si>
  <si>
    <t>+49 30 50366365</t>
  </si>
  <si>
    <t>Thung Thai</t>
  </si>
  <si>
    <t>https://www.thungthai.de/</t>
  </si>
  <si>
    <t>37477996thungthai@web.de</t>
  </si>
  <si>
    <t>Die Laube</t>
  </si>
  <si>
    <t>Hohensch√∂nhauser Stra√üe 80, Berlin, 10369</t>
  </si>
  <si>
    <t>https://www.die-laube.berlin</t>
  </si>
  <si>
    <t>dielaube@posteo.de</t>
  </si>
  <si>
    <t>+49 30 9750424</t>
  </si>
  <si>
    <t>instagram: https://www.instagram.com/die_laube_am_berg/profilecard/?igsh=MXQwZHhxem5jNTQ4Zg%3D%3D</t>
  </si>
  <si>
    <t>Donna Francesca</t>
  </si>
  <si>
    <t>Alt-Tegel 15, Berlin, 13507</t>
  </si>
  <si>
    <t>Nordwind</t>
  </si>
  <si>
    <t>Kronprinzendamm 18, Berlin, 10711</t>
  </si>
  <si>
    <t>http://www.nordwind-berlin.de/</t>
  </si>
  <si>
    <t>Supra</t>
  </si>
  <si>
    <t>Am Zwirngraben 6-7, Berlin, 10178</t>
  </si>
  <si>
    <t>https://www.supraberlin.com/</t>
  </si>
  <si>
    <t>restaurante@suprabarcelona.com</t>
  </si>
  <si>
    <t>+49 30 24638606</t>
  </si>
  <si>
    <t>facebook: https://www.facebook.com/profile.php?id=61560769013761, instagram: https://www.instagram.com/suprabrln/, tiktok: https://www.tiktok.com/@suprabarcelona?lang=es</t>
  </si>
  <si>
    <t>Tokyo Gohan</t>
  </si>
  <si>
    <t>G√§rtnerstra√üe 12, Berlin, 10245</t>
  </si>
  <si>
    <t>Kaijin Ramen</t>
  </si>
  <si>
    <t>China Food</t>
  </si>
  <si>
    <t>Schlo√üstra√üe 91, Berlin, 12163</t>
  </si>
  <si>
    <t>Viet &amp; My II</t>
  </si>
  <si>
    <t>Kirchstra√üe 16, Berlin, 10557</t>
  </si>
  <si>
    <t>https://www.vietmyii-berlin.de/</t>
  </si>
  <si>
    <t>+49 30 54599798</t>
  </si>
  <si>
    <t>halb zw√∂lf</t>
  </si>
  <si>
    <t>Kirchstra√üe 3, Berlin, 10557</t>
  </si>
  <si>
    <t>Om</t>
  </si>
  <si>
    <t>http://www.om-restaurant.de/</t>
  </si>
  <si>
    <t>+49 30 39749554</t>
  </si>
  <si>
    <t>Gasthaus Kronprinz</t>
  </si>
  <si>
    <t>Clayallee 323, Berlin, 14169</t>
  </si>
  <si>
    <t>http://www.gasthaus-kronprinz.de</t>
  </si>
  <si>
    <t>Berlininfo@gasthaus-kronprinz.de</t>
  </si>
  <si>
    <t>+49 30 8012092</t>
  </si>
  <si>
    <t>The Asia Kitchen</t>
  </si>
  <si>
    <t>Clayallee 327, Berlin, 14169</t>
  </si>
  <si>
    <t>http://www.theasiakitchen.de/</t>
  </si>
  <si>
    <t>theasiakitchen@gmail.com</t>
  </si>
  <si>
    <t>+49 30 80401866</t>
  </si>
  <si>
    <t>facebook: https://www.facebook.com/pages/category/Restaurant/Saigon-BBQ-Art-Sushi-Bar-250417065516650/</t>
  </si>
  <si>
    <t>Bamboo</t>
  </si>
  <si>
    <t>Machnower Stra√üe 23, Berlin, 14165</t>
  </si>
  <si>
    <t>http://www.bamboo-berlin.de/</t>
  </si>
  <si>
    <t>info@bamboo-berlin.de</t>
  </si>
  <si>
    <t>+49 30 81816018</t>
  </si>
  <si>
    <t>Kebab Club</t>
  </si>
  <si>
    <t>Kopernikusstra√üe 16, Berlin, 10245</t>
  </si>
  <si>
    <t>K-BOK Korean Fried Chicken</t>
  </si>
  <si>
    <t>Danziger Stra√üe 12, Berlin, 10435</t>
  </si>
  <si>
    <t>Spreeblick</t>
  </si>
  <si>
    <t>Propststra√üe 9, Berlin, 10178</t>
  </si>
  <si>
    <t>http://www.spreeblick-nikolaiviertel.de/</t>
  </si>
  <si>
    <t>spreeblick@t-online.deZum</t>
  </si>
  <si>
    <t>+49 30 24 25 247</t>
  </si>
  <si>
    <t>Zille-Destille</t>
  </si>
  <si>
    <t>Propststra√üe 11, Berlin, 10178</t>
  </si>
  <si>
    <t>http://www.zilledestille-nikolaiviertel.de/</t>
  </si>
  <si>
    <t>47spreeblick@t-online.deGoogle</t>
  </si>
  <si>
    <t>Zum Paddenwirt</t>
  </si>
  <si>
    <t>Nikolaikirchplatz 6, Berlin, 10178</t>
  </si>
  <si>
    <t>http://www.paddenwirt.de/</t>
  </si>
  <si>
    <t>+49 30 28444689</t>
  </si>
  <si>
    <t>Kaffeestube</t>
  </si>
  <si>
    <t>Poststra√üe 19, Berlin, 10178</t>
  </si>
  <si>
    <t>http://www.kaffeestube-nikolaiviertel.de/</t>
  </si>
  <si>
    <t>mail@kaffeestube-nikolaiviertel.de</t>
  </si>
  <si>
    <t>+49 30 24630641</t>
  </si>
  <si>
    <t>Zur Gerichtslaube</t>
  </si>
  <si>
    <t>https://www.gerichtslaube.de/</t>
  </si>
  <si>
    <t>info@gerichtslaube.de</t>
  </si>
  <si>
    <t>facebook: https://www.facebook.com/Restaurant-Zur-Gerichtslaube-122898117765439/</t>
  </si>
  <si>
    <t>Il Nuovo Cristallo</t>
  </si>
  <si>
    <t>Teltower Damm 52, Berlin, 14167</t>
  </si>
  <si>
    <t>http://www.cristallo-berlin.de/</t>
  </si>
  <si>
    <t>info@cristallo-berlin.de</t>
  </si>
  <si>
    <t>twitter: http://twitter.com/privacy, facebook: https://www.facebook.com/Il-Nuovo-Cristallo-153699594687127/</t>
  </si>
  <si>
    <t>Bei Lydia</t>
  </si>
  <si>
    <t>Inselstra√üe 8A, Berlin, 10179</t>
  </si>
  <si>
    <t>Mammam</t>
  </si>
  <si>
    <t>Inselstra√üe 8, Berlin, 10179</t>
  </si>
  <si>
    <t>https://www.mammam-berlin.de/</t>
  </si>
  <si>
    <t>info@mammam-berlin.de</t>
  </si>
  <si>
    <t>+49 30 24723655</t>
  </si>
  <si>
    <t>Promo</t>
  </si>
  <si>
    <t>Dortmunder Stra√üe 8, Berlin, 10555</t>
  </si>
  <si>
    <t>https://www.promo-restaurant-berlin.de</t>
  </si>
  <si>
    <t>Trattoria Da Remo II</t>
  </si>
  <si>
    <t>Teltower Damm 211, Berlin, 14167</t>
  </si>
  <si>
    <t>https://www.da-remo2.de/</t>
  </si>
  <si>
    <t>kontakt@da-remo2.de</t>
  </si>
  <si>
    <t>+49 30 80407172</t>
  </si>
  <si>
    <t>Louis Laurent</t>
  </si>
  <si>
    <t>Giesebrechtstra√üe 16, Berlin, 10629</t>
  </si>
  <si>
    <t>3 Schwestern</t>
  </si>
  <si>
    <t>Mariannenplatz 2, Berlin, 10997</t>
  </si>
  <si>
    <t>https://www.3schwestern.com/</t>
  </si>
  <si>
    <t>info@3schwestern.com</t>
  </si>
  <si>
    <t>+49 30 60031860</t>
  </si>
  <si>
    <t>La Piccola Cucina</t>
  </si>
  <si>
    <t>Alsenstra√üe 14, Berlin, 14109</t>
  </si>
  <si>
    <t>https://www.la-piccola-cucina.de/</t>
  </si>
  <si>
    <t>i@la-piccola-cucina.de</t>
  </si>
  <si>
    <t>+49 30 35380030</t>
  </si>
  <si>
    <t>Mundvoll</t>
  </si>
  <si>
    <t>Ludwigsfelder Stra√üe 53-55, Berlin, 14165</t>
  </si>
  <si>
    <t>www.Mundvollberlin.de</t>
  </si>
  <si>
    <t>+49 30 47906455</t>
  </si>
  <si>
    <t>Flori</t>
  </si>
  <si>
    <t>Berlin, 12619</t>
  </si>
  <si>
    <t>https://www.flori-pizzeria.de/</t>
  </si>
  <si>
    <t>info@flori-pizzeria.de</t>
  </si>
  <si>
    <t>+49 30 67816888</t>
  </si>
  <si>
    <t>Nante Kaulsdorf</t>
  </si>
  <si>
    <t>https://restaurant-nante-kaulsdorf-berlin.metro.rest/</t>
  </si>
  <si>
    <t>nante-kaulsdorf@web.de</t>
  </si>
  <si>
    <t>Klabautermann</t>
  </si>
  <si>
    <t>Bharat</t>
  </si>
  <si>
    <t>http://bharat.cecilienplatz.de</t>
  </si>
  <si>
    <t>+49 30 56497566</t>
  </si>
  <si>
    <t>Ristorante I Due Amici</t>
  </si>
  <si>
    <t>Erich-Thilo-Stra√üe 12, Berlin, 12489</t>
  </si>
  <si>
    <t>https://idueamici.berlin/</t>
  </si>
  <si>
    <t>facebook: https://facebook.com/idueamici.berlin, instagram: https://www.instagram.com/idueamici.berlin/</t>
  </si>
  <si>
    <t>Salhino</t>
  </si>
  <si>
    <t>Waitzstra√üe 1, Berlin, 10629</t>
  </si>
  <si>
    <t>https://www.salhino.de/</t>
  </si>
  <si>
    <t>MAIL@SALHINO.DE</t>
  </si>
  <si>
    <t>+49 30 555 94 563</t>
  </si>
  <si>
    <t>facebook: https://www.facebook.com/salhino, instagram: https://www.instagram.com/salhinoberlin/</t>
  </si>
  <si>
    <t>Kantine</t>
  </si>
  <si>
    <t>Magazinstra√üe 15, Berlin, 10179</t>
  </si>
  <si>
    <t>https://www.zander-catering.de/kantine</t>
  </si>
  <si>
    <t>info@zander-catering.de</t>
  </si>
  <si>
    <t>+49 30 40042897</t>
  </si>
  <si>
    <t>Spitteleck</t>
  </si>
  <si>
    <t>Seydelstra√üe 37, Berlin, 10117</t>
  </si>
  <si>
    <t>https://spitteleck.com</t>
  </si>
  <si>
    <t>+49 30 80492910</t>
  </si>
  <si>
    <t>Sch√ºtzenhof</t>
  </si>
  <si>
    <t>Niederneuendorfer Allee 12-16, Berlin, 13587</t>
  </si>
  <si>
    <t>https://www.villa-schuetzenhof.de/</t>
  </si>
  <si>
    <t>+49 30 3351586</t>
  </si>
  <si>
    <t>Sempre</t>
  </si>
  <si>
    <t>Ristorante Firenze</t>
  </si>
  <si>
    <t>Florastra√üe 27, Berlin, 13187</t>
  </si>
  <si>
    <t>https://www.firenze-ristorante.de/</t>
  </si>
  <si>
    <t>restaurante.amarina62@gmail.com</t>
  </si>
  <si>
    <t>+49 30 48476396</t>
  </si>
  <si>
    <t>Pho</t>
  </si>
  <si>
    <t>Linienstra√üe 134, Berlin, 10115</t>
  </si>
  <si>
    <t>https://pho.berlin/mitte/</t>
  </si>
  <si>
    <t>88MAILmitte@pho.berlinPUBLIC</t>
  </si>
  <si>
    <t>+49 30 28437288</t>
  </si>
  <si>
    <t>Ko Phai</t>
  </si>
  <si>
    <t>Teltower Damm 33, Berlin, 14169</t>
  </si>
  <si>
    <t>https://www.kophai-zehlendorf.de/</t>
  </si>
  <si>
    <t>+49 30 810 58 213</t>
  </si>
  <si>
    <t>Sakura</t>
  </si>
  <si>
    <t>http://sakuraberlin.de</t>
  </si>
  <si>
    <t>Sagrantino 136</t>
  </si>
  <si>
    <t>https://www.sagrantino136.com/</t>
  </si>
  <si>
    <t>booking@sagrantino136.com</t>
  </si>
  <si>
    <t>+49 30 27909683</t>
  </si>
  <si>
    <t>Bar &amp; Bistro La Havanita im centrovital Hotel</t>
  </si>
  <si>
    <t>Brauereihof 6</t>
  </si>
  <si>
    <t>https://www.centrovital-berlin.de/bar-und-bistro/</t>
  </si>
  <si>
    <t>restaurants@centrovital-berlin.de</t>
  </si>
  <si>
    <t>+49 30 81875235</t>
  </si>
  <si>
    <t>facebook: http://www.facebook.com/centrovital, instagram: https://www.instagram.com/centrovital_berlin/</t>
  </si>
  <si>
    <t>Corallo</t>
  </si>
  <si>
    <t>Ostender Stra√üe 5, Berlin, 13353</t>
  </si>
  <si>
    <t>http://www.restaurant-corallo.de/</t>
  </si>
  <si>
    <t>+49 30 4537082</t>
  </si>
  <si>
    <t>facebook: https://www.facebook.com/webhosterde</t>
  </si>
  <si>
    <t>Natural'mente</t>
  </si>
  <si>
    <t>Schustehrusstra√üe 26, Berlin, 10585</t>
  </si>
  <si>
    <t>https://www.naturalmente.de/</t>
  </si>
  <si>
    <t>The Koi</t>
  </si>
  <si>
    <t>Kaiser-Friedrich-Stra√üe 1, Berlin, 10585</t>
  </si>
  <si>
    <t>Daniele</t>
  </si>
  <si>
    <t>Otto-Suhr-Allee 146, Berlin, 10585</t>
  </si>
  <si>
    <t>Pizza Hut</t>
  </si>
  <si>
    <t>Potsdamer Platz 1</t>
  </si>
  <si>
    <t>https://pizzahut.de/de/store-locator/pizza_hut_berlin_potsdamer_platz.html</t>
  </si>
  <si>
    <t>+49 30 25922774</t>
  </si>
  <si>
    <t>facebook: https://www.facebook.com/pizzahut.de/, instagram: https://www.instagram.com/pizzahutde/, linkedin: https://www.linkedin.com/company/96919086/admin/feed/posts/</t>
  </si>
  <si>
    <t>Romero</t>
  </si>
  <si>
    <t>Fasanenstra√üe 81a, Berlin, 10623</t>
  </si>
  <si>
    <t>https://www.ristorante-romero.de/</t>
  </si>
  <si>
    <t>nfo@prometeo.pizza</t>
  </si>
  <si>
    <t>+49 30 3132625</t>
  </si>
  <si>
    <t>Go Go Hachi</t>
  </si>
  <si>
    <t>Lotte-Lenya-Bogen 558</t>
  </si>
  <si>
    <t>Doyuran K√∂fteci</t>
  </si>
  <si>
    <t>Oranienstra√üe 168, Berlin, 10999</t>
  </si>
  <si>
    <t>FANKoch</t>
  </si>
  <si>
    <t>Ma√ümannstra√üe 7, Berlin, 12163</t>
  </si>
  <si>
    <t>https://www.fankoch.de</t>
  </si>
  <si>
    <t>fankoch.restaurant@gmail.com</t>
  </si>
  <si>
    <t>+49 30 62965991</t>
  </si>
  <si>
    <t>Voson Bilash</t>
  </si>
  <si>
    <t>Goslarer Platz 5, Berlin, 10589</t>
  </si>
  <si>
    <t>+49 30 47594979</t>
  </si>
  <si>
    <t>TheGreatRoom</t>
  </si>
  <si>
    <t>Kaiserin-Augusta-Allee 10-11, Berlin, 10553</t>
  </si>
  <si>
    <t>+49 30 3398876970</t>
  </si>
  <si>
    <t>Bella Vista</t>
  </si>
  <si>
    <t>Alt-Gatow 23, Berlin, 14089</t>
  </si>
  <si>
    <t>http://bellavita.berlin</t>
  </si>
  <si>
    <t>info@bellavita.berlin</t>
  </si>
  <si>
    <t>South Vietnam</t>
  </si>
  <si>
    <t>Sch√∂nhauser Allee 146a, Berlin, 10435</t>
  </si>
  <si>
    <t>+49 30 54713668</t>
  </si>
  <si>
    <t>La Dolce Vita Ristorante</t>
  </si>
  <si>
    <t>Waltersdorfer Stra√üe 1A, Berlin, 12526</t>
  </si>
  <si>
    <t>https://www.ladolcevitaristorante.de/</t>
  </si>
  <si>
    <t>+49 30 63313477</t>
  </si>
  <si>
    <t>Schnitzel K√∂nig</t>
  </si>
  <si>
    <t>Greifswalder Stra√üe 50, Berlin, 10405</t>
  </si>
  <si>
    <t>https://www.schnitzelkoenig-berlin.de/</t>
  </si>
  <si>
    <t>+49 30 420 23 420</t>
  </si>
  <si>
    <t>Kimchi Princess</t>
  </si>
  <si>
    <t>Skalitzer Stra√üe 36, Berlin, 10999</t>
  </si>
  <si>
    <t>http://kimchiprincess.com</t>
  </si>
  <si>
    <t>info@kimchiprincess.com</t>
  </si>
  <si>
    <t>+49 163 4580203</t>
  </si>
  <si>
    <t>facebook: https://www.facebook.com/manimogoberlin/, instagram: https://www.instagram.com/manimogo_adlershof/?hl=en</t>
  </si>
  <si>
    <t>Bala Bait</t>
  </si>
  <si>
    <t>Gleimstra√üe 42</t>
  </si>
  <si>
    <t>Tacqueria Ta‚ÄôCabr√≥n</t>
  </si>
  <si>
    <t>Skalitzer Stra√üe 60, 10997</t>
  </si>
  <si>
    <t>infotacabron@gmail.com</t>
  </si>
  <si>
    <t>Nila</t>
  </si>
  <si>
    <t>Akazienstra√üe 3, Berlin, 10823</t>
  </si>
  <si>
    <t>Mendoza - Argentinisches Steakhaus</t>
  </si>
  <si>
    <t>Spandauer Damm 157, Berlin, 14050</t>
  </si>
  <si>
    <t>http://www.mendoza-berlin.de/spandau/mendoza-spandau.html</t>
  </si>
  <si>
    <t>+49 30 3051515</t>
  </si>
  <si>
    <t>Aki Ryu</t>
  </si>
  <si>
    <t>Bergmannstra√üe 93, Berlin, 10961</t>
  </si>
  <si>
    <t>+49 30 61671888</t>
  </si>
  <si>
    <t>Canova</t>
  </si>
  <si>
    <t>Rubensstra√üe 124, Berlin, 12157</t>
  </si>
  <si>
    <t>+49 30 81827905</t>
  </si>
  <si>
    <t>New Yak &amp; Yeti</t>
  </si>
  <si>
    <t>Rubensstra√üe 66, Berlin, 12157</t>
  </si>
  <si>
    <t>https://newyakyeti.com</t>
  </si>
  <si>
    <t>+49 30 80106446</t>
  </si>
  <si>
    <t>Ristorante La Marianna</t>
  </si>
  <si>
    <t>Feuerbachstra√üe 63, Berlin, 12163</t>
  </si>
  <si>
    <t>http://www.lamarianna.de</t>
  </si>
  <si>
    <t>info@lamarianna.de</t>
  </si>
  <si>
    <t>Spalato</t>
  </si>
  <si>
    <t>Bismarckstra√üe 64b, Berlin, 12169</t>
  </si>
  <si>
    <t>http://www.spalato.de/</t>
  </si>
  <si>
    <t>spalato.berlin@googlemail.com</t>
  </si>
  <si>
    <t>+49 30 7967498</t>
  </si>
  <si>
    <t>Duo</t>
  </si>
  <si>
    <t>Steglitzer Damm 29, Berlin, 12169</t>
  </si>
  <si>
    <t>+49 30 75650490</t>
  </si>
  <si>
    <t>Il Gusto</t>
  </si>
  <si>
    <t>Hugenottenplatz 1, Berlin, 13127</t>
  </si>
  <si>
    <t>Schnitzery</t>
  </si>
  <si>
    <t>Krumme Stra√üe 55, Berlin, 10627</t>
  </si>
  <si>
    <t>Iro Izakaya</t>
  </si>
  <si>
    <t>Schwedter Stra√üe 25, Berlin, 10119</t>
  </si>
  <si>
    <t>https://iro-restaurant.de/</t>
  </si>
  <si>
    <t>facebook: https://www.facebook.com/iroberlin/, instagram: https://www.instagram.com/iro_berlin/</t>
  </si>
  <si>
    <t>Szechuan House</t>
  </si>
  <si>
    <t>Paul-Lincke-Ufer 45, Berlin, 10999</t>
  </si>
  <si>
    <t>+49 30 4264471</t>
  </si>
  <si>
    <t>petrocelli</t>
  </si>
  <si>
    <t>Kurf√ºrstendamm 35,36, Berlin, 10719</t>
  </si>
  <si>
    <t>https://www.petrocelli.de/</t>
  </si>
  <si>
    <t>+49 30 88926480</t>
  </si>
  <si>
    <t>Restaurant ELIA Biesdorf</t>
  </si>
  <si>
    <t>K√∂penicker Stra√üe 181, Berlin, 12683</t>
  </si>
  <si>
    <t>https://restaurant-elia-biesdorf.de</t>
  </si>
  <si>
    <t>info@restaurant-elia-biesdorf.de</t>
  </si>
  <si>
    <t>+49 30 91476057</t>
  </si>
  <si>
    <t>Toni Vu</t>
  </si>
  <si>
    <t>https://tonivu.de/</t>
  </si>
  <si>
    <t>info@tonivu.de</t>
  </si>
  <si>
    <t>+49 30 5144733</t>
  </si>
  <si>
    <t>facebook: https://www.facebook.com/people/Toni-Vu-Restaurant-Biesdorf/61563454087332/?mibextid=LQQJ4d&amp;rdid=ffMVLSYPgdeYb7T8&amp;share_url=https%3A%2F%2Fwww.facebook.com%2Fshare%2FzTLKu3FcTHbKqdF7%2F%3Fmibextid%3DLQQJ4d</t>
  </si>
  <si>
    <t>Rusticana</t>
  </si>
  <si>
    <t>Hermannstra√üe 152, Berlin, 12051</t>
  </si>
  <si>
    <t>https://www.rusticana-berlin.de/</t>
  </si>
  <si>
    <t>f.Behadini@googlemail.com</t>
  </si>
  <si>
    <t>Ming Jia</t>
  </si>
  <si>
    <t>Schlo√üstra√üe 32, Berlin, 14059</t>
  </si>
  <si>
    <t>https://www.mingjia.de/</t>
  </si>
  <si>
    <t>+49 30 3429710</t>
  </si>
  <si>
    <t>Van May</t>
  </si>
  <si>
    <t>friends&amp;friends</t>
  </si>
  <si>
    <t>https://www.friends-friends.de</t>
  </si>
  <si>
    <t>info@friends-friends.de</t>
  </si>
  <si>
    <t>Buchcaf√©</t>
  </si>
  <si>
    <t>Kantstra√üe 90, Berlin, 10627</t>
  </si>
  <si>
    <t>https://www.buchcafe-berlin.de/</t>
  </si>
  <si>
    <t>L√°ng Ku'a</t>
  </si>
  <si>
    <t>K√∂nigin-Elisabeth-Stra√üe 8, Berlin, 14059</t>
  </si>
  <si>
    <t>Maredo</t>
  </si>
  <si>
    <t>https://www.maredo.com/steakhaeuser/berlin-gendarmenmarkt/</t>
  </si>
  <si>
    <t>instagram: https://www.instagram.com/maredo_official/</t>
  </si>
  <si>
    <t>Muret La Barba</t>
  </si>
  <si>
    <t>Rosenthaler Stra√üe 61, Berlin, 10119</t>
  </si>
  <si>
    <t>http://www.muretlabarba.de/</t>
  </si>
  <si>
    <t>+49 30 28097212</t>
  </si>
  <si>
    <t>YamYam</t>
  </si>
  <si>
    <t>Alte Sch√∂nhauser Stra√üe 6, Berlin, 10119</t>
  </si>
  <si>
    <t>http://www.yamyam-berlin.de</t>
  </si>
  <si>
    <t>+49 30 24632485</t>
  </si>
  <si>
    <t>Griechisches Restaurant Syrtaki</t>
  </si>
  <si>
    <t>Wandlitzstra√üe 10, Berlin, 10318</t>
  </si>
  <si>
    <t>https://www.syrtaki-berlinkarlshorst.de/</t>
  </si>
  <si>
    <t>info@syrtaki-berlinkarlshorst.de</t>
  </si>
  <si>
    <t>+49 3050380670</t>
  </si>
  <si>
    <t>Addis Abeba</t>
  </si>
  <si>
    <t>Kaiserin-Augusta-Allee 46, Berlin, 10589</t>
  </si>
  <si>
    <t>+49 30 34505953</t>
  </si>
  <si>
    <t>Cantinetta</t>
  </si>
  <si>
    <t>https://cantinetta-berlin.de/</t>
  </si>
  <si>
    <t>Core</t>
  </si>
  <si>
    <t>Pappelallee 84, Berlin, 10437</t>
  </si>
  <si>
    <t>Umspannwerk Ost</t>
  </si>
  <si>
    <t>Palisadenstra√üe 48, Berlin, 10243</t>
  </si>
  <si>
    <t>http://www.umspannwerk-ost.de/</t>
  </si>
  <si>
    <t>info@umspannwerk-ost.de</t>
  </si>
  <si>
    <t>instagram: https://www.instagram.com/umspannwerkost.berlin/</t>
  </si>
  <si>
    <t>Ottenthal</t>
  </si>
  <si>
    <t>Kantstra√üe 153, Berlin, 10623</t>
  </si>
  <si>
    <t>http://www.ottenthal.com/</t>
  </si>
  <si>
    <t>3133162restaurant@ottenthal.com</t>
  </si>
  <si>
    <t>+49 30 3133162</t>
  </si>
  <si>
    <t>instagram: https://www.instagram.com/ottenthal_restaurant/</t>
  </si>
  <si>
    <t>Coco's Asia + Sushi</t>
  </si>
  <si>
    <t>Weitlingstra√üe 26, Berlin</t>
  </si>
  <si>
    <t>https://www.coco-sushi.de</t>
  </si>
  <si>
    <t>info@coco-sushi.de</t>
  </si>
  <si>
    <t>+49 30 52678171</t>
  </si>
  <si>
    <t>AN DEM</t>
  </si>
  <si>
    <t>Aastha</t>
  </si>
  <si>
    <t>Parkaue 35, Berlin, 10367</t>
  </si>
  <si>
    <t>https://www.aastha-restaurant.de</t>
  </si>
  <si>
    <t>info@aastha-restaurant.de</t>
  </si>
  <si>
    <t>+49 30 85735738</t>
  </si>
  <si>
    <t>Caf√© Al Mundo</t>
  </si>
  <si>
    <t>Horstweg 5, Berlin, 14059</t>
  </si>
  <si>
    <t>Restaurant Deutsche Oper</t>
  </si>
  <si>
    <t>Bismarckstra√üe 11, Berlin, 10627</t>
  </si>
  <si>
    <t>http://www.rdo-berlin.de/</t>
  </si>
  <si>
    <t>+49 30 34384670</t>
  </si>
  <si>
    <t>Zen</t>
  </si>
  <si>
    <t>Uhlandstra√üe 170a, Berlin, 10719</t>
  </si>
  <si>
    <t>+49 170 8236626</t>
  </si>
  <si>
    <t>El Manuel</t>
  </si>
  <si>
    <t>Sandstra√üe 37, Berlin, 13593</t>
  </si>
  <si>
    <t>http://www.el-manuel.de</t>
  </si>
  <si>
    <t>im786@arcor.de</t>
  </si>
  <si>
    <t>+49 30 36996876</t>
  </si>
  <si>
    <t>Trattoria Casa Toscana</t>
  </si>
  <si>
    <t>Ruppiner Chaussee 404-406, Berlin, 13503</t>
  </si>
  <si>
    <t>+49 30 431 34 93</t>
  </si>
  <si>
    <t>Bamboo Bistro</t>
  </si>
  <si>
    <t>Saray</t>
  </si>
  <si>
    <t>M√ºllerstra√üe 41, Berlin, 13353</t>
  </si>
  <si>
    <t>Stra√üenbahndepot</t>
  </si>
  <si>
    <t>Alt-Heiligensee 73-75, Berlin, 13503</t>
  </si>
  <si>
    <t>http://www.strassenbahndepot-heiligensee.de/</t>
  </si>
  <si>
    <t>info@strassenbahndepot-heiligensee.de</t>
  </si>
  <si>
    <t>La Gondula Due</t>
  </si>
  <si>
    <t>Beerenstra√üe 57, Berlin, 14163</t>
  </si>
  <si>
    <t>https://www.lagondoladue.de/</t>
  </si>
  <si>
    <t>instagram: https://www.instagram.com/lagondoladue_/, facebook: https://www.facebook.com/gondoladue, twitter: https://x.com/LaGondolaDue</t>
  </si>
  <si>
    <t>Cana</t>
  </si>
  <si>
    <t>Neue Ro√üstra√üe 11-12, Berlin, 10179</t>
  </si>
  <si>
    <t>http://www.canarestaurant.de</t>
  </si>
  <si>
    <t>info@canarestaurant.de</t>
  </si>
  <si>
    <t>+49 30 24083280</t>
  </si>
  <si>
    <t>facebook: https://facebook.com/canarestaurant, instagram: https://www.instagram.com/canaberlin</t>
  </si>
  <si>
    <t>Midtown Grill</t>
  </si>
  <si>
    <t>https://www.midtown-grill.de</t>
  </si>
  <si>
    <t>Fatoush</t>
  </si>
  <si>
    <t>Falckensteinstra√üe 7, Berlin, 10997</t>
  </si>
  <si>
    <t>Duc Anh</t>
  </si>
  <si>
    <t>Marienburger Stra√üe 28, Berlin, 10405</t>
  </si>
  <si>
    <t>Waterlily</t>
  </si>
  <si>
    <t>Karl-Marx-Allee 113, Berlin, 10243</t>
  </si>
  <si>
    <t>K-BBQ</t>
  </si>
  <si>
    <t>Neue Bahnhofstra√üe 26, Berlin, 10245</t>
  </si>
  <si>
    <t>Ephraim's</t>
  </si>
  <si>
    <t>Spreeufer 1, Berlin, 10178</t>
  </si>
  <si>
    <t>http://www.ephraims.de/</t>
  </si>
  <si>
    <t>ephraims@ephraims.de</t>
  </si>
  <si>
    <t>+49 30 24725947</t>
  </si>
  <si>
    <t>facebook: https://www.facebook.com/RestaurantEphraims/, instagram: https://www.instagram.com/restaurant_ephraims/</t>
  </si>
  <si>
    <t>Lorbeer</t>
  </si>
  <si>
    <t>Pappelallee 77, Berlin, 10437</t>
  </si>
  <si>
    <t>https://restaurant-lorbeer.de/</t>
  </si>
  <si>
    <t>info@restaurantlorbeer.de</t>
  </si>
  <si>
    <t>facebook: https://www.facebook.com/RestaurantLorbeer, instagram: https://www.instagram.com/restaurant_lorbeer/</t>
  </si>
  <si>
    <t>Nah am Wasser</t>
  </si>
  <si>
    <t>Kiehlufer 55, Berlin, 12059</t>
  </si>
  <si>
    <t>https://www.nahamwasser.de/</t>
  </si>
  <si>
    <t>hallo@nahamwasser.de</t>
  </si>
  <si>
    <t>+49 30 91543492</t>
  </si>
  <si>
    <t>facebook: https://www.facebook.com/NahamWasserOfficial/, instagram: https://www.instagram.com/nahamwasser/</t>
  </si>
  <si>
    <t>Manjodh</t>
  </si>
  <si>
    <t>Bornholmer Stra√üe 88, Berlin, 10439</t>
  </si>
  <si>
    <t>Nest</t>
  </si>
  <si>
    <t>G√∂rlitzer Stra√üe 52, Berlin, 10997</t>
  </si>
  <si>
    <t>http://cafenest.de/</t>
  </si>
  <si>
    <t>info@cafenest.de</t>
  </si>
  <si>
    <t>twitter: https://twitter.com/cafenest, instagram: https://www.instagram.com/cafenestberlin/, facebook: https://www.facebook.com/cafenestberlin/</t>
  </si>
  <si>
    <t>Lola Pizzaiola</t>
  </si>
  <si>
    <t>Winsstra√üe 21, Berlin, 10405</t>
  </si>
  <si>
    <t>https://lolapizzaiola.de</t>
  </si>
  <si>
    <t>+49 15 17 00 58 377</t>
  </si>
  <si>
    <t>facebook: https://www.facebook.com/feinkostpizza/, instagram: https://www.instagram.com/feinkostpizza/, twitter: https://twitter.com/feinkostpizza/</t>
  </si>
  <si>
    <t>Via He Hai</t>
  </si>
  <si>
    <t>Dieffenbachstra√üe 58a, Berlin, 10967</t>
  </si>
  <si>
    <t>http://www.viahe-vietfood.de</t>
  </si>
  <si>
    <t>Peking Ente</t>
  </si>
  <si>
    <t>Vo√üstra√üe 1, Berlin, 10117</t>
  </si>
  <si>
    <t>https://www.peking-ente-berlin.de/</t>
  </si>
  <si>
    <t>hallo@peking-ente-berlin.de</t>
  </si>
  <si>
    <t>facebook: https://www.facebook.com/pekingenteberlin/</t>
  </si>
  <si>
    <t>weingr√ºn</t>
  </si>
  <si>
    <t>Gertraudenstra√üe 10, Berlin, 10178</t>
  </si>
  <si>
    <t>http://www.rotisserie-weingruen.de/</t>
  </si>
  <si>
    <t>info@rotisserie-weingruen.de</t>
  </si>
  <si>
    <t>instagram: https://www.instagram.com/rotisserie_weingruen_, facebook: https://www.facebook.com/weingruen</t>
  </si>
  <si>
    <t>Hong Phuc</t>
  </si>
  <si>
    <t>https://www.hong-phuc-restaurant.de/</t>
  </si>
  <si>
    <t>+49 30 77324052</t>
  </si>
  <si>
    <t>Romiosini</t>
  </si>
  <si>
    <t>Berliner Stra√üe 103, Berlin, 13507</t>
  </si>
  <si>
    <t>http://www.romiosini-berlin.de/</t>
  </si>
  <si>
    <t>Split</t>
  </si>
  <si>
    <t>Sori</t>
  </si>
  <si>
    <t>Wisbyer Stra√üe 3, Berlin, 10439</t>
  </si>
  <si>
    <t>Haci Baba</t>
  </si>
  <si>
    <t>K√≠rkƒì Deli</t>
  </si>
  <si>
    <t>B√∂ckhstra√üe 50, Berlin, 10967</t>
  </si>
  <si>
    <t>Cremina</t>
  </si>
  <si>
    <t>S√ºdwestkorso 60, Berlin, 12161</t>
  </si>
  <si>
    <t>ANOMI asian fusion kitchen</t>
  </si>
  <si>
    <t>T√ºrrschmidtstra√üe 37</t>
  </si>
  <si>
    <t>Achilles Taverna</t>
  </si>
  <si>
    <t>S√ºdwestkorso 15, Berlin, 12161</t>
  </si>
  <si>
    <t>https://www.achilles-taverna.de/</t>
  </si>
  <si>
    <t>+49 30 8214455</t>
  </si>
  <si>
    <t>Nuovo Mario</t>
  </si>
  <si>
    <t>Fasanenstra√üe 12, Berlin, 10623</t>
  </si>
  <si>
    <t>https://www.nuovomario.de/</t>
  </si>
  <si>
    <t>+49 30 31998363</t>
  </si>
  <si>
    <t>Willy's Bistro</t>
  </si>
  <si>
    <t>Wilhelmstra√üe 140, Berlin, 10963</t>
  </si>
  <si>
    <t>juliane.gerlich@wisag.de</t>
  </si>
  <si>
    <t>+49 30 25291510</t>
  </si>
  <si>
    <t>Royals &amp; Rice</t>
  </si>
  <si>
    <t>Torstra√üe 164, Berlin, 10115</t>
  </si>
  <si>
    <t>https://royalsandriceberlin.de/</t>
  </si>
  <si>
    <t>info@royalsandriceberlin.de</t>
  </si>
  <si>
    <t>+49 30 66405111</t>
  </si>
  <si>
    <t>facebook: https://www.facebook.com/royalsandrice.BER, instagram: https://www.instagram.com/royalsandrice_berlin/</t>
  </si>
  <si>
    <t>Filia</t>
  </si>
  <si>
    <t>Johannisthaler Chaussee 400, Berlin, 12351</t>
  </si>
  <si>
    <t>https://filia-berlin.de</t>
  </si>
  <si>
    <t>+49 30 66707780</t>
  </si>
  <si>
    <t>Ch√©n Ch√©</t>
  </si>
  <si>
    <t>Rosenthaler Stra√üe 13, Berlin, 10119</t>
  </si>
  <si>
    <t>http://www.chenche-berlin.de</t>
  </si>
  <si>
    <t>+49 30 28884282</t>
  </si>
  <si>
    <t>Trattoria "La Terrazza"</t>
  </si>
  <si>
    <t>Steinbockstra√üe 20, Berlin, 12057</t>
  </si>
  <si>
    <t>http://www.la-terrazza-berlin.de</t>
  </si>
  <si>
    <t>info@trattoria-paparazzi.de</t>
  </si>
  <si>
    <t>+49 30 68053745</t>
  </si>
  <si>
    <t>Voltaire</t>
  </si>
  <si>
    <t>http://www.charlottenburger-hof.de/de/hotel-restaurant</t>
  </si>
  <si>
    <t>Trattoria Vale un Peccato</t>
  </si>
  <si>
    <t>A√ümannshauser Stra√üe 26, Berlin, 14197</t>
  </si>
  <si>
    <t>http://www.vale-un-peccato.de</t>
  </si>
  <si>
    <t>+49 30 82705275</t>
  </si>
  <si>
    <t>Vietnam Aroma</t>
  </si>
  <si>
    <t>Wichertstra√üe 5</t>
  </si>
  <si>
    <t>Aceto Lokanta</t>
  </si>
  <si>
    <t>Wichertstra√üe 4</t>
  </si>
  <si>
    <t>http://acetolokanta.de/</t>
  </si>
  <si>
    <t>+49 30 75524100</t>
  </si>
  <si>
    <t>Tabibito</t>
  </si>
  <si>
    <t>Karl-Marx-Stra√üe 56, Berlin, 12043</t>
  </si>
  <si>
    <t>http://www.tabibito-berlin.de/</t>
  </si>
  <si>
    <t>info@tabibito-berlin.de</t>
  </si>
  <si>
    <t>+49 30 6241345</t>
  </si>
  <si>
    <t>facebook: https://www.facebook.com/Tabibito-133378430053259/</t>
  </si>
  <si>
    <t>Lehmann‚Äôs Gute Stube</t>
  </si>
  <si>
    <t>Heiligendammer Stra√üe 18, Berlin, 14199</t>
  </si>
  <si>
    <t>https://www.lehmanns-stuben.de</t>
  </si>
  <si>
    <t>info@lehmanns-stuben.de</t>
  </si>
  <si>
    <t>+49 30 41202406</t>
  </si>
  <si>
    <t>facebook: https://www.facebook.com/lehmann.gute.stube</t>
  </si>
  <si>
    <t>J√º Bao Yuan</t>
  </si>
  <si>
    <t>Wernsdorfer Stra√üe 19, Berlin, 12527</t>
  </si>
  <si>
    <t>http://jue-bao-yuan.com</t>
  </si>
  <si>
    <t>info@jue-bao-yuan.com</t>
  </si>
  <si>
    <t>+49 30 70761418</t>
  </si>
  <si>
    <t>Vivolo Ole</t>
  </si>
  <si>
    <t>Am Zwirngraben 11-12, Berlin, 10178</t>
  </si>
  <si>
    <t>https://vivolo.de/</t>
  </si>
  <si>
    <t>restaurant@vivolo.de</t>
  </si>
  <si>
    <t>+4930 246 319 33</t>
  </si>
  <si>
    <t>Pizzeria Noi Due</t>
  </si>
  <si>
    <t>https://i-due.eatbu.com/</t>
  </si>
  <si>
    <t>+49 30 3022077</t>
  </si>
  <si>
    <t>Zur gem√ºtlichen Ecke</t>
  </si>
  <si>
    <t>Sole mio</t>
  </si>
  <si>
    <t>Otawistra√üe 5, Berlin, 13351</t>
  </si>
  <si>
    <t>http://www.pizzeria-sole-mio.de/</t>
  </si>
  <si>
    <t>+49 30 4517041</t>
  </si>
  <si>
    <t>Chutnify</t>
  </si>
  <si>
    <t>Pfl√ºgerstra√üe 23, Berlin, 12047</t>
  </si>
  <si>
    <t>https://chutnify.com</t>
  </si>
  <si>
    <t>hello@chutnify.com</t>
  </si>
  <si>
    <t>+49 30 25893100</t>
  </si>
  <si>
    <t>instagram: https://www.instagram.com/chutnifyportugal/, facebook: https://www.facebook.com/chutnifyportugal</t>
  </si>
  <si>
    <t>Food Express</t>
  </si>
  <si>
    <t>http://indiaexpress.de</t>
  </si>
  <si>
    <t>+49 30 32301023</t>
  </si>
  <si>
    <t>Wilhelms Burger</t>
  </si>
  <si>
    <t>Stromstra√üe 10b, Berlin, 10555</t>
  </si>
  <si>
    <t>+49 30 3942978</t>
  </si>
  <si>
    <t>Trattoria - Pizzeria Chiaromonte</t>
  </si>
  <si>
    <t>Oranienburger Stra√üe 60, Berlin, 13437</t>
  </si>
  <si>
    <t>+4930 81039314</t>
  </si>
  <si>
    <t>Gaffel Haus Berlin</t>
  </si>
  <si>
    <t>Dorotheenstra√üe 65, Berlin, 10117</t>
  </si>
  <si>
    <t>https://www.gaffel-haus-berlin.de/</t>
  </si>
  <si>
    <t>berlin@gaffel-haus.de</t>
  </si>
  <si>
    <t>+49 30 3101 1693</t>
  </si>
  <si>
    <t>facebook: https://www.facebook.com/pg/GaffelHausBerlin/reviews/?ref=page_internal, instagram: https://instagram.com/gaffelhausberlin</t>
  </si>
  <si>
    <t>Trofeo / Parc Ferm√®</t>
  </si>
  <si>
    <t>Udagawa</t>
  </si>
  <si>
    <t>Kantstra√üe 118, Berlin, 10625</t>
  </si>
  <si>
    <t>https://www.udagawa-restaurant.de/</t>
  </si>
  <si>
    <t>+49 30 3123014</t>
  </si>
  <si>
    <t>Salumeria Rosa</t>
  </si>
  <si>
    <t>https://www.salumeria-rosa.de/</t>
  </si>
  <si>
    <t>Phan Gia</t>
  </si>
  <si>
    <t>http://phan-gia.de/</t>
  </si>
  <si>
    <t>Milchbar</t>
  </si>
  <si>
    <t>Nalepastra√üe 18, 12459</t>
  </si>
  <si>
    <t>Zum Ulrich</t>
  </si>
  <si>
    <t>http://zumulrich-kaulsdorf.de</t>
  </si>
  <si>
    <t>Trattoria da Ciro</t>
  </si>
  <si>
    <t>Schubartstra√üe 47, Berlin, 13509</t>
  </si>
  <si>
    <t>https://www.trattoria-da-ciro.de/</t>
  </si>
  <si>
    <t>info@trattoria-da-ciro.de</t>
  </si>
  <si>
    <t>+49 30 4328015</t>
  </si>
  <si>
    <t>instagram: https://www.instagram.com/trattoria_da_ciro_berlin/</t>
  </si>
  <si>
    <t>Ajanta</t>
  </si>
  <si>
    <t>Grolmanstra√üe, Berlin, 10623</t>
  </si>
  <si>
    <t>https://www.ajanta-koepenick.de/</t>
  </si>
  <si>
    <t>info@ajanta-koepenick.de</t>
  </si>
  <si>
    <t>+49 30 65482963</t>
  </si>
  <si>
    <t>Caf√© am Japanischen Garten</t>
  </si>
  <si>
    <t>Hafenk√ºche</t>
  </si>
  <si>
    <t>Zur Alten Flussbadeanstalt 5, Berlin, 10317</t>
  </si>
  <si>
    <t>https://hafenkueche.de/</t>
  </si>
  <si>
    <t>office@hafenkueche.de</t>
  </si>
  <si>
    <t>+49 30 42219926</t>
  </si>
  <si>
    <t>facebook: https://www.facebook.com/hafenkueche/, instagram: https://www.instagram.com/hafenkuecheberlin/</t>
  </si>
  <si>
    <t>Spandauer Bierbrunnen</t>
  </si>
  <si>
    <t>Klosterstra√üe 5, Berlin, 13581</t>
  </si>
  <si>
    <t>http://www.spandauer-bierbrunnen.de</t>
  </si>
  <si>
    <t>+49 30 53678417</t>
  </si>
  <si>
    <t>Paulaner im Spreebogen</t>
  </si>
  <si>
    <t>Alt-Moabit 98, Berlin, 10559</t>
  </si>
  <si>
    <t>https://paulaner-im-spreebogen.de/</t>
  </si>
  <si>
    <t>info@paulaners-berlin.de</t>
  </si>
  <si>
    <t>+49 30 39881426</t>
  </si>
  <si>
    <t>The Brooklyn</t>
  </si>
  <si>
    <t>K√∂penicker Stra√üe 92, Berlin, 10179</t>
  </si>
  <si>
    <t>http://www.thebrooklyn.de/</t>
  </si>
  <si>
    <t>ap@thebrooklyn.de</t>
  </si>
  <si>
    <t>+49 30 20215820</t>
  </si>
  <si>
    <t>facebook: https://www.facebook.com/thebrooklynberlin/, instagram: https://www.instagram.com/restaurant_thebrooklyn</t>
  </si>
  <si>
    <t>Golden Choice</t>
  </si>
  <si>
    <t>Greifswalder Stra√üe 216, Berlin, 10405</t>
  </si>
  <si>
    <t>+49 30 44352062</t>
  </si>
  <si>
    <t>Wirtshaus an der Rehwiese</t>
  </si>
  <si>
    <t>Matterhornstra√üe 101, Berlin, 14129</t>
  </si>
  <si>
    <t>http://www.wirtshaus-an-der-rehwiese.de</t>
  </si>
  <si>
    <t>info@wirtshaus-rehwiese.de</t>
  </si>
  <si>
    <t>+49 30 80403062</t>
  </si>
  <si>
    <t>facebook: https://www.facebook.com/Wirtshaus-an-der-Rehwiese-1574323732836151/?fref=ts</t>
  </si>
  <si>
    <t>Wohin</t>
  </si>
  <si>
    <t>Freiheit 5, Berlin, 12555</t>
  </si>
  <si>
    <t>https://wohin.eatbu.com</t>
  </si>
  <si>
    <t>tuansonan81@gmail.com</t>
  </si>
  <si>
    <t>+49 30 65853506</t>
  </si>
  <si>
    <t>Casa Nostra</t>
  </si>
  <si>
    <t>Sch√∂neberger Stra√üe 3, Berlin, 12163</t>
  </si>
  <si>
    <t>+49 30 43910505</t>
  </si>
  <si>
    <t>Blackbeards</t>
  </si>
  <si>
    <t>Pappelallee 55, Berlin, 10437</t>
  </si>
  <si>
    <t>https://www.blackbeards.berlin/</t>
  </si>
  <si>
    <t>mail@blackbeards.berlin</t>
  </si>
  <si>
    <t>facebook: https://www.facebook.com/Blackbeardsberlin/, instagram: https://www.instagram.com/blackbeards_berlin/</t>
  </si>
  <si>
    <t>Pizzeria Laila</t>
  </si>
  <si>
    <t>Tempelherrenstra√üe 2, Berlin, 10961</t>
  </si>
  <si>
    <t>https://pizzeria-yasmin-berlin.de</t>
  </si>
  <si>
    <t>+49 30 81800740</t>
  </si>
  <si>
    <t>Blue Label</t>
  </si>
  <si>
    <t>B√∂tzowstra√üe 7, Berlin, 10407</t>
  </si>
  <si>
    <t>Mezehaus</t>
  </si>
  <si>
    <t>+49 30 614 03 096</t>
  </si>
  <si>
    <t>Play Off Marzahn</t>
  </si>
  <si>
    <t>M√§rkische Allee 176 - 178, Berlin, 12681</t>
  </si>
  <si>
    <t>https://play-off.tv/</t>
  </si>
  <si>
    <t>info@play-off-holding.de</t>
  </si>
  <si>
    <t>Fisch Frank</t>
  </si>
  <si>
    <t>Bergmanns</t>
  </si>
  <si>
    <t>Riemannstra√üe 13, Berlin, 10961</t>
  </si>
  <si>
    <t>https://www.bergmanns.berlin/</t>
  </si>
  <si>
    <t>kontakt@bergmanns.berlin</t>
  </si>
  <si>
    <t>+49 30 40059631</t>
  </si>
  <si>
    <t>instagram: https://www.instagram.com/bergmanns.berlin/</t>
  </si>
  <si>
    <t>Aromi e sapori</t>
  </si>
  <si>
    <t>Stra√üburger Stra√üe 29, Berlin, 10405</t>
  </si>
  <si>
    <t>Kikko</t>
  </si>
  <si>
    <t>+49 30 77908017</t>
  </si>
  <si>
    <t>Gastst√§tte Floratreff</t>
  </si>
  <si>
    <t>Hasensprung 29, Berlin, 10318</t>
  </si>
  <si>
    <t>https://gaststaette-floratreff.berlin</t>
  </si>
  <si>
    <t>+49 30 50179797</t>
  </si>
  <si>
    <t>China Town Restaurant</t>
  </si>
  <si>
    <t>Panther</t>
  </si>
  <si>
    <t>Waldemarstra√üe 119, Berlin, 10997</t>
  </si>
  <si>
    <t>http://www.restaurantpanther.de</t>
  </si>
  <si>
    <t>mail@firma.de</t>
  </si>
  <si>
    <t>+49 30 69001100</t>
  </si>
  <si>
    <t>instagram: https://www.instagram.com/pantherberlin/, facebook: https://www.facebook.com/restaurantpantherberlin</t>
  </si>
  <si>
    <t>Omy - Asia Kitchen &amp; Sushi Bar</t>
  </si>
  <si>
    <t>K√∂penicker Landstra√üe 238, Berlin, 12437</t>
  </si>
  <si>
    <t>+49 30 5329866</t>
  </si>
  <si>
    <t>Flame Diner</t>
  </si>
  <si>
    <t>Zehrensdorfer Stra√üe 9, Berlin, 12277</t>
  </si>
  <si>
    <t>https://www.flame-diner.com/</t>
  </si>
  <si>
    <t>Info@Flame-Diner.de</t>
  </si>
  <si>
    <t>Erbil</t>
  </si>
  <si>
    <t>Br√ºckenstra√üe 2, Berlin, 10179</t>
  </si>
  <si>
    <t>https://www.erbil-berlin.de/</t>
  </si>
  <si>
    <t>+49 30 22034233</t>
  </si>
  <si>
    <t>Caffe Trattoria Nisi</t>
  </si>
  <si>
    <t>Habichtstra√üe 14, Berlin, 13505</t>
  </si>
  <si>
    <t>https://caffe-trattoria-nisi.jimdosite.com/</t>
  </si>
  <si>
    <t>+49 3040 501037</t>
  </si>
  <si>
    <t>Arirang Matzip</t>
  </si>
  <si>
    <t>Bundesallee 93, Berlin, 12161</t>
  </si>
  <si>
    <t>Next Level African Food</t>
  </si>
  <si>
    <t>Emser Stra√üe 96, Berlin, 12051</t>
  </si>
  <si>
    <t>https://nextlevel.restaurant/</t>
  </si>
  <si>
    <t>tijanbarry44@gmail.com</t>
  </si>
  <si>
    <t>+49 176 2178 1602</t>
  </si>
  <si>
    <t>instagram: https://www.instagram.com/next_level_africa_restaurant/</t>
  </si>
  <si>
    <t>Chili Chutney</t>
  </si>
  <si>
    <t>Eisenbahnstra√üe 5, Berlin, 10997</t>
  </si>
  <si>
    <t>Restaurant Dumplings Nian</t>
  </si>
  <si>
    <t>Eisenbahnstra√üe 4, Berlin, 10997</t>
  </si>
  <si>
    <t>Umberto</t>
  </si>
  <si>
    <t>Eisenbahnstra√üe 7, Berlin, 10997</t>
  </si>
  <si>
    <t>Arkade</t>
  </si>
  <si>
    <t>Restaurant Caf√© Aurel</t>
  </si>
  <si>
    <t>http://www.restaurant-aurel.de</t>
  </si>
  <si>
    <t>+49 30 93951756</t>
  </si>
  <si>
    <t>Antica Lasagneria</t>
  </si>
  <si>
    <t>http://www.ilpunto.net/main.php?web_id=1</t>
  </si>
  <si>
    <t>info@ilpunto.net</t>
  </si>
  <si>
    <t>+49 30 20605540</t>
  </si>
  <si>
    <t>Il Punto</t>
  </si>
  <si>
    <t>Neust√§dtische Kirchstra√üe 6, Berlin, 10117</t>
  </si>
  <si>
    <t>+49 30 206 05540</t>
  </si>
  <si>
    <t>flamingo</t>
  </si>
  <si>
    <t>Neust√§dtische Kirchstra√üe 8, Berlin, 10117</t>
  </si>
  <si>
    <t>https://www.flamingo-freshfood.de/</t>
  </si>
  <si>
    <t>info@flamingo-freshfood.de</t>
  </si>
  <si>
    <t>facebook: https://www.facebook.com/profile.php?id=100063452447592, instagram: https://www.instagram.com/flamingofreshfood/</t>
  </si>
  <si>
    <t>Swaad</t>
  </si>
  <si>
    <t>Erich-Weinert-Stra√üe 55, Berlin, 10439</t>
  </si>
  <si>
    <t>https://swaadrestaurant.de/</t>
  </si>
  <si>
    <t>Da Dante</t>
  </si>
  <si>
    <t>Hauptstra√üe 14, Berlin, 10827</t>
  </si>
  <si>
    <t>http://www.aldente-karlshorst.de</t>
  </si>
  <si>
    <t>info@aldente-karlshorst.de</t>
  </si>
  <si>
    <t>+49 30 12076564</t>
  </si>
  <si>
    <t>instagram: https://www.instagram.com/aldente.karlshorst?igsh=MWJlNTFhd2M2dnBqaA==</t>
  </si>
  <si>
    <t>Harissa Oriental Cuisine</t>
  </si>
  <si>
    <t>Br√ºckenstra√üe 10a, Berlin, 10179</t>
  </si>
  <si>
    <t>http://harissa-berlin.de/</t>
  </si>
  <si>
    <t>info@harissa-berlin.de</t>
  </si>
  <si>
    <t>+49 152 51516073</t>
  </si>
  <si>
    <t>Restaurant Adlerm√ºhle</t>
  </si>
  <si>
    <t>Mariendorfer Damm 320, Berlin, 12107</t>
  </si>
  <si>
    <t>+49 30 741 22 19</t>
  </si>
  <si>
    <t>Artemis</t>
  </si>
  <si>
    <t>Schnellerstra√üe 97, Berlin, 12439</t>
  </si>
  <si>
    <t>https://www.griechisches-restaurant-artemis.de/</t>
  </si>
  <si>
    <t>+49 30 67822870</t>
  </si>
  <si>
    <t>Siena Restaurant &amp; Caf√©</t>
  </si>
  <si>
    <t>Schnellerstra√üe 38, Berlin, 12439</t>
  </si>
  <si>
    <t>+49 30 63416901</t>
  </si>
  <si>
    <t>Mali Raj</t>
  </si>
  <si>
    <t>Milano</t>
  </si>
  <si>
    <t>https://restorante-pizzeria-milano.de/</t>
  </si>
  <si>
    <t>+49 30 36750352</t>
  </si>
  <si>
    <t>Damso Galerie und Teehaus</t>
  </si>
  <si>
    <t>Teltower Damm 54, Berlin, 14167</t>
  </si>
  <si>
    <t>Bar Raval</t>
  </si>
  <si>
    <t>L√ºbbener Stra√üe 1, Berlin, 10997</t>
  </si>
  <si>
    <t>https://www.barraval.de/</t>
  </si>
  <si>
    <t>hola@barraval.de</t>
  </si>
  <si>
    <t>+49 30 53167954</t>
  </si>
  <si>
    <t>instagram: https://www.instagram.com/barravalberlin/</t>
  </si>
  <si>
    <t>La Esperanza</t>
  </si>
  <si>
    <t>Hauptmann von K√∂penick</t>
  </si>
  <si>
    <t>Mahlsdorfer Stra√üe 1, Berlin</t>
  </si>
  <si>
    <t>https://hauptmannvonkoepenick.eatbu.com/</t>
  </si>
  <si>
    <t>k.dobak@web.de</t>
  </si>
  <si>
    <t>+49 30 64328937</t>
  </si>
  <si>
    <t>Falafel Aladin</t>
  </si>
  <si>
    <t>Pettenkoferstra√üe 2b, Berlin, 10247</t>
  </si>
  <si>
    <t>Onkel Le</t>
  </si>
  <si>
    <t>Pappelallee 19, Berlin, 10437</t>
  </si>
  <si>
    <t>https://onkel-le-restaurant.com</t>
  </si>
  <si>
    <t>onkelle.restaurant@gmail.com</t>
  </si>
  <si>
    <t>+49 30 33898338</t>
  </si>
  <si>
    <t>instagram: https://www.instagram.com/onkel.le, facebook: https://www.facebook.com/onkelle.berlin, twitter: https://twitter.com/WixStudio, linkedin: https://www.linkedin.com/company/wix-com, tiktok: https://www.tiktok.com/@wix</t>
  </si>
  <si>
    <t>Bar Tolucci</t>
  </si>
  <si>
    <t>Eisenacher Stra√üe 86, Berlin, 10781</t>
  </si>
  <si>
    <t>http://www.bar-tolucci.de/</t>
  </si>
  <si>
    <t>mail@bar-tolucci.de</t>
  </si>
  <si>
    <t>+49 30 2141607</t>
  </si>
  <si>
    <t>Leibhaftig</t>
  </si>
  <si>
    <t>Metzer Stra√üe 30, Berlin, 10405</t>
  </si>
  <si>
    <t>http://www.leibhaftig.com/</t>
  </si>
  <si>
    <t>39info@leibhaftig.comEinwilligung</t>
  </si>
  <si>
    <t>Hanschi's Kneipe</t>
  </si>
  <si>
    <t>YUMMY</t>
  </si>
  <si>
    <t>Moritzstra√üe 24, Berlin, 13597</t>
  </si>
  <si>
    <t>https://www.yummy-spandau.de/</t>
  </si>
  <si>
    <t>info@yummy-spandau.de</t>
  </si>
  <si>
    <t>+49 30 24340110</t>
  </si>
  <si>
    <t>NuovoMario Berlin</t>
  </si>
  <si>
    <t>Reichenhaller Stra√üe 4, Berlin, 14199</t>
  </si>
  <si>
    <t>http://www.nuovomario-grunewald.de/</t>
  </si>
  <si>
    <t>post@nuovomario-grunewald.de</t>
  </si>
  <si>
    <t>+49 30 83222088</t>
  </si>
  <si>
    <t>facebook: https://www.facebook.com/fernandonuovomario/timeline/, twitter: https://twitter.com/NuovoMario</t>
  </si>
  <si>
    <t>Man-Far</t>
  </si>
  <si>
    <t>Merhaba</t>
  </si>
  <si>
    <t>Greifswalder Stra√üe 4, Berlin, 10405</t>
  </si>
  <si>
    <t>http://www.merhaba-restaurant.de/pberg/prenzlberg.htm</t>
  </si>
  <si>
    <t>My Anh</t>
  </si>
  <si>
    <t>Greifswalder Stra√üe 3, Berlin, 10405</t>
  </si>
  <si>
    <t>Golden Fleece</t>
  </si>
  <si>
    <t>Torstra√üe 69, Berlin, 10119</t>
  </si>
  <si>
    <t>http://golden-rice.de/</t>
  </si>
  <si>
    <t>info@thuy-nga.deWeb</t>
  </si>
  <si>
    <t>facebook: https://www.facebook.com/pages/Golden-Rice/735038446519531?fref=ts/, twitter: https://twitter.com/Goldenrice29</t>
  </si>
  <si>
    <t>Sticks'n'Sushi</t>
  </si>
  <si>
    <t>Torstra√üe 169-171, Berlin, 10115</t>
  </si>
  <si>
    <t>http://www.sticksnsushi.berlin/restaurants/berlin.html</t>
  </si>
  <si>
    <t>+49 30 261 036 56</t>
  </si>
  <si>
    <t>instagram: https://www.instagram.com/sticksnsushi.dk/?hl=en, facebook: https://www.facebook.com/sticksnsushi/, tiktok: https://www.tiktok.com/@sticksnsushi.global?_t=ZN-8wyd7G7odM6&amp;_r=1, linkedin: https://www.linkedin.com/company/sticks-n-sushi/</t>
  </si>
  <si>
    <t>La Galleria Italiana</t>
  </si>
  <si>
    <t>Aki Tatsu</t>
  </si>
  <si>
    <t>Torstra√üe 176, Berlin, 10115</t>
  </si>
  <si>
    <t>https://www.aki-tatsu-berlin.de</t>
  </si>
  <si>
    <t>Lola's Tapas</t>
  </si>
  <si>
    <t>Choriner Stra√üe 62, Berlin, 10435</t>
  </si>
  <si>
    <t>Hausgemachte Pierogi</t>
  </si>
  <si>
    <t>Petersburger Platz 4, Berlin, 10249</t>
  </si>
  <si>
    <t>La Pecora Nera</t>
  </si>
  <si>
    <t>Ristorante Bella Italia</t>
  </si>
  <si>
    <t>Bayerischer Platz 8, Berlin, 10779</t>
  </si>
  <si>
    <t>Odessa Mama</t>
  </si>
  <si>
    <t>Innsbrucker Platz 3, Berlin, 10827</t>
  </si>
  <si>
    <t>https://odessamama.de</t>
  </si>
  <si>
    <t>+49 30 7819845</t>
  </si>
  <si>
    <t>facebook: https://www.facebook.com/odessamamaberlin/</t>
  </si>
  <si>
    <t>Que Pasa</t>
  </si>
  <si>
    <t>Bergmannstra√üe 88, Berlin, 10961</t>
  </si>
  <si>
    <t>http://www.quepasa-berlin.de/home</t>
  </si>
  <si>
    <t>que.pasa.oranienburgerstrasse@gmail.com</t>
  </si>
  <si>
    <t>+4930 69 53 79 51</t>
  </si>
  <si>
    <t>instagram: https://www.instagram.com/quepasamexicanberlin</t>
  </si>
  <si>
    <t>Casa de Empanadas</t>
  </si>
  <si>
    <t>Marienburger Stra√üe 9, Berlin, 10405</t>
  </si>
  <si>
    <t>http://www.la-criolla.de/</t>
  </si>
  <si>
    <t>info@la-criolla.de</t>
  </si>
  <si>
    <t>instagram: https://www.instagram.com/lacriollaberlin/, facebook: https://www.facebook.com/lacriollaberlin/</t>
  </si>
  <si>
    <t>Il Porto</t>
  </si>
  <si>
    <t>Robert-Koch-Platz 12, Berlin, 10115</t>
  </si>
  <si>
    <t>http://www.portanova-berlin.de/</t>
  </si>
  <si>
    <t>+49 30 28040408</t>
  </si>
  <si>
    <t>Asia Time</t>
  </si>
  <si>
    <t>Rheinstra√üe 49, Berlin, 12161</t>
  </si>
  <si>
    <t>http://asiatime-berlin.de</t>
  </si>
  <si>
    <t>+49 30 23616813</t>
  </si>
  <si>
    <t>facebook: http://www.facebook.com/AsiaTime.Berlin</t>
  </si>
  <si>
    <t>Ruderklause</t>
  </si>
  <si>
    <t>+49 30 26326281</t>
  </si>
  <si>
    <t>Die Sattmacher</t>
  </si>
  <si>
    <t>http://www.die-sattmacher.com</t>
  </si>
  <si>
    <t>info@die-sattmacher.com</t>
  </si>
  <si>
    <t>+49 30 34069154</t>
  </si>
  <si>
    <t>Peter Schlemihl</t>
  </si>
  <si>
    <t>Willibald-Alexis-Stra√üe 25</t>
  </si>
  <si>
    <t>https://www.peter-schlemihl.com/</t>
  </si>
  <si>
    <t>info@peter-schlemihl.com</t>
  </si>
  <si>
    <t>+4930 69565320</t>
  </si>
  <si>
    <t>Fandbit</t>
  </si>
  <si>
    <t>Gartenfelder Stra√üe 29-37</t>
  </si>
  <si>
    <t>https://www.fandbit.com/</t>
  </si>
  <si>
    <t>+49 174 9593599</t>
  </si>
  <si>
    <t>Master Wok's Asia Imbiss</t>
  </si>
  <si>
    <t>Jagowstra√üe 13, Berlin, 10555</t>
  </si>
  <si>
    <t>https://www.lieferando.de/en/menu/master-wok-s-berlin</t>
  </si>
  <si>
    <t>Enzian Bayrisches Wirtshaus</t>
  </si>
  <si>
    <t>Am Kupfergraben 6a, Berlin, 10117</t>
  </si>
  <si>
    <t>http://www.wirtshaus-enzian.de/</t>
  </si>
  <si>
    <t>+49 30 220 02553</t>
  </si>
  <si>
    <t>Deseado</t>
  </si>
  <si>
    <t>Tauernallee 6, Berlin, 12107</t>
  </si>
  <si>
    <t>https://www.deseado.de/</t>
  </si>
  <si>
    <t>71info@deseado.deQuick</t>
  </si>
  <si>
    <t>+49 30 7413171</t>
  </si>
  <si>
    <t>Nobbi Feine Suppen</t>
  </si>
  <si>
    <t>Steakhaus Nonnendamm</t>
  </si>
  <si>
    <t>Nonnendammallee 98, Berlin, 13629</t>
  </si>
  <si>
    <t>https://steakhaus-nonnendamm.de/</t>
  </si>
  <si>
    <t>info@steakhaus-nonnendamm.de</t>
  </si>
  <si>
    <t>+49 30 3825023</t>
  </si>
  <si>
    <t xml:space="preserve">facebook: https://www.facebook.com/SteakhausNonnendamm/timeline?ref=page_internal, instagram: https://www.instagram.com/steakhaus_nonnendamm/ </t>
  </si>
  <si>
    <t>Royal Asia</t>
  </si>
  <si>
    <t>Wattstra√üe 12, Berlin, 13629</t>
  </si>
  <si>
    <t>Daily Pizza</t>
  </si>
  <si>
    <t>Nonnendammallee 97, Berlin, 13629</t>
  </si>
  <si>
    <t>+49 30 34350847</t>
  </si>
  <si>
    <t>Kattelbach</t>
  </si>
  <si>
    <t>Restaurant &amp; Strand-Biergarten Fisch-Borke</t>
  </si>
  <si>
    <t>F√ºrstenwalder Damm 848, Berlin, 12589</t>
  </si>
  <si>
    <t>https://www.fisch-borke.de/</t>
  </si>
  <si>
    <t>kontakt@fisch-borke.dePhone</t>
  </si>
  <si>
    <t>+49 30 61201007</t>
  </si>
  <si>
    <t>instagram: https://www.instagram.com/fischborke/</t>
  </si>
  <si>
    <t>K√∂penicker Seeterrassen</t>
  </si>
  <si>
    <t>Stammhaus Siemensstadt</t>
  </si>
  <si>
    <t>Rohrdamm 24b, Berlin, 13629</t>
  </si>
  <si>
    <t>Gasthaus Zur Quelle</t>
  </si>
  <si>
    <t>Nonnendammallee 83, Berlin, 13629</t>
  </si>
  <si>
    <t>http://www.berliner-rouladenhaus.de/</t>
  </si>
  <si>
    <t>BerlinerRouladenhaus@t-online.deSo</t>
  </si>
  <si>
    <t>+49 174 4043093</t>
  </si>
  <si>
    <t>Swadishta</t>
  </si>
  <si>
    <t>Quellweg 23, Berlin, 13629</t>
  </si>
  <si>
    <t>https://www.swadishta.de</t>
  </si>
  <si>
    <t>info@swadishta.de</t>
  </si>
  <si>
    <t>+49 30 37 44 62 44</t>
  </si>
  <si>
    <t>instagram: https://www.instagram.com/swadishta.de/, facebook: https://www.facebook.com/swadishta.de</t>
  </si>
  <si>
    <t>La Pausa</t>
  </si>
  <si>
    <t>Chausseestra√üe 17, Berlin, 10115</t>
  </si>
  <si>
    <t>https://lapausa.de</t>
  </si>
  <si>
    <t>+49 30 657 951 22</t>
  </si>
  <si>
    <t>WeinLounge</t>
  </si>
  <si>
    <t>Restaurant Schweizerland</t>
  </si>
  <si>
    <t>https://www.restaurant-schweizerland.de/</t>
  </si>
  <si>
    <t>info@restaurant-schweizerland.de</t>
  </si>
  <si>
    <t>+49 30 84709089</t>
  </si>
  <si>
    <t>Dioklecian Split</t>
  </si>
  <si>
    <t>Siemensdamm 43, Berlin, 13629</t>
  </si>
  <si>
    <t>http://www.dioklecijan-split.berlin/</t>
  </si>
  <si>
    <t>Raj Mahaal</t>
  </si>
  <si>
    <t>Siemensdamm 44, Berlin, 13629</t>
  </si>
  <si>
    <t>Ariano</t>
  </si>
  <si>
    <t>Steakhouse Asador</t>
  </si>
  <si>
    <t>Wilhelmstra√üe 22, Berlin, 10963</t>
  </si>
  <si>
    <t>https://restaurant-asador.de/</t>
  </si>
  <si>
    <t>reservierung@restaurant-asador.de</t>
  </si>
  <si>
    <t>+49 30 25931818</t>
  </si>
  <si>
    <t>facebook: https://www.facebook.com/Steakhouse-Asador-152954721442259/?fref=ts</t>
  </si>
  <si>
    <t>Bayerische Spreestuben</t>
  </si>
  <si>
    <t>St. Wolfgang-Stra√üe 4</t>
  </si>
  <si>
    <t>San Ena</t>
  </si>
  <si>
    <t>Karl-Liebknecht-Stra√üe 3, Berlin, 10178</t>
  </si>
  <si>
    <t>https://makanenak.de</t>
  </si>
  <si>
    <t>info@makaenak.de</t>
  </si>
  <si>
    <t>+49 30 53849676</t>
  </si>
  <si>
    <t>instagram: https://www.instagram.com/makanenakde/?hl=en</t>
  </si>
  <si>
    <t>Uzbek Eats</t>
  </si>
  <si>
    <t>Grunewaldstra√üe 49, Berlin, 10825</t>
  </si>
  <si>
    <t>Gasthaus Parkblick</t>
  </si>
  <si>
    <t>Parkaue 32-34, Berlin, 10367</t>
  </si>
  <si>
    <t>Lavanderia Vecchia</t>
  </si>
  <si>
    <t>Flughafenstra√üe 46, Berlin, 12053</t>
  </si>
  <si>
    <t>http://www.lavanderiavecchia.de/</t>
  </si>
  <si>
    <t>Berlin+49-30-62722152reservierung@lavanderiavecchia.deMi</t>
  </si>
  <si>
    <t>+49 30 62722152</t>
  </si>
  <si>
    <t>facebook: https://www.facebook.com/LavanderiaVecchia, instagram: https://www.instagram.com/lavanderiavecchia/</t>
  </si>
  <si>
    <t>White Bird</t>
  </si>
  <si>
    <t>Albrechtstra√üe 18, Berlin, 10117</t>
  </si>
  <si>
    <t>Sage Restaurant</t>
  </si>
  <si>
    <t>K√∂penicker Stra√üe 18-20, Berlin, 10997</t>
  </si>
  <si>
    <t>http://whitesage.de/cms/offen</t>
  </si>
  <si>
    <t>+49 30 921001660</t>
  </si>
  <si>
    <t>Bambus am See</t>
  </si>
  <si>
    <t>Berliner Allee 126, Berlin, 13088</t>
  </si>
  <si>
    <t>https://bambusamsee.de/</t>
  </si>
  <si>
    <t>+49 30 92407909</t>
  </si>
  <si>
    <t>Caf√© &amp; Restaurant am Petriplatz</t>
  </si>
  <si>
    <t>Latino</t>
  </si>
  <si>
    <t>Uhlandstra√üe 4, Berlin, 10623</t>
  </si>
  <si>
    <t>https://el-tinto.de/</t>
  </si>
  <si>
    <t>+49 176 21806777</t>
  </si>
  <si>
    <t>Dapoer</t>
  </si>
  <si>
    <t>Ritterstra√üe 60B, Berlin, 10969</t>
  </si>
  <si>
    <t>https://dapur-berlin.de/</t>
  </si>
  <si>
    <t>+49 30 2512129</t>
  </si>
  <si>
    <t>Rodizio Real</t>
  </si>
  <si>
    <t>Zum Eisenbahnlandwirt (Vereinsheim)</t>
  </si>
  <si>
    <t>Dashi</t>
  </si>
  <si>
    <t>https://dashi.de/</t>
  </si>
  <si>
    <t>howdy@dashi.de</t>
  </si>
  <si>
    <t>instagram: https://www.instagram.com/dashidiner/</t>
  </si>
  <si>
    <t>Avatar</t>
  </si>
  <si>
    <t>Weserstra√üe 5, Berlin, 12047</t>
  </si>
  <si>
    <t>https://avatar.berlin/</t>
  </si>
  <si>
    <t>+49 30 62904656</t>
  </si>
  <si>
    <t>Kamala</t>
  </si>
  <si>
    <t>Oranienburger Stra√üe 69, Berlin, 10117</t>
  </si>
  <si>
    <t>+49 30 28327-97</t>
  </si>
  <si>
    <t>Restauration zur Gardestube</t>
  </si>
  <si>
    <t>Rosenstra√üe 3, Berlin</t>
  </si>
  <si>
    <t>+49 30 64167431</t>
  </si>
  <si>
    <t>La Maria</t>
  </si>
  <si>
    <t>Alt-Lichtenrade 45, Berlin, 12305</t>
  </si>
  <si>
    <t>Kochbox</t>
  </si>
  <si>
    <t>Dircksenstra√üe 95, Berlin, 10178</t>
  </si>
  <si>
    <t>http://www.kochbox.com/</t>
  </si>
  <si>
    <t>info@kochbox.com</t>
  </si>
  <si>
    <t>facebook: https://www.facebook.com/kochboxevent, instagram: https://www.instagram.com/kochbox_eventcatering/</t>
  </si>
  <si>
    <t>Viet Street</t>
  </si>
  <si>
    <t>Dircksenstra√üe 93, Berlin, 10178</t>
  </si>
  <si>
    <t>Diomira</t>
  </si>
  <si>
    <t>Hedemannstra√üe 31, Berlin, 10963</t>
  </si>
  <si>
    <t>https://www.ristorante-diomira.de/</t>
  </si>
  <si>
    <t>+49 30 55626282</t>
  </si>
  <si>
    <t>Cafe Tatou</t>
  </si>
  <si>
    <t>Kantstra√üe 16, Berlin, 10623</t>
  </si>
  <si>
    <t>http://www.trattoria-tatou.de/</t>
  </si>
  <si>
    <t>info@cafe-tatou.de</t>
  </si>
  <si>
    <t>facebook: https://www.facebook.com/Cafe-Tatou-617813318273695/timeline/</t>
  </si>
  <si>
    <t>Ratana</t>
  </si>
  <si>
    <t>Bundesallee 95, 12161</t>
  </si>
  <si>
    <t>http://restaurant-cafe-ratana.de/</t>
  </si>
  <si>
    <t>+49 30 85103039</t>
  </si>
  <si>
    <t>Chibee Chicken &amp; Beer</t>
  </si>
  <si>
    <t>Tegeler Stra√üe 29A, Berlin, 13353</t>
  </si>
  <si>
    <t>https://www.chibee.de/</t>
  </si>
  <si>
    <t>info@chibee.de</t>
  </si>
  <si>
    <t>+49 30 22 32 61 05</t>
  </si>
  <si>
    <t>instagram: https://www.instagram.com/chibeeberlin/?hl=de, facebook: https://www.facebook.com/CHIBEEberlin/?locale=de_DE</t>
  </si>
  <si>
    <t>Treptower Klause</t>
  </si>
  <si>
    <t>Karl-Kunger-Stra√üe 69, Berlin, 12435</t>
  </si>
  <si>
    <t>https://www.treptowerklause.de/</t>
  </si>
  <si>
    <t>info@treptowerklause.de</t>
  </si>
  <si>
    <t>+49 175 90 10 099</t>
  </si>
  <si>
    <t>Fu Long</t>
  </si>
  <si>
    <t>Britzer Damm 18, Berlin, 12347</t>
  </si>
  <si>
    <t>https://www.fulongberlin.de/</t>
  </si>
  <si>
    <t>fulongberlin@gmail.comUmsatzsteuernummer</t>
  </si>
  <si>
    <t>+49 30 6267777</t>
  </si>
  <si>
    <t>Sippi</t>
  </si>
  <si>
    <t>Sanderstra√üe 10A, Berlin, 12047</t>
  </si>
  <si>
    <t>https://www.sippi-osteria.com/</t>
  </si>
  <si>
    <t>info@sippi-osteria.com</t>
  </si>
  <si>
    <t>+49 30 61653508</t>
  </si>
  <si>
    <t>Alto</t>
  </si>
  <si>
    <t>An der Spandauer Br√ºcke 11</t>
  </si>
  <si>
    <t>https://www.adinahotels.com/apartments/berlin-hackescher-markt/dining/</t>
  </si>
  <si>
    <t>berlinhm@adina.eu</t>
  </si>
  <si>
    <t>facebook: https://www.facebook.com/AdinaHotels/, instagram: https://www.instagram.com/adinahotels/</t>
  </si>
  <si>
    <t>Ixthys</t>
  </si>
  <si>
    <t>Pallasstra√üe 21, Berlin, 10781</t>
  </si>
  <si>
    <t>+49 30 81474769</t>
  </si>
  <si>
    <t>the Butterfly Lovers</t>
  </si>
  <si>
    <t>Veteranenstra√üe 10, Berlin, 10119</t>
  </si>
  <si>
    <t>https://the-butterfly-lovers.eatbu.com/</t>
  </si>
  <si>
    <t>wen.wang@midi-inn.de</t>
  </si>
  <si>
    <t>+49 30 91488336</t>
  </si>
  <si>
    <t>instagram: https://www.instagram.com/the.butterflylovers/?hl=de, facebook: https://www.facebook.com/The-butterfly-lovers-109256304749746/</t>
  </si>
  <si>
    <t>Chi-Chi-Kan</t>
  </si>
  <si>
    <t>Goltzstra√üe 52, Berlin, 10781</t>
  </si>
  <si>
    <t>https://www.chichikan.de/</t>
  </si>
  <si>
    <t>54716651info@chichikan.deDi</t>
  </si>
  <si>
    <t>+49 30 54716651</t>
  </si>
  <si>
    <t>Ristorante Al Dente</t>
  </si>
  <si>
    <t>K√∂nigsberger Stra√üe 7, Berlin, 12207</t>
  </si>
  <si>
    <t>https://aldente-restaurante.de</t>
  </si>
  <si>
    <t>info@ristorante-aldente-nuovo.de</t>
  </si>
  <si>
    <t>+49 30 76885730</t>
  </si>
  <si>
    <t>facebook: https://www.facebook.com/aldentelichterfelde/</t>
  </si>
  <si>
    <t>Chez Zola</t>
  </si>
  <si>
    <t>Goltzstra√üe 7, Berlin, 10781</t>
  </si>
  <si>
    <t>https://www.wiezuhauseberlin.com/</t>
  </si>
  <si>
    <t>wiezuhauseberlin@gmail.com</t>
  </si>
  <si>
    <t>+49 30 28503044</t>
  </si>
  <si>
    <t>facebook: http://www.facebook.com/1568849046766541</t>
  </si>
  <si>
    <t>G√∂zleme</t>
  </si>
  <si>
    <t>Karl-Marx-Stra√üe 35, Berlin, 12043</t>
  </si>
  <si>
    <t>Zeus</t>
  </si>
  <si>
    <t>Achillesstra√üe 54, Berlin, 13125</t>
  </si>
  <si>
    <t>https://www.zeus-karow.de/</t>
  </si>
  <si>
    <t>info@zeus-karow.de</t>
  </si>
  <si>
    <t>+49 30 24355386</t>
  </si>
  <si>
    <t>facebook: https://www.facebook.com/Zeus-1590546711178583</t>
  </si>
  <si>
    <t>La Ronda</t>
  </si>
  <si>
    <t>Steglitzer Damm 90, Berlin, 12169</t>
  </si>
  <si>
    <t>+49 30 7968438</t>
  </si>
  <si>
    <t>Goldberg</t>
  </si>
  <si>
    <t>Reuterstra√üe 40, Berlin, 12047</t>
  </si>
  <si>
    <t>http://www.goldberg-bar.de/</t>
  </si>
  <si>
    <t>info@goldberg.de</t>
  </si>
  <si>
    <t>Don Sushi 7</t>
  </si>
  <si>
    <t>D√∂nhoffstra√üe 7, Berlin, 10318</t>
  </si>
  <si>
    <t>https://www.donsushi7.de</t>
  </si>
  <si>
    <t>B√∂hmischer Garten</t>
  </si>
  <si>
    <t>D√∂nhoffstra√üe 35a, Berlin, 10318</t>
  </si>
  <si>
    <t>https://www.boehmischer-garten.de/</t>
  </si>
  <si>
    <t>mail@boehmischer-garten.de</t>
  </si>
  <si>
    <t>+49 30 5088191</t>
  </si>
  <si>
    <t>facebook: https://www.facebook.com/bohmischergarten, instagram: https://www.instagram.com/restaurant.boehmischergarten/</t>
  </si>
  <si>
    <t>Gundelfinger</t>
  </si>
  <si>
    <t>Gundelfinger Stra√üe 52, Berlin, 10318</t>
  </si>
  <si>
    <t>https://www.restaurant-gundelfinger.de</t>
  </si>
  <si>
    <t>restaurant.gundelfinger@albatrosggmbh.de</t>
  </si>
  <si>
    <t>+49 30 50381537</t>
  </si>
  <si>
    <t>Asuka sushi</t>
  </si>
  <si>
    <t>Hello Vi·ªát Nam</t>
  </si>
  <si>
    <t>Gleimstra√üe 26, Berlin, 10437</t>
  </si>
  <si>
    <t>http://hello-vietnam-restaurant.de</t>
  </si>
  <si>
    <t>+49 30 4485556</t>
  </si>
  <si>
    <t>Hala Hala</t>
  </si>
  <si>
    <t>Gleimstra√üe 25</t>
  </si>
  <si>
    <t>+49 30 80497974</t>
  </si>
  <si>
    <t>Pantry</t>
  </si>
  <si>
    <t>Friedrichstra√üe 120, Berlin, 10117</t>
  </si>
  <si>
    <t>https://pantry-berlin.com/</t>
  </si>
  <si>
    <t>mail@pantry-berlin.com</t>
  </si>
  <si>
    <t>facebook: http://www.facebook.com/pages/PANTRY/199983773447814, instagram: https://www.instagram.com/explore/locations/12957324/pantry/?hl=de</t>
  </si>
  <si>
    <t>Lee</t>
  </si>
  <si>
    <t>Gro√üe Hamburger Stra√üe 21, Berlin, 10115</t>
  </si>
  <si>
    <t>Shiso Burger</t>
  </si>
  <si>
    <t>Auguststra√üe 29a-c, Berlin, 10119</t>
  </si>
  <si>
    <t>http://shisoburger.de/</t>
  </si>
  <si>
    <t>+49 30 88944687</t>
  </si>
  <si>
    <t>instagram: https://www.instagram.com/shisoburgerberlin/, linkedin: https://www.linkedin.com/company/shiso-burger/</t>
  </si>
  <si>
    <t>Polish Dainty</t>
  </si>
  <si>
    <t>Invalidenstra√üe 34, Berlin, 10115</t>
  </si>
  <si>
    <t>https://polishdaintysandjgmbh.de/</t>
  </si>
  <si>
    <t>+49 176 31185924</t>
  </si>
  <si>
    <t>Marubi</t>
  </si>
  <si>
    <t>Sch√∂nhauser Allee 187, Berlin, 10119</t>
  </si>
  <si>
    <t>https://www.marubi.eu/</t>
  </si>
  <si>
    <t>contact@marubi.eu</t>
  </si>
  <si>
    <t>instagram: https://www.instagram.com/eatatmarubi/</t>
  </si>
  <si>
    <t>Bei Radi</t>
  </si>
  <si>
    <t>Westphalweg 28, Berlin, 12109</t>
  </si>
  <si>
    <t>+49 30 7053905</t>
  </si>
  <si>
    <t>La Piazza</t>
  </si>
  <si>
    <t>Riegerzeile 1, Berlin, 12105</t>
  </si>
  <si>
    <t>https://www.lapiazza-restaurant.de/</t>
  </si>
  <si>
    <t>info@lapiazza-restaurant.de</t>
  </si>
  <si>
    <t>+49 30 70209005</t>
  </si>
  <si>
    <t>Bocca di Lupo</t>
  </si>
  <si>
    <t>Kurf√ºrstendamm 160, Berlin, 10709</t>
  </si>
  <si>
    <t>Steakhaus &amp; Pizzeria Angus</t>
  </si>
  <si>
    <t>Kreuzbergstra√üe, Berlin, 10965</t>
  </si>
  <si>
    <t>http://www.steakhausangus-berlin.de</t>
  </si>
  <si>
    <t>+49 30 7862742</t>
  </si>
  <si>
    <t>facebook: https://www.facebook.com/steakhausangusberlin, instagram: https://www.instagram.com/steakhaus_angus/, tiktok: https://www.tiktok.com/@angus.berlin</t>
  </si>
  <si>
    <t>Frieda Schlamassel</t>
  </si>
  <si>
    <t>Friedelstra√üe 31, Berlin, 12047</t>
  </si>
  <si>
    <t>https://www.frieda-schlamassel.de/</t>
  </si>
  <si>
    <t>Reservierung@Frieda-Schlamassel.de</t>
  </si>
  <si>
    <t>+49 30 35522787</t>
  </si>
  <si>
    <t>instagram: http://instagram.com/friedaschlamassel</t>
  </si>
  <si>
    <t>Hanoi Deli</t>
  </si>
  <si>
    <t>Kurf√ºrstendamm 161, Berlin, 10709</t>
  </si>
  <si>
    <t>https://www.hanoideli.de/hanoideli/</t>
  </si>
  <si>
    <t>+49 30 89540310</t>
  </si>
  <si>
    <t>Cafe do Brazil</t>
  </si>
  <si>
    <t>Dudenstra√üe 2, Berlin, 10965</t>
  </si>
  <si>
    <t>http://www.cafe-do-brasil.de/</t>
  </si>
  <si>
    <t>+49 30 780 06 887</t>
  </si>
  <si>
    <t>Cuernavaca</t>
  </si>
  <si>
    <t>Lichtenrader Damm 93, Berlin, 12305</t>
  </si>
  <si>
    <t>https://www.cuernavaca-berlin.de/</t>
  </si>
  <si>
    <t>cuernavaca-berlin@hotmail.de</t>
  </si>
  <si>
    <t>+49 30 76288153</t>
  </si>
  <si>
    <t>Song Lam 37</t>
  </si>
  <si>
    <t>Stromstra√üe 64, Berlin, 10555</t>
  </si>
  <si>
    <t>https://www.songlam37.de/</t>
  </si>
  <si>
    <t>mail@songlam37.de</t>
  </si>
  <si>
    <t>facebook: https://www.facebook.com/policy.php, instagram: https://www.instagram.com/songlam37.restaurant/</t>
  </si>
  <si>
    <t>Sanhok Wok &amp; Grill</t>
  </si>
  <si>
    <t>Hermannstra√üe 222, Berlin, 12049</t>
  </si>
  <si>
    <t>+49 30 84527336</t>
  </si>
  <si>
    <t>Taverna Apollon</t>
  </si>
  <si>
    <t>Danziger Stra√üe 72, Berlin, 10435</t>
  </si>
  <si>
    <t>https://www.taverna-apollon.de/</t>
  </si>
  <si>
    <t>+49 30 4426104</t>
  </si>
  <si>
    <t>Delizie D. ¬¥Italia</t>
  </si>
  <si>
    <t>Kollwitzstra√üe 100, Berlin, 10435</t>
  </si>
  <si>
    <t>http://www.delizieditalia.de/</t>
  </si>
  <si>
    <t>info@delizieditalia.de</t>
  </si>
  <si>
    <t>+49 30 48494977</t>
  </si>
  <si>
    <t>facebook: https://www.facebook.com/delizieberlin/</t>
  </si>
  <si>
    <t>gin sake</t>
  </si>
  <si>
    <t>Rykestra√üe 36</t>
  </si>
  <si>
    <t>Kim Mami</t>
  </si>
  <si>
    <t>Zabel-Kr√ºger-Damm 31, Berlin, 13469</t>
  </si>
  <si>
    <t>https://www.kimmami.de</t>
  </si>
  <si>
    <t>info@kimmami.de</t>
  </si>
  <si>
    <t>+49 30 99271880</t>
  </si>
  <si>
    <t>facebook: https://www.facebook.com/kimmami.restaurant, instagram: https://www.instagram.com/kimmami.berlin/</t>
  </si>
  <si>
    <t>Th√ºringer Stuben</t>
  </si>
  <si>
    <t>Stargarder Stra√üe 28, Berlin, 10437</t>
  </si>
  <si>
    <t>https://thueringer-stuben.de/</t>
  </si>
  <si>
    <t>+49 30 4463339</t>
  </si>
  <si>
    <t>facebook: https://www.facebook.com/Th%C3%BCringer-Stuben-143078749073569/?fref=ts</t>
  </si>
  <si>
    <t>Sofra Grill</t>
  </si>
  <si>
    <t>Breite Stra√üe 24, Berlin, 14199</t>
  </si>
  <si>
    <t>+49 176 47661102</t>
  </si>
  <si>
    <t>La Bandida</t>
  </si>
  <si>
    <t>Langhansstra√üe 144, Berlin, 13086</t>
  </si>
  <si>
    <t>Halil's Gem√ºsekebap</t>
  </si>
  <si>
    <t>Pizzeria Alte Forno</t>
  </si>
  <si>
    <t>Buckower Chaussee 161-162, Berlin, 12305</t>
  </si>
  <si>
    <t>https://il-forno-berlin.de/</t>
  </si>
  <si>
    <t>+49 30 74308280</t>
  </si>
  <si>
    <t>Pizza-Scheune</t>
  </si>
  <si>
    <t>Rosa-Luxemburg-Stra√üe 49</t>
  </si>
  <si>
    <t>Amba</t>
  </si>
  <si>
    <t>Hermannstra√üe 93, Berlin, 12051</t>
  </si>
  <si>
    <t>https://ambaberlin.de</t>
  </si>
  <si>
    <t>info@ambaberlin.deAdresse</t>
  </si>
  <si>
    <t>+49 30 6263986</t>
  </si>
  <si>
    <t>facebook: https://www.facebook.com/Amba-Restaurant-Berlin-101898531921625/, instagram: https://instagram.com/amba_berlin?igshid=YmMyMTA2M2Y=</t>
  </si>
  <si>
    <t>Noumi</t>
  </si>
  <si>
    <t>J√§gerstra√üe 35, Berlin, 10117</t>
  </si>
  <si>
    <t>https://noumi-noodles.com/</t>
  </si>
  <si>
    <t>contact@noumi-noodles.com</t>
  </si>
  <si>
    <t>+49 30 20649007</t>
  </si>
  <si>
    <t>Crosta</t>
  </si>
  <si>
    <t>Weinbergsweg 26, Berlin, 10119</t>
  </si>
  <si>
    <t>https://www.crosta.berlin/</t>
  </si>
  <si>
    <t>instagram: https://www.instagram.com/crosta.berlin, facebook: https://facebook.com/crosta.berlin</t>
  </si>
  <si>
    <t>Sch√§ferst√ºbchen</t>
  </si>
  <si>
    <t>Grindelwaldweg 2, Berlin, 13407</t>
  </si>
  <si>
    <t>http://www.schaefer-stuebchen.de</t>
  </si>
  <si>
    <t>+49 30 81869952</t>
  </si>
  <si>
    <t>Spice India</t>
  </si>
  <si>
    <t>Uhlandstra√üe 161, Berlin, 10719</t>
  </si>
  <si>
    <t>https://www.spiceindia.de/</t>
  </si>
  <si>
    <t>fancy BURGER</t>
  </si>
  <si>
    <t>Morsestra√üe, Berlin, 10587</t>
  </si>
  <si>
    <t>Murli Wale</t>
  </si>
  <si>
    <t>Hedwigstra√üe 5, Berlin, 12159</t>
  </si>
  <si>
    <t>https://murliwale.de/</t>
  </si>
  <si>
    <t>+49 30 85967527</t>
  </si>
  <si>
    <t>Trattoria √° Muntagnola</t>
  </si>
  <si>
    <t>Fuggerstra√üe 27, Berlin, 10777</t>
  </si>
  <si>
    <t>https://www.trattoria-muntagnola.de/</t>
  </si>
  <si>
    <t>+49 30 2116642</t>
  </si>
  <si>
    <t>Curry Junction</t>
  </si>
  <si>
    <t>Karl-Kunger-Stra√üe 18, Berlin, 12435</t>
  </si>
  <si>
    <t>Trattoria Romana</t>
  </si>
  <si>
    <t>Unter den Eichen 84D, Berlin, 12205</t>
  </si>
  <si>
    <t>https://trattoria-romana.eatbu.com</t>
  </si>
  <si>
    <t>info@trattoria-romana.de</t>
  </si>
  <si>
    <t>+49 30 83220741</t>
  </si>
  <si>
    <t>facebook: https://www.facebook.com/trattoriaromanaberlin/, instagram: https://www.instagram.com/trattoria_romana_berlin/?hl=de</t>
  </si>
  <si>
    <t>Monte Cristo</t>
  </si>
  <si>
    <t>Pitelli's</t>
  </si>
  <si>
    <t>Dickhardtstra√üe 27, Berlin, 12161</t>
  </si>
  <si>
    <t>Il Grano</t>
  </si>
  <si>
    <t>http://www.ilgrano.de/</t>
  </si>
  <si>
    <t>Elan</t>
  </si>
  <si>
    <t>Oberhofer Weg 21, Berlin, 12209</t>
  </si>
  <si>
    <t>https://www.elanrestaurant.de/</t>
  </si>
  <si>
    <t>+49 30 77329347</t>
  </si>
  <si>
    <t>La Malga</t>
  </si>
  <si>
    <t>M√ºhlengarten</t>
  </si>
  <si>
    <t>M√ºhlenstra√üe 17, Berlin, 14167</t>
  </si>
  <si>
    <t>https://muehlengarten-zehlendorf.de/</t>
  </si>
  <si>
    <t>mail@muehlengarten-zehlendorf.de</t>
  </si>
  <si>
    <t>+49 30 8111877</t>
  </si>
  <si>
    <t>Lisboa Bar am Boxi</t>
  </si>
  <si>
    <t>Krossener Stra√üe 20, Berlin, 10245</t>
  </si>
  <si>
    <t>https://www.lisboa-bar-berlin.de/</t>
  </si>
  <si>
    <t>Berlin030-93621978lisboa-bar-am-boxi@gmx.deKurzfristige</t>
  </si>
  <si>
    <t>+49 30 93621978</t>
  </si>
  <si>
    <t>facebook: https://www.facebook.com/Lisboa-Bar-am-Boxi-115538505135060/, instagram: https://www.instagram.com/lisboa_bar_am_boxi</t>
  </si>
  <si>
    <t>Zenner</t>
  </si>
  <si>
    <t>Alt-Treptow 14-17, Berlin, 12435</t>
  </si>
  <si>
    <t>https://zenner.berlin</t>
  </si>
  <si>
    <t>I Moirtifami</t>
  </si>
  <si>
    <t>Go√ülerstra√üe 10, Berlin, 12161</t>
  </si>
  <si>
    <t>+49 30 85401034</t>
  </si>
  <si>
    <t>Restaurant Gl√ºhwurm</t>
  </si>
  <si>
    <t>Handjerystra√üe 77, Berlin, 12159</t>
  </si>
  <si>
    <t>https://www.restaurant-gluehwurm.de/</t>
  </si>
  <si>
    <t>info@restaurant-gluehwurm.de</t>
  </si>
  <si>
    <t>+49 30 85102598</t>
  </si>
  <si>
    <t>Nori Sushi Bar</t>
  </si>
  <si>
    <t>Harzer Stra√üe 109, Berlin, 12435</t>
  </si>
  <si>
    <t>Katz Orange</t>
  </si>
  <si>
    <t>Bergstra√üe 22, Berlin, 10115</t>
  </si>
  <si>
    <t>https://www.katzorange.com/</t>
  </si>
  <si>
    <t>info@katzorange.com</t>
  </si>
  <si>
    <t>+49 30 983 208 430</t>
  </si>
  <si>
    <t>instagram: https://www.instagram.com/katzorange/</t>
  </si>
  <si>
    <t>Biergarten K√∂penicker Hof</t>
  </si>
  <si>
    <t>Stellingdamm 14-15, Berlin, 12555</t>
  </si>
  <si>
    <t>https://www.koepenicker-hof.de/</t>
  </si>
  <si>
    <t>info@koepenicker-hof.de</t>
  </si>
  <si>
    <t>+49 30 65015042</t>
  </si>
  <si>
    <t>facebook: https://www.facebook.com/biergartenkoepenick/</t>
  </si>
  <si>
    <t>√ñz Samsun</t>
  </si>
  <si>
    <t>Erkstra√üe 22, Berlin, 12043</t>
  </si>
  <si>
    <t>+49 30 68057804</t>
  </si>
  <si>
    <t>La Bolognina</t>
  </si>
  <si>
    <t>Donaustra√üe 107, Berlin, 12043</t>
  </si>
  <si>
    <t>http://www.labolognina.de</t>
  </si>
  <si>
    <t>kontakt@labolognina.de</t>
  </si>
  <si>
    <t>instagram: https://www.instagram.com/la_bolognina/</t>
  </si>
  <si>
    <t>Der Gaideck &amp; Sakura Sushi</t>
  </si>
  <si>
    <t>+49 30 4048017</t>
  </si>
  <si>
    <t>Avocado Club</t>
  </si>
  <si>
    <t>Taco Garden</t>
  </si>
  <si>
    <t>Oberfeldstra√üe 197, Berlin, 12683</t>
  </si>
  <si>
    <t>https://tacosgarden.de/</t>
  </si>
  <si>
    <t>+49 30 98465094</t>
  </si>
  <si>
    <t>Aldimashqi</t>
  </si>
  <si>
    <t>Reuterstra√üe 28, Berlin, 12047</t>
  </si>
  <si>
    <t>https://aldimashqi-resturant.de/</t>
  </si>
  <si>
    <t>info@aldimashqi-restaurant.de</t>
  </si>
  <si>
    <t>facebook: https://www.facebook.com/aldimashqi.azzam/?locale=ar_AR, instagram: https://www.instagram.com/aldimashqi_azzam/</t>
  </si>
  <si>
    <t>Latakia Snacks</t>
  </si>
  <si>
    <t>Krossener Stra√üe 35, Berlin, 10245</t>
  </si>
  <si>
    <t>Pizzeria da Peppe</t>
  </si>
  <si>
    <t>Falkenseer Chaussee 262, Berlin, 13583</t>
  </si>
  <si>
    <t>+49 30 43728209</t>
  </si>
  <si>
    <t>Gangnam Korean Chicken</t>
  </si>
  <si>
    <t>Nazarethkirchstra√üe 45, Berlin, 13347</t>
  </si>
  <si>
    <t>https://www.gangnamberlin.de</t>
  </si>
  <si>
    <t>gangnam.berlin@gmail.com</t>
  </si>
  <si>
    <t>+49 176 65692249</t>
  </si>
  <si>
    <t>facebook: https://www.facebook.com/Gangnam-Berlin-Korean-Chicken-Restaurant-110914260743058/, instagram: https://www.instagram.com/gangnam_chicken_berlin/</t>
  </si>
  <si>
    <t>Esszimmer</t>
  </si>
  <si>
    <t>Scharnhorststra√üe 28-29, Berlin, 10115</t>
  </si>
  <si>
    <t>http://esszimmer-berlin.de/</t>
  </si>
  <si>
    <t>tsch√º√º√ºsch - Vriends &amp; Cosy Comfort Food</t>
  </si>
  <si>
    <t>Fuldastra√üe 12, Berlin, 12045</t>
  </si>
  <si>
    <t>https://www.tschuesch.de/</t>
  </si>
  <si>
    <t>cafe@tschuesch.de</t>
  </si>
  <si>
    <t>+49 30 54484414</t>
  </si>
  <si>
    <t>Koi 56</t>
  </si>
  <si>
    <t>Kollwitzstra√üe 56, Berlin, 10405</t>
  </si>
  <si>
    <t>Zola</t>
  </si>
  <si>
    <t>Paul-Lincke-Ufer 39/40, Berlin, 10999</t>
  </si>
  <si>
    <t>+49 30 27695938</t>
  </si>
  <si>
    <t>Noki Asiatische Spezialit√§ten</t>
  </si>
  <si>
    <t>M√ºggelheimer Damm 235, Berlin, 12559</t>
  </si>
  <si>
    <t>https://www.restaurant-noki.de/</t>
  </si>
  <si>
    <t>mail@nguyenimbiss.de</t>
  </si>
  <si>
    <t>+49 30 61795088</t>
  </si>
  <si>
    <t>PapaAri</t>
  </si>
  <si>
    <t>Puderstra√üe 8, Berlin, 12435</t>
  </si>
  <si>
    <t>https://www.papaari-berlin.de/</t>
  </si>
  <si>
    <t>Komb√ºse</t>
  </si>
  <si>
    <t>M√ºggelseedamm 70, Berlin, 12587</t>
  </si>
  <si>
    <t>http://komb√ºse.berlin</t>
  </si>
  <si>
    <t>ahoi@kombuese.berlin</t>
  </si>
  <si>
    <t>Tinh Co</t>
  </si>
  <si>
    <t>Bahnhofstra√üe 7, Berlin, 12555</t>
  </si>
  <si>
    <t>Huong Lua</t>
  </si>
  <si>
    <t>Charlottenstra√üe 76, Berlin, 10117</t>
  </si>
  <si>
    <t>https://huongluaberlin.eatbu.com/</t>
  </si>
  <si>
    <t>info@huonglua.de</t>
  </si>
  <si>
    <t>+49 30 850 71 792</t>
  </si>
  <si>
    <t>facebook: https://www.facebook.com/huongluaberlin/</t>
  </si>
  <si>
    <t>Mare e Monti</t>
  </si>
  <si>
    <t>Bismarckstra√üe 3, Berlin, 12157</t>
  </si>
  <si>
    <t>+49 30 978 63 907</t>
  </si>
  <si>
    <t>Family Qu√°n</t>
  </si>
  <si>
    <t>Wildenbruchstra√üe 5, Berlin, 12045</t>
  </si>
  <si>
    <t>+49 30 35305767</t>
  </si>
  <si>
    <t>UP PIZZA</t>
  </si>
  <si>
    <t>Emser Stra√üe 23, Berlin, 12051</t>
  </si>
  <si>
    <t>http://wpizza.de</t>
  </si>
  <si>
    <t>hello@wpizza.de</t>
  </si>
  <si>
    <t>+49 30 98370564</t>
  </si>
  <si>
    <t>instagram: https://www.instagram.com/wpizzaberlin/</t>
  </si>
  <si>
    <t>leo e pepe</t>
  </si>
  <si>
    <t>Binzstra√üe 16, Berlin, 13189</t>
  </si>
  <si>
    <t>https://www.leoepepe.de/</t>
  </si>
  <si>
    <t>ristorante@leoepepe.deMitglied</t>
  </si>
  <si>
    <t>+49 30 47370900</t>
  </si>
  <si>
    <t>instagram: https://www.instagram.com/leoepepe</t>
  </si>
  <si>
    <t>Hugo &amp; Notte</t>
  </si>
  <si>
    <t>https://hugo-und-notte.de/</t>
  </si>
  <si>
    <t>hugo-und-notte@besondere-orte.com</t>
  </si>
  <si>
    <t>+49 30 5268021730</t>
  </si>
  <si>
    <t>Rudower Stuben</t>
  </si>
  <si>
    <t>Prierosser Stra√üe 31, Berlin, 12357</t>
  </si>
  <si>
    <t>+49 30 6633031</t>
  </si>
  <si>
    <t>Serio</t>
  </si>
  <si>
    <t>Tegeler Stra√üe 23, Berlin, 13353</t>
  </si>
  <si>
    <t>Chicken Club</t>
  </si>
  <si>
    <t>Hauptstra√üe 154</t>
  </si>
  <si>
    <t>+49 30 84423725</t>
  </si>
  <si>
    <t>Belluno</t>
  </si>
  <si>
    <t>Hohenzollernplatz 3, Berlin, 14129</t>
  </si>
  <si>
    <t>Saporito</t>
  </si>
  <si>
    <t>Lehmofen</t>
  </si>
  <si>
    <t>https://restaurant-lehmofen-berlin.de/</t>
  </si>
  <si>
    <t>info@restaurant-lehmofen-berlin.de</t>
  </si>
  <si>
    <t>+49 30 6557044</t>
  </si>
  <si>
    <t>Fino</t>
  </si>
  <si>
    <t>info@restaurantfino.de</t>
  </si>
  <si>
    <t>REDSdeli</t>
  </si>
  <si>
    <t>Kreuzbergstra√üe 10, Berlin, 10965</t>
  </si>
  <si>
    <t>+49 30 89203407</t>
  </si>
  <si>
    <t>Nudelbude</t>
  </si>
  <si>
    <t>Weichselstra√üe 64, Berlin, 12043</t>
  </si>
  <si>
    <t>http://www.nudelbude-berlin.de/</t>
  </si>
  <si>
    <t>info@nudelbude-berlin.de</t>
  </si>
  <si>
    <t>+49 30 81409249</t>
  </si>
  <si>
    <t>Domaines</t>
  </si>
  <si>
    <t>Josef-Nawrocki-Stra√üe 22</t>
  </si>
  <si>
    <t>http://www.domaines-berlin.de</t>
  </si>
  <si>
    <t>info@domaines-berlin.de</t>
  </si>
  <si>
    <t>+49 30 64091879</t>
  </si>
  <si>
    <t>facebook: https://www.facebook.com/Domaines.Berlin</t>
  </si>
  <si>
    <t>Delhi 6</t>
  </si>
  <si>
    <t>Friedrichstra√üe 237, Berlin, 10969</t>
  </si>
  <si>
    <t>https://delhi6.de/</t>
  </si>
  <si>
    <t>+49 30 2516775</t>
  </si>
  <si>
    <t>Buchholz Gutshof Britz</t>
  </si>
  <si>
    <t>Alt-Britz 61, Berlin, 12359</t>
  </si>
  <si>
    <t>https://www.matthias-buchholz.de/</t>
  </si>
  <si>
    <t>buchholz-gutshof-britz@t-online.de</t>
  </si>
  <si>
    <t>+49 30 60034607</t>
  </si>
  <si>
    <t>instagram: https://www.instagram.com/buchholzgutshofbritz?igsh=ZDVrM3pxamtwd2ln, facebook: https://www.facebook.com/p/Buchholz-Gutshof-Britz-100064040467651/</t>
  </si>
  <si>
    <t>Jeta Ime</t>
  </si>
  <si>
    <t>Richard-Sorge-Stra√üe 25, Berlin, 10249</t>
  </si>
  <si>
    <t>https://jetaime-Berlin.de</t>
  </si>
  <si>
    <t>+49 1520 2078223</t>
  </si>
  <si>
    <t>instagram: https://www.instagram.com/jeta.ime_berlin/</t>
  </si>
  <si>
    <t>Miss Phuong</t>
  </si>
  <si>
    <t>Prenzlauer Allee 226, 10405</t>
  </si>
  <si>
    <t>https://missphuong.de/</t>
  </si>
  <si>
    <t>kontakt@sytu-vietfood.de</t>
  </si>
  <si>
    <t>+49 30 50 17 64 35</t>
  </si>
  <si>
    <t>Steakhaus Stampedo</t>
  </si>
  <si>
    <t>Friedrich-Engels-Stra√üe 44, Berlin, 13156</t>
  </si>
  <si>
    <t>https://www.stampedo.de/</t>
  </si>
  <si>
    <t>+49 30 47755658</t>
  </si>
  <si>
    <t>Karun</t>
  </si>
  <si>
    <t>Pestalozzistra√üe 29, Berlin, 10627</t>
  </si>
  <si>
    <t>The Pasta Room</t>
  </si>
  <si>
    <t>Pestalozzistra√üe 26, Berlin, 10627</t>
  </si>
  <si>
    <t>Frida&amp;Diego</t>
  </si>
  <si>
    <t>Fuggerstra√üe 28, Berlin, 10777</t>
  </si>
  <si>
    <t>Ceylon Bay</t>
  </si>
  <si>
    <t>Fuggerstra√üe 20, Berlin, 10777</t>
  </si>
  <si>
    <t>C√¥Wei</t>
  </si>
  <si>
    <t>http://www.cowei-berlin.de/</t>
  </si>
  <si>
    <t>info@cowei-berlin.de</t>
  </si>
  <si>
    <t>+49 30 60051647</t>
  </si>
  <si>
    <t>facebook: https://www.facebook.com/coweiberlin, instagram: https://www.instagram.com/cowei_restaurant/, tiktok: https://www.tiktok.com/@cowei.restaurant</t>
  </si>
  <si>
    <t>Caytre</t>
  </si>
  <si>
    <t>Zum Bayernmichel</t>
  </si>
  <si>
    <t>Bornholmer Stra√üe 87, Berlin, 10439</t>
  </si>
  <si>
    <t>http://www.bayernmichel.de/</t>
  </si>
  <si>
    <t>Itarei</t>
  </si>
  <si>
    <t>Kollwitzstra√üe 89, Berlin, 10435</t>
  </si>
  <si>
    <t>Asia Nguyen</t>
  </si>
  <si>
    <t>Berlin, 12459</t>
  </si>
  <si>
    <t>Aarna Devi</t>
  </si>
  <si>
    <t>Westf√§lische Stra√üe 72a, Berlin, 10709</t>
  </si>
  <si>
    <t>Spree 105c</t>
  </si>
  <si>
    <t>Friedrichstra√üe 105c</t>
  </si>
  <si>
    <t>+49 30 39716654</t>
  </si>
  <si>
    <t>Umai Izakaya</t>
  </si>
  <si>
    <t>Wrangelstra√üe 54, Berlin, 10997</t>
  </si>
  <si>
    <t>https://www.umai-restaurant-berlin.de</t>
  </si>
  <si>
    <t>lethinam1006@gmail.com</t>
  </si>
  <si>
    <t>+49 176 40151376</t>
  </si>
  <si>
    <t>facebook: https://www.facebook.com/umai.berlin, instagram: https://www.instagram.com/umai.berlin</t>
  </si>
  <si>
    <t>Tossakan</t>
  </si>
  <si>
    <t>Schliemannstra√üe 16, Berlin, 10437</t>
  </si>
  <si>
    <t>https://tossakan-berlin.de/</t>
  </si>
  <si>
    <t>+49 30 81477638</t>
  </si>
  <si>
    <t>instagram: https://www.instagram.com/chef_don_santanaviboon/reels/?hl=am-et</t>
  </si>
  <si>
    <t>Bun</t>
  </si>
  <si>
    <t>Julie-Wolfthorn-Stra√üe 1, Berlin, 10115</t>
  </si>
  <si>
    <t>Gr√ºne Lampe</t>
  </si>
  <si>
    <t>Uhlandstra√üe 51, Berlin, 10719</t>
  </si>
  <si>
    <t>https://www.gruenelampe.de</t>
  </si>
  <si>
    <t>+49 30 88719393</t>
  </si>
  <si>
    <t>All About</t>
  </si>
  <si>
    <t>Uhlandstra√üe 52, Berlin, 10719</t>
  </si>
  <si>
    <t>https://www.allabout.cafe/</t>
  </si>
  <si>
    <t>Berlinaa_eastberlin@yahoo.com</t>
  </si>
  <si>
    <t>+49 176 47113377</t>
  </si>
  <si>
    <t>instagram: https://www.instagram.com/allaboutcafeberlin/profilecard/?igsh=MWVtendlYXM2aWRnbg==, tiktok: https://www.tiktok.com/@allaboutberlin</t>
  </si>
  <si>
    <t>Saigon new</t>
  </si>
  <si>
    <t>+49 30 78891331</t>
  </si>
  <si>
    <t>La Stella</t>
  </si>
  <si>
    <t>H√∂nower Stra√üe 14a, Berlin, 12623</t>
  </si>
  <si>
    <t>https://la-stalla.berlin/</t>
  </si>
  <si>
    <t>info@lastalla.de</t>
  </si>
  <si>
    <t>+49 30 53018020</t>
  </si>
  <si>
    <t>St. Michaels Restaurant</t>
  </si>
  <si>
    <t>Nonne und Zwerg</t>
  </si>
  <si>
    <t>Mittenwalder Stra√üe 13, Berlin, 10961</t>
  </si>
  <si>
    <t>https://www.facebook.com/nonneundzwerg/</t>
  </si>
  <si>
    <t>info@nonneundzwerg.com</t>
  </si>
  <si>
    <t>+49 30 50569125</t>
  </si>
  <si>
    <t>World of Pizza</t>
  </si>
  <si>
    <t>Seydelstra√üe 18, Berlin, 10117</t>
  </si>
  <si>
    <t>https://www.world-of-pizza.de/#berlin-mitte</t>
  </si>
  <si>
    <t>+49 30 40044474</t>
  </si>
  <si>
    <t>instagram: https://www.instagram.com/worldofpizza.de/?hl=de</t>
  </si>
  <si>
    <t>Ayhan's K√ºche</t>
  </si>
  <si>
    <t>Note del Gusto</t>
  </si>
  <si>
    <t>Sophie-Charlotte-Stra√üe 29, Berlin, 14169</t>
  </si>
  <si>
    <t>https://www.note-delgusto.de/</t>
  </si>
  <si>
    <t>info@note-delgusto.de</t>
  </si>
  <si>
    <t>+49 30 91465738</t>
  </si>
  <si>
    <t>instagram: https://www.instagram.com/notedelgusto/</t>
  </si>
  <si>
    <t>Hafenklause</t>
  </si>
  <si>
    <t>Wendenschlo√üstra√üe 390, Berlin, 12557</t>
  </si>
  <si>
    <t>https://www.sc-brise.de/hafenklause/</t>
  </si>
  <si>
    <t>Boccacelli</t>
  </si>
  <si>
    <t>Winterfeldtstra√üe 34, Berlin, 10781</t>
  </si>
  <si>
    <t>+49 30 219171111</t>
  </si>
  <si>
    <t>Stachelbeere</t>
  </si>
  <si>
    <t>Boltes Steakhaus</t>
  </si>
  <si>
    <t>Propststra√üe 1, Berlin, 10178</t>
  </si>
  <si>
    <t>https://www.boltes-steakhaus.de/</t>
  </si>
  <si>
    <t>info@boltes-steakhaus.de</t>
  </si>
  <si>
    <t>+49 30 20215050</t>
  </si>
  <si>
    <t>facebook: https://www.facebook.com/BoltesSteakhaus/</t>
  </si>
  <si>
    <t>Zum Nu√übaum</t>
  </si>
  <si>
    <t>Am Nu√übaum 3, Berlin, 10178</t>
  </si>
  <si>
    <t>+49 30 2423095</t>
  </si>
  <si>
    <t>Barist</t>
  </si>
  <si>
    <t>Am Zwirngraben 13-15, Berlin, 10178</t>
  </si>
  <si>
    <t>https://www.barist.de/</t>
  </si>
  <si>
    <t>restaurant@barist.de</t>
  </si>
  <si>
    <t>facebook: https://www.facebook.com/baristrestaurant, instagram: https://www.instagram.com/baristrestaurantgelateria/</t>
  </si>
  <si>
    <t>Restauration 1840</t>
  </si>
  <si>
    <t>Am Zwirngraben 8-10, Berlin, 10178</t>
  </si>
  <si>
    <t>https://www.berlin-1840.de/</t>
  </si>
  <si>
    <t>post@berlin-1840.de</t>
  </si>
  <si>
    <t>+49 30 24727401</t>
  </si>
  <si>
    <t>facebook: https://www.facebook.com/profile.php?id=61581758698668, instagram: https://www.instagram.com/restauration1840/, tiktok: https://www.tiktok.com/@1840restauration</t>
  </si>
  <si>
    <t>Jolly</t>
  </si>
  <si>
    <t>Am Kupfergraben 4</t>
  </si>
  <si>
    <t>https://www.restaurant-jolly.de/</t>
  </si>
  <si>
    <t>service@restaurant-jolly.de</t>
  </si>
  <si>
    <t>+49 30 200 59500</t>
  </si>
  <si>
    <t>Umami Mitte</t>
  </si>
  <si>
    <t>Friedrichstra√üe 30, Berlin, 10969</t>
  </si>
  <si>
    <t>Dioklecijan</t>
  </si>
  <si>
    <t>Pionierstra√üe 51, Berlin, 13589</t>
  </si>
  <si>
    <t>http://www.dioklecijan-split.de</t>
  </si>
  <si>
    <t>+49 30 74730909</t>
  </si>
  <si>
    <t>Emma Pea</t>
  </si>
  <si>
    <t>Revaler Stra√üe 99, Berlin, 10245</t>
  </si>
  <si>
    <t>https://emmapea.com</t>
  </si>
  <si>
    <t>info@emmapea.com</t>
  </si>
  <si>
    <t>+49 163 688 2940</t>
  </si>
  <si>
    <t>facebook: https://www.facebook.com/emmapeaberlin, instagram: https://www.instagram.com/emmapea_berlin/</t>
  </si>
  <si>
    <t>Spreegold</t>
  </si>
  <si>
    <t>Rosa-Luxemburg-Stra√üe 2</t>
  </si>
  <si>
    <t>https://www.spreegold.com/</t>
  </si>
  <si>
    <t>facebook: https://www.facebook.com/spreegold, twitter: https://twitter.com/spreegoldberlin, instagram: https://www.instagram.com/spreegold.berlin</t>
  </si>
  <si>
    <t>Landwirt</t>
  </si>
  <si>
    <t>Regensburger Stra√üe 7, Berlin, 10777</t>
  </si>
  <si>
    <t>https://www.landwirt-berlin.de/</t>
  </si>
  <si>
    <t>P-Fresh</t>
  </si>
  <si>
    <t>Breite Stra√üe 7, Berlin, 13187</t>
  </si>
  <si>
    <t>https://www.p-fresh.net/</t>
  </si>
  <si>
    <t>contact@p-fresh.net</t>
  </si>
  <si>
    <t>Zum Nudelholz</t>
  </si>
  <si>
    <t>Falkenberger Stra√üe 37a, Berlin, 13088</t>
  </si>
  <si>
    <t>+49 30 9252507</t>
  </si>
  <si>
    <t>Palermo</t>
  </si>
  <si>
    <t>Falkenberger Stra√üe 160, Berlin, 13088</t>
  </si>
  <si>
    <t>+49 30 76958567</t>
  </si>
  <si>
    <t>Bab &amp; Kimchi Korean Restaurant</t>
  </si>
  <si>
    <t>Berliner Stra√üe 67, Berlin, 14169</t>
  </si>
  <si>
    <t>Gasthaus Rustikal</t>
  </si>
  <si>
    <t>Teja</t>
  </si>
  <si>
    <t>Lepsiusstra√üe 69, Berlin, 12163</t>
  </si>
  <si>
    <t>https://teja.berlin/</t>
  </si>
  <si>
    <t>+49 30 797 89 895</t>
  </si>
  <si>
    <t>Asia light</t>
  </si>
  <si>
    <t>http://www.asialight.de/</t>
  </si>
  <si>
    <t>nngocthanh96@yahoo.com</t>
  </si>
  <si>
    <t>+49 30 84186394</t>
  </si>
  <si>
    <t>Restaurant Paracas II</t>
  </si>
  <si>
    <t>Friedrichstra√üe 12, Berlin, 10969</t>
  </si>
  <si>
    <t>+49 30 25 29 42 66</t>
  </si>
  <si>
    <t>Huushuur House</t>
  </si>
  <si>
    <t>Boxhagener Stra√üe 68, Berlin, 10245</t>
  </si>
  <si>
    <t>Tomasa</t>
  </si>
  <si>
    <t>Friedrich-Wilhelm-Platz 14, Berlin, 12161</t>
  </si>
  <si>
    <t>http://www.tomasa.de/</t>
  </si>
  <si>
    <t>+49 30 81009600</t>
  </si>
  <si>
    <t>facebook: https://www.facebook.com/Tomasa-Restaurants-170929436288621/?fref=ts, instagram: http://instagram.com/tomasa_living</t>
  </si>
  <si>
    <t>Supreme Burger Grill &amp; Bar</t>
  </si>
  <si>
    <t>Oranienburger Stra√üe 26, Berlin, 10117</t>
  </si>
  <si>
    <t>https://www.supremeberlin.de/</t>
  </si>
  <si>
    <t>info@upperburgergrill.com</t>
  </si>
  <si>
    <t>+49 30 27874714</t>
  </si>
  <si>
    <t>facebook: https://www.facebook.com/supremeburgerberlin/, instagram: https://www.instagram.com/supremeburgerberlin</t>
  </si>
  <si>
    <t>Kan'Koa</t>
  </si>
  <si>
    <t>Oranienburger Stra√üe 17, Berlin, 10178</t>
  </si>
  <si>
    <t>https://www.kan-koa.de/</t>
  </si>
  <si>
    <t>info@kan-koa.de</t>
  </si>
  <si>
    <t>+49 30 28384898</t>
  </si>
  <si>
    <t>facebook: https://www.facebook.com/kankoaberlin, instagram: https://www.instagram.com/kan.koa.restaurant/</t>
  </si>
  <si>
    <t>Suppeto</t>
  </si>
  <si>
    <t>Krausnickstra√üe 11, Berlin, 10115</t>
  </si>
  <si>
    <t>beets&amp;roots</t>
  </si>
  <si>
    <t>Gro√üe Hamburger Stra√üe 38, Berlin, 10115</t>
  </si>
  <si>
    <t>https://www.beetsandroots.de/</t>
  </si>
  <si>
    <t>contact@beetsandroots.de</t>
  </si>
  <si>
    <t>Pinci</t>
  </si>
  <si>
    <t>Gro√üe Hamburger Stra√üe 43, Berlin, 10115</t>
  </si>
  <si>
    <t>Saveur de B√°nh M√¨</t>
  </si>
  <si>
    <t>Oranienburger Stra√üe 86, Berlin, 10178</t>
  </si>
  <si>
    <t>http://saveur-banhmi.com</t>
  </si>
  <si>
    <t>info@saveur-banhmi.com</t>
  </si>
  <si>
    <t>Quy Nguyen Vegan Living</t>
  </si>
  <si>
    <t>Oranienburger Stra√üe 7, Berlin, 10178</t>
  </si>
  <si>
    <t>+49 30 2828995</t>
  </si>
  <si>
    <t>Trattoria Siciliana</t>
  </si>
  <si>
    <t>Bergstra√üe 7, Berlin, 12169</t>
  </si>
  <si>
    <t>https://www.trattoria-siciliana-berlin.de/trattoria-siciliana-berlin.de/index.html</t>
  </si>
  <si>
    <t>+4930 49209716</t>
  </si>
  <si>
    <t>Milano Vice</t>
  </si>
  <si>
    <t>Krossener Stra√üe 12, Berlin, 10245</t>
  </si>
  <si>
    <t>Pepe Nero</t>
  </si>
  <si>
    <t>B√∂tzowstra√üe 30, Berlin</t>
  </si>
  <si>
    <t>+49 30 63968298</t>
  </si>
  <si>
    <t>Mitteleuropa</t>
  </si>
  <si>
    <t>Regina-Jonas-Stra√üe 2, Berlin, 10999</t>
  </si>
  <si>
    <t>http://www.mitteleuropa-berlin.de</t>
  </si>
  <si>
    <t>+49 178 8605688</t>
  </si>
  <si>
    <t>City Chicken</t>
  </si>
  <si>
    <t>Tempelhofer Damm 149, Berlin, 12099</t>
  </si>
  <si>
    <t>http://www.citychicken-berlin.de/</t>
  </si>
  <si>
    <t>+49 30 756 879 99</t>
  </si>
  <si>
    <t>Agni</t>
  </si>
  <si>
    <t>Kaiserin-Augusta-Allee 1, Berlin, 10553</t>
  </si>
  <si>
    <t>http://www.restaurant-agni.de/</t>
  </si>
  <si>
    <t>+49 176 49220550</t>
  </si>
  <si>
    <t>Winterfeld</t>
  </si>
  <si>
    <t>Winterfeldtstra√üe 58, Berlin, 10781</t>
  </si>
  <si>
    <t>http://winterfeld-berlin.de</t>
  </si>
  <si>
    <t>+49 30 26075547</t>
  </si>
  <si>
    <t>Maharaja</t>
  </si>
  <si>
    <t>Goltzstra√üe 20, Berlin, 10781</t>
  </si>
  <si>
    <t>Wirtshaus Heuberger</t>
  </si>
  <si>
    <t>Gotenstra√üe 1, Berlin, 10829</t>
  </si>
  <si>
    <t>http://wirtshaus-heuberger.de/</t>
  </si>
  <si>
    <t>reservierung@wirtshaus-heuberger.de</t>
  </si>
  <si>
    <t>+49 30 78957337</t>
  </si>
  <si>
    <t>facebook: https://www.facebook.com/Wirtshaus-Heuberger-124355304366189/</t>
  </si>
  <si>
    <t>Platform 68</t>
  </si>
  <si>
    <t>Birkenstra√üe 44, Berlin, 10551</t>
  </si>
  <si>
    <t>https://www.platform68.de/</t>
  </si>
  <si>
    <t>platform68.berlin@gmail.com</t>
  </si>
  <si>
    <t>+49 30 65942018</t>
  </si>
  <si>
    <t>facebook: https://www.facebook.com/platform68.berlin, instagram: https://www.instagram.com/platform68.berlin/</t>
  </si>
  <si>
    <t>Pho 1977</t>
  </si>
  <si>
    <t>Gastst√§tte Bolivar</t>
  </si>
  <si>
    <t>Phoenica</t>
  </si>
  <si>
    <t>Olivaer Platz 15, Berlin, 10707</t>
  </si>
  <si>
    <t>https://restaurant-phoenicia.de/</t>
  </si>
  <si>
    <t>+49 30 88916666</t>
  </si>
  <si>
    <t>The Taste of Beef and Seafood</t>
  </si>
  <si>
    <t>Olivaer Platz 16, Berlin, 10707</t>
  </si>
  <si>
    <t>Sagano</t>
  </si>
  <si>
    <t>Kurf√ºrstendamm 182, Berlin, 10707</t>
  </si>
  <si>
    <t>https://sagano.de/</t>
  </si>
  <si>
    <t>mail@sagano.de</t>
  </si>
  <si>
    <t>+49 30 23 88 59 38</t>
  </si>
  <si>
    <t>facebook: https://www.facebook.com/Sagano.Berlin/, instagram: https://www.instagram.com/saganoberlin/</t>
  </si>
  <si>
    <t>Rummy's Restaurant</t>
  </si>
  <si>
    <t>Lietzenburger Stra√üe 98, Berlin, 10719</t>
  </si>
  <si>
    <t>Marooush</t>
  </si>
  <si>
    <t>Knesebeckstra√üe 48, Berlin, 10719</t>
  </si>
  <si>
    <t>https://www.marooush.de/</t>
  </si>
  <si>
    <t>info@marooush.de</t>
  </si>
  <si>
    <t>+49 30 887118335</t>
  </si>
  <si>
    <t>facebook: https://www.facebook.com/Marooush.Berlin/, instagram: https://www.instagram.com/marooush.berlin/</t>
  </si>
  <si>
    <t>Let's Go Sylt</t>
  </si>
  <si>
    <t>Kurf√ºrstendamm 212, Berlin, 10719</t>
  </si>
  <si>
    <t>http://www.letsgosylt-berlin.de/</t>
  </si>
  <si>
    <t>info@letsgosylt.de</t>
  </si>
  <si>
    <t>Schildkr√∂te</t>
  </si>
  <si>
    <t>https://www.restaurant-schildkroete.de/</t>
  </si>
  <si>
    <t>info@restaurant-schildkroete.de</t>
  </si>
  <si>
    <t>+49 30 8816770</t>
  </si>
  <si>
    <t>H√ºftengold</t>
  </si>
  <si>
    <t>Oderberger Stra√üe 27, Berlin, 10435</t>
  </si>
  <si>
    <t>https://www.hueftengold.com/</t>
  </si>
  <si>
    <t>Ho Lin Wah</t>
  </si>
  <si>
    <t>Diekmann</t>
  </si>
  <si>
    <t>Meinekestra√üe 7, Berlin, 10719</t>
  </si>
  <si>
    <t>https://diekmann-restaurant.de/</t>
  </si>
  <si>
    <t>meineke@diekmann-restaurant.de</t>
  </si>
  <si>
    <t>+49 30 883 33 21</t>
  </si>
  <si>
    <t>facebook: https://www.facebook.com/diekmann.restaurant/, instagram: https://www.instagram.com/diekmann_restaurant/</t>
  </si>
  <si>
    <t>Gasthaus Krombach</t>
  </si>
  <si>
    <t>Meinekestra√üe 4, Berlin, 10719</t>
  </si>
  <si>
    <t>https://www.gasthaus-krombach.de/</t>
  </si>
  <si>
    <t>gasthauskrombach@googlemail.com</t>
  </si>
  <si>
    <t>+49 30 8818602</t>
  </si>
  <si>
    <t>El Colmado</t>
  </si>
  <si>
    <t>Joachimsthaler Stra√üe 10, Berlin, 10719</t>
  </si>
  <si>
    <t>https://elcolmado.de</t>
  </si>
  <si>
    <t>+49 30 44017727</t>
  </si>
  <si>
    <t>Roji</t>
  </si>
  <si>
    <t>Oderberger Stra√üe 11, Berlin, 10435</t>
  </si>
  <si>
    <t>https://prenzlauerberg.roji-berlin.de/</t>
  </si>
  <si>
    <t>info@prenzlauerberg.roji-berlin.de</t>
  </si>
  <si>
    <t>+49 30 49988820</t>
  </si>
  <si>
    <t>Yama</t>
  </si>
  <si>
    <t>Marienburger Stra√üe 48, Berlin, 10405</t>
  </si>
  <si>
    <t>http://www.restaurant-yama.de/</t>
  </si>
  <si>
    <t>+49 30 44 04 57 06</t>
  </si>
  <si>
    <t>Landhaus Hubertus</t>
  </si>
  <si>
    <t>Invalidensiedlung 46, Berlin, 13465</t>
  </si>
  <si>
    <t>https://www.landhaushubertus.com/</t>
  </si>
  <si>
    <t>info@landhaushubertus.com</t>
  </si>
  <si>
    <t>+49 30 4011746</t>
  </si>
  <si>
    <t>facebook: https://www.facebook.com/landhaushubertusberlin, instagram: https://www.instagram.com/landhaushubertus/</t>
  </si>
  <si>
    <t>S√ºdOstAsien</t>
  </si>
  <si>
    <t>B√∂lschestra√üe 126, Berlin, 12587</t>
  </si>
  <si>
    <t>https://suedostasien-berlin.de</t>
  </si>
  <si>
    <t>Kushinoya</t>
  </si>
  <si>
    <t>Bleibtreustra√üe 6, Berlin, 10623</t>
  </si>
  <si>
    <t>http://www.kushinoya.de</t>
  </si>
  <si>
    <t>+49 30 31809897</t>
  </si>
  <si>
    <t>instagram: https://www.instagram.com/kushinoya_berlin/</t>
  </si>
  <si>
    <t>La Petite V√©ganerie</t>
  </si>
  <si>
    <t>Falckensteinstra√üe 37, Berlin, 10997</t>
  </si>
  <si>
    <t>https://www.la-petite-veganerie.de/kopie-von-start</t>
  </si>
  <si>
    <t>maria@mariamariamaria.com</t>
  </si>
  <si>
    <t>+49 30 21449487</t>
  </si>
  <si>
    <t>DOAN</t>
  </si>
  <si>
    <t>Hallerstra√üe 28, Berlin, 10587</t>
  </si>
  <si>
    <t>+49 176 43345689</t>
  </si>
  <si>
    <t>Mardia</t>
  </si>
  <si>
    <t>Bundesallee 181, Berlin, 10717</t>
  </si>
  <si>
    <t>Da Giorgio</t>
  </si>
  <si>
    <t>Uhlandstra√üe 153, Berlin, 10719</t>
  </si>
  <si>
    <t>http://www.dagiorgio-berlin.com/</t>
  </si>
  <si>
    <t>kontakt@dagiorgio-berlin.com</t>
  </si>
  <si>
    <t>+49 30 64825708</t>
  </si>
  <si>
    <t>I-Ke-Su</t>
  </si>
  <si>
    <t>Uhlandstra√üe 157, Berlin, 10719</t>
  </si>
  <si>
    <t>https://www.ikesu.de/</t>
  </si>
  <si>
    <t>facebook: https://www.facebook.com/ikesu.sushi/, instagram: https://www.instagram.com/ikesu.restaurant/</t>
  </si>
  <si>
    <t>Mutzenbacher</t>
  </si>
  <si>
    <t>Libauer Stra√üe 11, Berlin, 10245</t>
  </si>
  <si>
    <t>http://mutzenbacher-berlin.de/#restaurant</t>
  </si>
  <si>
    <t>info@mutzenbacher-berlin.de</t>
  </si>
  <si>
    <t>+49 30 95616788</t>
  </si>
  <si>
    <t>Bellas Artes</t>
  </si>
  <si>
    <t>Pfalzburger Stra√üe 72a, Berlin, 10719</t>
  </si>
  <si>
    <t>http://www.bellas-artes.de/</t>
  </si>
  <si>
    <t>Mkhunaa</t>
  </si>
  <si>
    <t>Pfalzburger Stra√üe 83, Berlin, 10719</t>
  </si>
  <si>
    <t>https://www.mkhunaa.com/</t>
  </si>
  <si>
    <t>+49 30 55079898</t>
  </si>
  <si>
    <t>Route 66 Diner</t>
  </si>
  <si>
    <t>Pariser Stra√üe 44, Berlin, 10707</t>
  </si>
  <si>
    <t>http://www.route66diner.de</t>
  </si>
  <si>
    <t>+49 30 8831602</t>
  </si>
  <si>
    <t>facebook: https://www.facebook.com/route66dinerberlin/, instagram: https://www.instagram.com/route66dinerberlin/, twitter: https://twitter.com/intent/tweet?text=Corona+Update&amp;url=https%3A%2F%2Froute66diner.de%2Fsalads%2F</t>
  </si>
  <si>
    <t>Sushi Em</t>
  </si>
  <si>
    <t>http://www.sushi-em-berlin.de/</t>
  </si>
  <si>
    <t>Kitsune</t>
  </si>
  <si>
    <t>Pariser Stra√üe 42, Berlin, 10707</t>
  </si>
  <si>
    <t>Boujee</t>
  </si>
  <si>
    <t>Pariser Stra√üe 18a, Berlin, 10707</t>
  </si>
  <si>
    <t>Kuchel Eck</t>
  </si>
  <si>
    <t>Ludwigkirchplatz 1, Berlin, 10719</t>
  </si>
  <si>
    <t>https://www.kuchel-eck.de/</t>
  </si>
  <si>
    <t>info@kuchel-eck.de</t>
  </si>
  <si>
    <t>+49 30 8813829</t>
  </si>
  <si>
    <t>La Cesta</t>
  </si>
  <si>
    <t>Danneckerstra√üe 7, Berlin, 10245</t>
  </si>
  <si>
    <t>https://lacestaberlin.de/</t>
  </si>
  <si>
    <t>+49 30 29005418</t>
  </si>
  <si>
    <t>instagram: https://www.instagram.com/lacestaberlin, facebook: https://www.facebook.com/La-Cesta-Berlin-252223418508139</t>
  </si>
  <si>
    <t>Mr. Grill</t>
  </si>
  <si>
    <t>Persepolis</t>
  </si>
  <si>
    <t>Kurf√ºrstenstra√üe 127, Berlin, 10785</t>
  </si>
  <si>
    <t>Sakura IV</t>
  </si>
  <si>
    <t>Kurf√ºrstenstra√üe 126, Berlin, 10785</t>
  </si>
  <si>
    <t>https://restaurantguru.com/Sakura-Berlin-3</t>
  </si>
  <si>
    <t>+49 30 23630939</t>
  </si>
  <si>
    <t>Meet You</t>
  </si>
  <si>
    <t>Fasanenstra√üe 41, Berlin, 10719</t>
  </si>
  <si>
    <t>http://www.meetyou-china.de/</t>
  </si>
  <si>
    <t>Hamlet</t>
  </si>
  <si>
    <t>Ludwigkirchstra√üe 6, Berlin, 10719</t>
  </si>
  <si>
    <t>https://www.restaurant-hamlet.de/</t>
  </si>
  <si>
    <t>verwaltung@restaurant-hamlet.de</t>
  </si>
  <si>
    <t>+49 30 8821361</t>
  </si>
  <si>
    <t>facebook: https://www.facebook.com/RestaurantHamlet/, instagram: https://www.instagram.com/hamletrestaurant/</t>
  </si>
  <si>
    <t>Shaniu's House of Noodles</t>
  </si>
  <si>
    <t>Pariser Stra√üe 58, 10719</t>
  </si>
  <si>
    <t>Weyers</t>
  </si>
  <si>
    <t>https://weyers-restaurant.de/</t>
  </si>
  <si>
    <t>ande@mikado-themes.com</t>
  </si>
  <si>
    <t>+49 30 881 93 78</t>
  </si>
  <si>
    <t>facebook: https://www.facebook.com/restaurantweyers/</t>
  </si>
  <si>
    <t>Sushi TTP &amp; more</t>
  </si>
  <si>
    <t>Olivaer Platz 6, Berlin, 10707</t>
  </si>
  <si>
    <t>http://ttpsushi.com/</t>
  </si>
  <si>
    <t>Modo Mio</t>
  </si>
  <si>
    <t>Morsestra√üe 5, Berlin, 10587</t>
  </si>
  <si>
    <t>https://modomio-berlin.de/</t>
  </si>
  <si>
    <t>+49 30 39880668</t>
  </si>
  <si>
    <t>Hasir (Sch√∂neberg)</t>
  </si>
  <si>
    <t>Maa√üenstra√üe 10, Berlin, 10777</t>
  </si>
  <si>
    <t>https://www.amrit.de/indisches-restaurant-berlin-schoeneberg/</t>
  </si>
  <si>
    <t>+49 30 2156060</t>
  </si>
  <si>
    <t>Kreta</t>
  </si>
  <si>
    <t>Maa√üenstra√üe 12, Berlin, 10777</t>
  </si>
  <si>
    <t>Li Myra</t>
  </si>
  <si>
    <t>Maa√üenstra√üe 11, Berlin, 10777</t>
  </si>
  <si>
    <t>https://www.limayra.de/</t>
  </si>
  <si>
    <t>+49 30 81031115</t>
  </si>
  <si>
    <t>instagram: https://instagram.com/limyra.berlin</t>
  </si>
  <si>
    <t>Restaurant Graf</t>
  </si>
  <si>
    <t>Martin-Luther-Stra√üe 8, Berlin, 10777</t>
  </si>
  <si>
    <t>https://graf-restaurant.de/</t>
  </si>
  <si>
    <t>+49 30 39749011</t>
  </si>
  <si>
    <t>Neelou</t>
  </si>
  <si>
    <t>Karl-Heinrich-Ulrichs-Stra√üe 8, Berlin, 10787</t>
  </si>
  <si>
    <t>Berg &amp; Tal</t>
  </si>
  <si>
    <t>Bregenzer Stra√üe 9, Berlin, 10707</t>
  </si>
  <si>
    <t>https://bergundtal.berlin/</t>
  </si>
  <si>
    <t>info@bergundtal.online</t>
  </si>
  <si>
    <t>+49 176 30768975</t>
  </si>
  <si>
    <t>facebook: https://www.facebook.com/profile.php?id=61557261805465, instagram: https://instagram.com/bergundtal_berlin</t>
  </si>
  <si>
    <t>Namaste</t>
  </si>
  <si>
    <t>Pariser Stra√üe 56</t>
  </si>
  <si>
    <t>https://berlinnamaste.de/</t>
  </si>
  <si>
    <t>Birdie Bar Bistro</t>
  </si>
  <si>
    <t>brigitte.heusing@pace-berlin.de</t>
  </si>
  <si>
    <t>+49 151 44 61 97 70</t>
  </si>
  <si>
    <t>Lubitsch</t>
  </si>
  <si>
    <t>Bleibtreustra√üe 47, Berlin, 10623</t>
  </si>
  <si>
    <t>http://www.restaurant-lubitsch.de</t>
  </si>
  <si>
    <t>info@restaurant-lubitsch.de</t>
  </si>
  <si>
    <t>+49 30 88626660</t>
  </si>
  <si>
    <t>Repke Sp√§tzlerei</t>
  </si>
  <si>
    <t>Bleibtreustra√üe 46, Berlin, 10623</t>
  </si>
  <si>
    <t>http://www.spaetzlerei.de</t>
  </si>
  <si>
    <t>repke@spaetzlerei.de</t>
  </si>
  <si>
    <t>+49 30 88718672</t>
  </si>
  <si>
    <t>kouzina</t>
  </si>
  <si>
    <t>Else-Ury-Bogen 597, Berlin, 10623</t>
  </si>
  <si>
    <t>https://www.kouzina-berlin.de</t>
  </si>
  <si>
    <t>kontakt@kouzina.berlin</t>
  </si>
  <si>
    <t>+49 30 54984315</t>
  </si>
  <si>
    <t>instagram: https://www.instagram.com/kouzina.berlin/, facebook: https://www.facebook.com/kouzina.berlin/</t>
  </si>
  <si>
    <t>Riviera</t>
  </si>
  <si>
    <t>Knesebeckstra√üe 71, Berlin, 10623</t>
  </si>
  <si>
    <t>Sicilia</t>
  </si>
  <si>
    <t>Knesebeckstra√üe 29, Berlin, 10623</t>
  </si>
  <si>
    <t>Ahtapot Fischbar</t>
  </si>
  <si>
    <t>Schillerstra√üe 53, Berlin, 10627</t>
  </si>
  <si>
    <t>Namaste Nepal</t>
  </si>
  <si>
    <t>Trattoria Due Pini</t>
  </si>
  <si>
    <t>Provinzstra√üe 92, Berlin, 13409</t>
  </si>
  <si>
    <t>+49 30 4912006</t>
  </si>
  <si>
    <t>Soup &amp; Rolls</t>
  </si>
  <si>
    <t>Kopernikusstra√üe 11, Berlin, 10245</t>
  </si>
  <si>
    <t>Giannis Pasta-Bar</t>
  </si>
  <si>
    <t>Sch√∂nhauser Allee 186a, Berlin, 10119</t>
  </si>
  <si>
    <t>https://www.giannis-pastabar.de/</t>
  </si>
  <si>
    <t>info@giannis-pastabar.de</t>
  </si>
  <si>
    <t>+49 30 44323830</t>
  </si>
  <si>
    <t>Salumeria da Salvatore</t>
  </si>
  <si>
    <t>Gardesch√ºtzenweg 142, Berlin, 12203</t>
  </si>
  <si>
    <t>+49 30 6912632</t>
  </si>
  <si>
    <t>Kila.</t>
  </si>
  <si>
    <t>Spandauer Stra√üe 3</t>
  </si>
  <si>
    <t>Fase Lunar</t>
  </si>
  <si>
    <t>AndaLucia</t>
  </si>
  <si>
    <t>Savignyplatz 2, Berlin, 10623</t>
  </si>
  <si>
    <t>https://www.andalucia-berlin.de/</t>
  </si>
  <si>
    <t>+49 30 54 71 02 71</t>
  </si>
  <si>
    <t>facebook: https://www.facebook.com/AndaLuciaBerlin/</t>
  </si>
  <si>
    <t>Da Lio</t>
  </si>
  <si>
    <t>I Fidele</t>
  </si>
  <si>
    <t>Abbestra√üe 15, Berlin, 10587</t>
  </si>
  <si>
    <t>+49 30 34359100</t>
  </si>
  <si>
    <t>Bistro Mitte</t>
  </si>
  <si>
    <t>Marlene-Dietrich-Platz 2, Berlin, 10785</t>
  </si>
  <si>
    <t>MikroKosmos</t>
  </si>
  <si>
    <t>Reichenberger Stra√üe 122, Berlin, 10999</t>
  </si>
  <si>
    <t>https://mikrokosmosberlin.com/restaurant/</t>
  </si>
  <si>
    <t>info@mikrokosmosberlin.com</t>
  </si>
  <si>
    <t>Nini e Pettirosso</t>
  </si>
  <si>
    <t>Selkestra√üe 27, Berlin, 12051</t>
  </si>
  <si>
    <t>niniepettirosso@googlemail.com</t>
  </si>
  <si>
    <t>Buchs</t>
  </si>
  <si>
    <t>Niebuhrstra√üe 43, Berlin, 10629</t>
  </si>
  <si>
    <t>Chandni</t>
  </si>
  <si>
    <t>Immanuelkirchstra√üe 36, Berlin, 10405</t>
  </si>
  <si>
    <t>https://chandi-restaurant.com</t>
  </si>
  <si>
    <t>info@chandi-restaurant.com</t>
  </si>
  <si>
    <t>+49 30 4406238</t>
  </si>
  <si>
    <t>Froindlichst</t>
  </si>
  <si>
    <t>Immanuelkirchstra√üe 31, Berlin, 10405</t>
  </si>
  <si>
    <t>https://www.froindlichst.com/berlin/</t>
  </si>
  <si>
    <t>+49 30 40056289</t>
  </si>
  <si>
    <t>Braufactum Berlin</t>
  </si>
  <si>
    <t>Hausvogteiplatz 3-4, Berlin, 10117</t>
  </si>
  <si>
    <t>https://www.braufactum-hausvogteiplatz.de/</t>
  </si>
  <si>
    <t>+49 30 55872562</t>
  </si>
  <si>
    <t>Prizreni</t>
  </si>
  <si>
    <t>T√ºrkiyem</t>
  </si>
  <si>
    <t>TU Personalkantine (Mathekantine)</t>
  </si>
  <si>
    <t>+49 30 314-24724</t>
  </si>
  <si>
    <t>√ñff. Kantine</t>
  </si>
  <si>
    <t>Gurman's Grillhaus</t>
  </si>
  <si>
    <t>Richard</t>
  </si>
  <si>
    <t>K√∂penicker Stra√üe 174, Berlin, 10997</t>
  </si>
  <si>
    <t>http://www.restaurant-richard.de/</t>
  </si>
  <si>
    <t>Trattoria Foccacia Mia</t>
  </si>
  <si>
    <t>Immanuelkirchstra√üe 29, Berlin, 10405</t>
  </si>
  <si>
    <t>https://focacciamiaberlin.de/</t>
  </si>
  <si>
    <t>kontakt@focacciamiaberlin.de</t>
  </si>
  <si>
    <t>+49 30 41471100</t>
  </si>
  <si>
    <t>instagram: https://www.instagram.com/trattoria_focaccia_mia/</t>
  </si>
  <si>
    <t>City House</t>
  </si>
  <si>
    <t>Babo Sushi</t>
  </si>
  <si>
    <t>A Telha</t>
  </si>
  <si>
    <t>http://www.restaurant-a-telha.de/</t>
  </si>
  <si>
    <t>+49 30 75525316</t>
  </si>
  <si>
    <t>Ars Vivendi</t>
  </si>
  <si>
    <t>https://www.arsvivendi-catering.de/</t>
  </si>
  <si>
    <t>Sarod's</t>
  </si>
  <si>
    <t>Friesenstra√üe 22, Berlin, 10965</t>
  </si>
  <si>
    <t>http://www.sarods.de/</t>
  </si>
  <si>
    <t>33wornpian@yahoo.comMontag</t>
  </si>
  <si>
    <t>instagram: https://www.instagram.com/sarodsthairestaurant/, facebook: https://www.facebook.com/pages/Sarods-Berlin-Kreuzberg/161783857196673</t>
  </si>
  <si>
    <t>Trattoria di Mare</t>
  </si>
  <si>
    <t>Neuhelgol√§nder Weg 7, Berlin, 12559</t>
  </si>
  <si>
    <t>Kaiser Drachen</t>
  </si>
  <si>
    <t>+49 30 639 05041</t>
  </si>
  <si>
    <t>Musashi</t>
  </si>
  <si>
    <t>Kottbusser Damm 102, Berlin, 10967</t>
  </si>
  <si>
    <t>Zet das Restaurant</t>
  </si>
  <si>
    <t>ÁâõÁ®ºËéä Beef House</t>
  </si>
  <si>
    <t>Kottbusser Damm 94, Berlin, 10967</t>
  </si>
  <si>
    <t>http://beef-house.blogspot.de</t>
  </si>
  <si>
    <t>an.meld@arcor.de</t>
  </si>
  <si>
    <t>Schnittchen</t>
  </si>
  <si>
    <t>Casa Mia</t>
  </si>
  <si>
    <t>Yorckstra√üe 89A, Berlin, 10965</t>
  </si>
  <si>
    <t>Little Saigon</t>
  </si>
  <si>
    <t>Obentrautstra√üe 32, Berlin, 10963</t>
  </si>
  <si>
    <t>Do De Li</t>
  </si>
  <si>
    <t>Kantstra√üe 121, Berlin, 10625</t>
  </si>
  <si>
    <t>https://www.dodeli.de/</t>
  </si>
  <si>
    <t>+49 30 3125418</t>
  </si>
  <si>
    <t>facebook: https://facebook.com/dodeli/, instagram: https://instagram.com/dodeliberlin</t>
  </si>
  <si>
    <t>Guadalajara</t>
  </si>
  <si>
    <t>Caf√© Journale</t>
  </si>
  <si>
    <t>Lindenstra√üe 37, Berlin, 10969</t>
  </si>
  <si>
    <t>http://www.cafejournale.de</t>
  </si>
  <si>
    <t>journale@hotmail.de</t>
  </si>
  <si>
    <t>+49 30 25292945</t>
  </si>
  <si>
    <t>facebook: https://www.facebook.com/pages/Caf%C3%A9-Journale/158669167496122</t>
  </si>
  <si>
    <t>Wilma Restaurant &amp; Sportsbar</t>
  </si>
  <si>
    <t>Stra√üe am Schoelerpark 39, Berlin, 10715</t>
  </si>
  <si>
    <t>http://www.wilma-sportsbar.de</t>
  </si>
  <si>
    <t>mail_outlinewilmacafe@outlook.de</t>
  </si>
  <si>
    <t>facebook: https://www.facebook.com/login/?next=https%3A%2F%2Fwww.facebook.com%2Fsportbarundrestaurant%2F, instagram: https://www.instagram.com/wilma_sportsdiner/</t>
  </si>
  <si>
    <t>Marjellchen</t>
  </si>
  <si>
    <t>Mommsenstra√üe 9, Berlin, 10629</t>
  </si>
  <si>
    <t>https://www.marjellchen-berlin.de/</t>
  </si>
  <si>
    <t>+49 30 8832676</t>
  </si>
  <si>
    <t>Mondo Pazzo</t>
  </si>
  <si>
    <t>Schl√ºterstra√üe 52, Berlin, 10629</t>
  </si>
  <si>
    <t>https://www.mondopazzo.de</t>
  </si>
  <si>
    <t>info@mondopazzo.de</t>
  </si>
  <si>
    <t>+49 30 8551121</t>
  </si>
  <si>
    <t>facebook: https://www.facebook.com/pages/Mondo-Pazzo/153871721318271?fref=ts, instagram: https://www.instagram.com/mondopazzoberlin/</t>
  </si>
  <si>
    <t>House of Doan</t>
  </si>
  <si>
    <t>Hufelandstra√üe 20, Berlin, 10407</t>
  </si>
  <si>
    <t>https://www.houseofdoan.de</t>
  </si>
  <si>
    <t>instagram: https://www.instagram.com/houseofdoan/, facebook: https://www.facebook.com/HouseOfDoan</t>
  </si>
  <si>
    <t>Guten Dag</t>
  </si>
  <si>
    <t>Oderberger Stra√üe 40, Berlin, 10435</t>
  </si>
  <si>
    <t>Tandoori Palace</t>
  </si>
  <si>
    <t>Donaustra√üe 27, Berlin, 12043</t>
  </si>
  <si>
    <t>https://berlin-tandooripalace.de/de</t>
  </si>
  <si>
    <t>+49 30 64958715</t>
  </si>
  <si>
    <t>Chung</t>
  </si>
  <si>
    <t>Schlesische Stra√üe 29, Berlin, 10997</t>
  </si>
  <si>
    <t>Il Pizzaiolo</t>
  </si>
  <si>
    <t>Schlesische Stra√üe 28, Berlin, 10997</t>
  </si>
  <si>
    <t>Le Food</t>
  </si>
  <si>
    <t>Langhansstra√üe 12, Berlin, 13086</t>
  </si>
  <si>
    <t>+49 30 31004289</t>
  </si>
  <si>
    <t>Tony¬¥s Ristorante</t>
  </si>
  <si>
    <t>Albrechtstra√üe 80, Berlin, 12167</t>
  </si>
  <si>
    <t>https://www.tonys-ristorante.de/start-restaurant</t>
  </si>
  <si>
    <t>info@tonys-ristorante.de</t>
  </si>
  <si>
    <t>+49 30 53798911</t>
  </si>
  <si>
    <t>Trattoria Ti Amo</t>
  </si>
  <si>
    <t>Jungfernm√ºhle</t>
  </si>
  <si>
    <t>Goldammerstra√üe 34, Berlin, 12351</t>
  </si>
  <si>
    <t>http://jungfernmuehle.de/index.php?id=home</t>
  </si>
  <si>
    <t>Sissi</t>
  </si>
  <si>
    <t>Motzstra√üe 34, Berlin, 10777</t>
  </si>
  <si>
    <t>https://www.sissi-berlin.de/</t>
  </si>
  <si>
    <t>martin@sissi.berlin</t>
  </si>
  <si>
    <t>+49 30 21018101</t>
  </si>
  <si>
    <t>facebook: https://www.facebook.com/sissi.berlin/, instagram: https://www.instagram.com/sissi_restaurant/</t>
  </si>
  <si>
    <t>Cafe 7 Inseln</t>
  </si>
  <si>
    <t>Im Saatwinkel 21, Berlin, 13599</t>
  </si>
  <si>
    <t>https://www.cafe7inselnberlin.de/</t>
  </si>
  <si>
    <t>Rong's Noodlehouse</t>
  </si>
  <si>
    <t>Leibnizstra√üe 101, 10625</t>
  </si>
  <si>
    <t>https://rongs-noodlehouse.de/</t>
  </si>
  <si>
    <t>+49 30 98418805</t>
  </si>
  <si>
    <t>Sagrantino</t>
  </si>
  <si>
    <t>http://www.sagrantino-winebar.de</t>
  </si>
  <si>
    <t>booking@sagrantino-winebar.de</t>
  </si>
  <si>
    <t>instagram: https://www.instagram.com/sagrantinowinebar/, facebook: https://www.facebook.com/Sagrantino-Wine-Bar-195851017099022</t>
  </si>
  <si>
    <t>Sushi Miyabi</t>
  </si>
  <si>
    <t>Georgenstra√üe 195</t>
  </si>
  <si>
    <t>Juki</t>
  </si>
  <si>
    <t>http://www.juki.me/</t>
  </si>
  <si>
    <t>+49 30 44324636</t>
  </si>
  <si>
    <t>Trattoria Terra Sarda</t>
  </si>
  <si>
    <t>Stahlheimer Stra√üe 30, Berlin, 10439</t>
  </si>
  <si>
    <t>Cicer - The world of chickpea</t>
  </si>
  <si>
    <t>Weserstra√üe 213</t>
  </si>
  <si>
    <t>pier36eins</t>
  </si>
  <si>
    <t>https://www.pier36eins.de/</t>
  </si>
  <si>
    <t>pier36eins@u-s-e.org</t>
  </si>
  <si>
    <t>+49 30 677880104</t>
  </si>
  <si>
    <t>Castel Montecroce</t>
  </si>
  <si>
    <t>Friesenstra√üe 14</t>
  </si>
  <si>
    <t>Steakhaus Barbecue</t>
  </si>
  <si>
    <t>Britzer Damm 209, Berlin, 12347</t>
  </si>
  <si>
    <t>Sorriso</t>
  </si>
  <si>
    <t>Kurf√ºrstenstra√üe 76, Berlin, 10787</t>
  </si>
  <si>
    <t>Hako Ramen</t>
  </si>
  <si>
    <t>Kastanienallee 16, Berlin, 10435</t>
  </si>
  <si>
    <t>https://www.hakoramenberlin.de</t>
  </si>
  <si>
    <t>kreuzberg@hakoramenberlin.de</t>
  </si>
  <si>
    <t>+49 30 89733303</t>
  </si>
  <si>
    <t>tiktok: https://www.tiktok.com/@hakoramen.berlin, instagram: https://www.instagram.com/hakoramen.berlin/, facebook: https://www.facebook.com/hakoramenpberg</t>
  </si>
  <si>
    <t>Anh Thi</t>
  </si>
  <si>
    <t>Scherenbergstra√üe 27, Berlin, 10439</t>
  </si>
  <si>
    <t>http://www.anhthi.de/</t>
  </si>
  <si>
    <t>48Infosinfo@anhthi.de</t>
  </si>
  <si>
    <t>Miss Pho</t>
  </si>
  <si>
    <t>Marburger Stra√üe 15, Berlin, 10789</t>
  </si>
  <si>
    <t>La Sepia</t>
  </si>
  <si>
    <t>Marburger Stra√üe 2, Berlin, 10789</t>
  </si>
  <si>
    <t>https://www.lasepia-berlin.de/</t>
  </si>
  <si>
    <t>info@lasepia-berlin.de</t>
  </si>
  <si>
    <t>tiktok: https://www.tiktok.com/@lasepia.berlin?refer=creator_embed, instagram: https://www.instagram.com/lasepiaberlin/tagged/, facebook: https://www.facebook.com/lasepia.bln</t>
  </si>
  <si>
    <t>Little Green Rabbit</t>
  </si>
  <si>
    <t>Friedrichstra√üe 200, Berlin, 10117</t>
  </si>
  <si>
    <t>https://www.littlegreenrabbit.de/checkpoint-charlie</t>
  </si>
  <si>
    <t>info@littlegreenrabbit.com</t>
  </si>
  <si>
    <t>+49 30 37462003</t>
  </si>
  <si>
    <t>facebook: https://www.facebook.com/LittleGreenRabbit, instagram: https://www.instagram.com/littlegreenrabbitberlin/</t>
  </si>
  <si>
    <t>Chicago Williams BBQ</t>
  </si>
  <si>
    <t>Marburger Stra√üe 16, Berlin, 10789</t>
  </si>
  <si>
    <t>https://chicagowilliamsbbq.de/</t>
  </si>
  <si>
    <t>berlin@cwbbq.de</t>
  </si>
  <si>
    <t>+49 30 28042422</t>
  </si>
  <si>
    <t>instagram: https://www.instagram.com/explore/locations/49048593/, tiktok: https://www.tiktok.com/@chicagowilliamsbbq</t>
  </si>
  <si>
    <t>Marburger Stra√üe 14, Berlin, 10789</t>
  </si>
  <si>
    <t>https://www.963berlin.com/</t>
  </si>
  <si>
    <t>Contacthello@963berlin.com</t>
  </si>
  <si>
    <t>Cao Cao</t>
  </si>
  <si>
    <t>https://www.cao-cao.de/</t>
  </si>
  <si>
    <t>+49 30 21915415</t>
  </si>
  <si>
    <t>Mezban</t>
  </si>
  <si>
    <t>Gneisenaustra√üe 69, Berlin, 10961</t>
  </si>
  <si>
    <t>https://mezban-berlin.com/</t>
  </si>
  <si>
    <t>info@mezban.de</t>
  </si>
  <si>
    <t>+49 30 34357666</t>
  </si>
  <si>
    <t>Mia Pizzaria</t>
  </si>
  <si>
    <t>D√∂rpfeldstra√üe 29, Berlin, 12489</t>
  </si>
  <si>
    <t>+49 30 47014948</t>
  </si>
  <si>
    <t>Fam. Dang</t>
  </si>
  <si>
    <t>Torstra√üe 125, Berlin, 10119</t>
  </si>
  <si>
    <t>Karma</t>
  </si>
  <si>
    <t>Eisenacher Stra√üe 57, Berlin, 12109</t>
  </si>
  <si>
    <t>https://karma-berlin.de</t>
  </si>
  <si>
    <t>+49 30 70370171</t>
  </si>
  <si>
    <t>facebook: https://www.facebook.com/karmaberlin, instagram: https://www.instagram.com/karma_restaurants/, twitter: https://twitter.com/karma_ber</t>
  </si>
  <si>
    <t>Ristorante Ruspina II</t>
  </si>
  <si>
    <t>http://www.ristorante-ruspina.de/</t>
  </si>
  <si>
    <t>+49 30 98367112</t>
  </si>
  <si>
    <t>Brikz</t>
  </si>
  <si>
    <t>Grolmanstra√üe 54, Berlin, 10623</t>
  </si>
  <si>
    <t>https://restaurantbrikz.com</t>
  </si>
  <si>
    <t>instagram: https://www.instagram.com/restaurantbrikz/, facebook: https://www.facebook.com/RestaurantBrikz</t>
  </si>
  <si>
    <t>NemNem</t>
  </si>
  <si>
    <t>Erich-Weinert-Stra√üe 1, Berlin, 10439</t>
  </si>
  <si>
    <t>+49 30 23309477</t>
  </si>
  <si>
    <t>Zum √ñsterreicher im Schaukelpferd</t>
  </si>
  <si>
    <t>https://schaukelpferd-web.de/</t>
  </si>
  <si>
    <t>+49 30 3648748</t>
  </si>
  <si>
    <t>La Gino</t>
  </si>
  <si>
    <t>Rudi-Dutschke-Stra√üe 28, Berlin, 10969</t>
  </si>
  <si>
    <t>https://www.lagino-berlin.de/</t>
  </si>
  <si>
    <t>+49 172 4591324</t>
  </si>
  <si>
    <t>Tim Raue</t>
  </si>
  <si>
    <t>Rudi-Dutschke-Stra√üe 26, Berlin, 10969</t>
  </si>
  <si>
    <t>https://tim-raue.com/</t>
  </si>
  <si>
    <t>office@tim-raue.com</t>
  </si>
  <si>
    <t>+49 30 25937930</t>
  </si>
  <si>
    <t>instagram: https://www.instagram.com/restauranttimraue/, facebook: https://www.facebook.com/restaurant.tim.raue</t>
  </si>
  <si>
    <t>Lo Xa</t>
  </si>
  <si>
    <t>Amberd</t>
  </si>
  <si>
    <t>Uhlandstra√üe 67, Berlin, 10717</t>
  </si>
  <si>
    <t>https://www.amberd.de/</t>
  </si>
  <si>
    <t>+49 30 8614557</t>
  </si>
  <si>
    <t>Golden Brown</t>
  </si>
  <si>
    <t>Sch√∂nhauser Stra√üe 1, Berlin, 12157</t>
  </si>
  <si>
    <t>https://goldenbrown-berlin.de/</t>
  </si>
  <si>
    <t>info@goldenbrown-berlin.de</t>
  </si>
  <si>
    <t>+49 30 98363740</t>
  </si>
  <si>
    <t>facebook: https://www.facebook.com/Golden-Brown-Caf%C3%A9-Lounge-Foodbar-249083345425116/, instagram: https://www.instagram.com/goldenbrown_berlin/</t>
  </si>
  <si>
    <t>Al Contadino</t>
  </si>
  <si>
    <t>Auguststra√üe 34</t>
  </si>
  <si>
    <t>https://www.alcontadino.eu/</t>
  </si>
  <si>
    <t>+49 30 97894140</t>
  </si>
  <si>
    <t>facebook: https://www.facebook.com/MozzarellaBarBottega, instagram: https://www.instagram.com/alcontadinomozzarella/</t>
  </si>
  <si>
    <t>Bardele</t>
  </si>
  <si>
    <t>Auguststra√üe 36, Berlin, 10119</t>
  </si>
  <si>
    <t>https://www.bardeleberlin.com</t>
  </si>
  <si>
    <t>reservations@bardeleberlin.com</t>
  </si>
  <si>
    <t>instagram: https://www.instagram.com/bardele_berlin/</t>
  </si>
  <si>
    <t>Redo XXL Berlin</t>
  </si>
  <si>
    <t>https://www.redoxxl.de/</t>
  </si>
  <si>
    <t>Socialinfo@redoxxl.deFollowFollowFollowFollowWork</t>
  </si>
  <si>
    <t>+49 30 36413461</t>
  </si>
  <si>
    <t>facebook: https://www.facebook.com/redo.fans/, instagram: https://www.instagram.com/rene.redo, tiktok: https://www.tiktok.com/@reneredo</t>
  </si>
  <si>
    <t>Ristorante Primavera</t>
  </si>
  <si>
    <t>Mehringdamm 72, Berlin, 10961</t>
  </si>
  <si>
    <t>https://primavera-kreuzberg.com</t>
  </si>
  <si>
    <t>kontakt@primavera-kreuzberg.com</t>
  </si>
  <si>
    <t>+49 30 7859742</t>
  </si>
  <si>
    <t>facebook: https://facebook.com/primaverakreuzberg, instagram: https://instagram.com/ristorante_primavera</t>
  </si>
  <si>
    <t>cocoro</t>
  </si>
  <si>
    <t>Mehringdamm 64, Berlin, 10961</t>
  </si>
  <si>
    <t>https://cocoro-berlin.de/</t>
  </si>
  <si>
    <t>+49 30 81494329</t>
  </si>
  <si>
    <t>Tapas y m√°s</t>
  </si>
  <si>
    <t>Neue Gr√ºnstra√üe 17, Berlin, 10179</t>
  </si>
  <si>
    <t>https://www.tapasymas-berlin.de/</t>
  </si>
  <si>
    <t>info@tapasymas-berlin.de</t>
  </si>
  <si>
    <t>+49 30 28099353</t>
  </si>
  <si>
    <t>Toplife</t>
  </si>
  <si>
    <t>Trattoria da Francesco</t>
  </si>
  <si>
    <t>Seegefelder Weg 230, Berlin, 13591</t>
  </si>
  <si>
    <t>https://www.dafrancesco-berlin.de/</t>
  </si>
  <si>
    <t>+49 30 53164443</t>
  </si>
  <si>
    <t>facebook: https://www.facebook.com/DaFrancesco.Berlin, instagram: https://www.instagram.com/DaFrancesco.Berlin</t>
  </si>
  <si>
    <t>Boƒüazi√ßi</t>
  </si>
  <si>
    <t>https://www.bogazici-berlin.de/</t>
  </si>
  <si>
    <t>mittendrin</t>
  </si>
  <si>
    <t>Sophienstra√üe 19, Berlin, 10178</t>
  </si>
  <si>
    <t>La Fortuna da Sergio</t>
  </si>
  <si>
    <t>Goethestra√üe 17, Berlin, 10625</t>
  </si>
  <si>
    <t>Novi Sad</t>
  </si>
  <si>
    <t>Sch√∂nefelder Stra√üe 2, Berlin, 12355</t>
  </si>
  <si>
    <t>https://hotelnovisad.de/</t>
  </si>
  <si>
    <t>berlin@hotelnovisad.de</t>
  </si>
  <si>
    <t>+49 30 6634050</t>
  </si>
  <si>
    <t>Kantine Umweltbundesamt (UBA)</t>
  </si>
  <si>
    <t>Bismarckplatz 1, Berlin, 14193</t>
  </si>
  <si>
    <t>Saravanaa Bhavan</t>
  </si>
  <si>
    <t>Potsdamer Platz 5, Berlin, 10785</t>
  </si>
  <si>
    <t>https://www.saravanaabhavan-berlin.de/</t>
  </si>
  <si>
    <t>+49 30 55655654</t>
  </si>
  <si>
    <t>facebook: https://www.facebook.com/saravanaabhavanberlin/, instagram: https://www.instagram.com/saravanaabhavanberlin/?hl=de</t>
  </si>
  <si>
    <t>Pan Africa</t>
  </si>
  <si>
    <t>Kirchhofstra√üe 41, Berlin, 12055</t>
  </si>
  <si>
    <t>https://www.panafricaberlin.de</t>
  </si>
  <si>
    <t>info@panafricaberlin.de</t>
  </si>
  <si>
    <t>+49 30 530 568 69</t>
  </si>
  <si>
    <t>Skykitchen</t>
  </si>
  <si>
    <t>Landsberger Allee 106, Berlin, 10369</t>
  </si>
  <si>
    <t>https://www.skykitchen.berlin/</t>
  </si>
  <si>
    <t>restaurant@skykitchen.berlin</t>
  </si>
  <si>
    <t>+49 30 453 053 2620</t>
  </si>
  <si>
    <t>facebook: https://www.facebook.com/skykitchen.restaurant.berlin, instagram: https://www.instagram.com/skykitchen.berlin/</t>
  </si>
  <si>
    <t>Galeb</t>
  </si>
  <si>
    <t>Blissestra√üe 2, Berlin, 10713</t>
  </si>
  <si>
    <t>Veloce Pizza e Pasta</t>
  </si>
  <si>
    <t>Berliner Stra√üe 132, Berlin, 10715</t>
  </si>
  <si>
    <t>https://veloce-berlin.de/</t>
  </si>
  <si>
    <t>info@veloce-berlin.de</t>
  </si>
  <si>
    <t>+49 30 98361010</t>
  </si>
  <si>
    <t>facebook: https://facebook.com/veloceberlin, instagram: https://instagram.com/veloceberlin/</t>
  </si>
  <si>
    <t>Abirams</t>
  </si>
  <si>
    <t>Zossener Stra√üe 12, Berlin, 10961</t>
  </si>
  <si>
    <t>+49 30 69503103</t>
  </si>
  <si>
    <t>Ram</t>
  </si>
  <si>
    <t>Wilhelmstra√üe 79, Berlin, 10117</t>
  </si>
  <si>
    <t>Mama Dang</t>
  </si>
  <si>
    <t>Joachim-Gottschalk-Weg, Berlin, 12353</t>
  </si>
  <si>
    <t>Asia Long V√¢n</t>
  </si>
  <si>
    <t>Sonnenallee 128, Berlin, 12059</t>
  </si>
  <si>
    <t>Englers</t>
  </si>
  <si>
    <t>Englerallee 42, Berlin, 14195</t>
  </si>
  <si>
    <t>+49 30 30364236</t>
  </si>
  <si>
    <t>Zum Joseph</t>
  </si>
  <si>
    <t>Kirchhainer Damm 68, Berlin, 12309</t>
  </si>
  <si>
    <t>Trattoria Alberto</t>
  </si>
  <si>
    <t>Sakrower Landstra√üe 26, Berlin, 14089</t>
  </si>
  <si>
    <t>https://www.trattoria-alberto.de/</t>
  </si>
  <si>
    <t>info@trattoria-alberto.deWeb</t>
  </si>
  <si>
    <t>+49 30 36 99 11 56</t>
  </si>
  <si>
    <t>facebook: https://www.facebook.com/profile.php?id=100057652741050, instagram: https://instagram.com/trattoria_alberto_?igshid=2u2i52l3qhu1</t>
  </si>
  <si>
    <t>Genki-Sushi</t>
  </si>
  <si>
    <t>Wilmersdorfer Stra√üe 22, Berlin, 10585</t>
  </si>
  <si>
    <t>Com home</t>
  </si>
  <si>
    <t>Alt-Moabit 108A, Berlin, 10559</t>
  </si>
  <si>
    <t>Betriebskantine</t>
  </si>
  <si>
    <t>H√ºttendomizil</t>
  </si>
  <si>
    <t>Kreuzstra√üe 18b, Berlin, 13187</t>
  </si>
  <si>
    <t>http://www.hd-huettendomizil.de</t>
  </si>
  <si>
    <t>+49 30 49500880</t>
  </si>
  <si>
    <t>Carl &amp; Sophie</t>
  </si>
  <si>
    <t>Alt-Moabit 99, Berlin, 10559</t>
  </si>
  <si>
    <t>https://carlundsophie.de/</t>
  </si>
  <si>
    <t>eat@carlundsophie.de</t>
  </si>
  <si>
    <t>+49 30 39920798</t>
  </si>
  <si>
    <t>facebook: https://www.facebook.com/carlundsophie, instagram: https://www.instagram.com/carlundsophieberlin/</t>
  </si>
  <si>
    <t>Bedda's Sicilia</t>
  </si>
  <si>
    <t>Legiendamm 2, Berlin, 10179</t>
  </si>
  <si>
    <t>https://www.beddassicilia.de/</t>
  </si>
  <si>
    <t>beddassicilia@gmail.com</t>
  </si>
  <si>
    <t>+49 30 55479424</t>
  </si>
  <si>
    <t>twitter: https://www.twitter.com/wix, instagram: https://www.instagram.com/wix</t>
  </si>
  <si>
    <t>Thai Huong Snack</t>
  </si>
  <si>
    <t>Heinrich-Heine-Platz 12, Berlin, 10179</t>
  </si>
  <si>
    <t>http://www.thaihuong.de/</t>
  </si>
  <si>
    <t>Susido</t>
  </si>
  <si>
    <t>Teltower Damm 26, Berlin, 14169</t>
  </si>
  <si>
    <t>https://www.susido.de</t>
  </si>
  <si>
    <t>Susido.Restaurant2020@gmail.com</t>
  </si>
  <si>
    <t>+49 30 34508388</t>
  </si>
  <si>
    <t>facebook: https://www.facebook.com/Susido-Berlin-101080711692703</t>
  </si>
  <si>
    <t>il Tartufo</t>
  </si>
  <si>
    <t>Wolfshagener Stra√üe 87, Berlin, 13187</t>
  </si>
  <si>
    <t>Dan-Thai-Food</t>
  </si>
  <si>
    <t>Reinickendorfer Stra√üe 96, Berlin, 13347</t>
  </si>
  <si>
    <t>OrientEck</t>
  </si>
  <si>
    <t>ULTramen</t>
  </si>
  <si>
    <t>Schulstra√üe 29, Berlin, 13347</t>
  </si>
  <si>
    <t>Beski Sofrasi</t>
  </si>
  <si>
    <t>Schulstra√üe 33, Berlin, 13347</t>
  </si>
  <si>
    <t>Adorive</t>
  </si>
  <si>
    <t>Wilmersdorfer Stra√üe 75, Berlin, 10629</t>
  </si>
  <si>
    <t>https://d-gastro24.de/sgtapas</t>
  </si>
  <si>
    <t>ngoctram1976@yahoo.com</t>
  </si>
  <si>
    <t>+49 30 48626705</t>
  </si>
  <si>
    <t>Tak Kee</t>
  </si>
  <si>
    <t>Wilmersdorfer Stra√üe 79, Berlin, 10629</t>
  </si>
  <si>
    <t>+49 30 31806288</t>
  </si>
  <si>
    <t>W.N.9</t>
  </si>
  <si>
    <t>Warthestra√üe 9, Berlin, 12051</t>
  </si>
  <si>
    <t>Steakhaus</t>
  </si>
  <si>
    <t>Hot Spot</t>
  </si>
  <si>
    <t>Eisenzahnstra√üe 66, Berlin, 10709</t>
  </si>
  <si>
    <t>http://www.restaurant-hotspot.de/</t>
  </si>
  <si>
    <t>Locanda</t>
  </si>
  <si>
    <t>Lehniner Platz 2, Berlin, 10709</t>
  </si>
  <si>
    <t>+49 30 31806968</t>
  </si>
  <si>
    <t>Ebert</t>
  </si>
  <si>
    <t>Eisenzahnstra√üe 59, Berlin, 10709</t>
  </si>
  <si>
    <t>http://www.restaurant-ebert.de/cms/</t>
  </si>
  <si>
    <t>+49 30 8917567</t>
  </si>
  <si>
    <t>Chay Village</t>
  </si>
  <si>
    <t>Niederbarnimstra√üe 10, Berlin, 10247</t>
  </si>
  <si>
    <t>https://www.chayvillage.de</t>
  </si>
  <si>
    <t>info@chayvillage.de</t>
  </si>
  <si>
    <t>+49 30 41993786</t>
  </si>
  <si>
    <t>Asia Wok</t>
  </si>
  <si>
    <t>Niederbarnimstra√üe 7, Berlin, 10247</t>
  </si>
  <si>
    <t>New Day</t>
  </si>
  <si>
    <t>Niederbarnimstra√üe 25, Berlin, 10247</t>
  </si>
  <si>
    <t>+49 30 29008828</t>
  </si>
  <si>
    <t>Lanzhou Beef Noodles</t>
  </si>
  <si>
    <t>Larb-koi</t>
  </si>
  <si>
    <t>Krossener Stra√üe 15, Berlin, 10245</t>
  </si>
  <si>
    <t>Mmaah</t>
  </si>
  <si>
    <t>Kingston</t>
  </si>
  <si>
    <t>Simon-Dach-Stra√üe 12, Berlin, 10245</t>
  </si>
  <si>
    <t>[mo:im]</t>
  </si>
  <si>
    <t>Simon-Dach-Stra√üe 32, Berlin, 10245</t>
  </si>
  <si>
    <t>https://pocha.moim.berlin/</t>
  </si>
  <si>
    <t>+49 176 63792787</t>
  </si>
  <si>
    <t>Sansibar-Bar</t>
  </si>
  <si>
    <t>Madu</t>
  </si>
  <si>
    <t>Pichelsdorfer Stra√üe 107, Berlin, 13595</t>
  </si>
  <si>
    <t>+49 30 33904251</t>
  </si>
  <si>
    <t>Nusantara</t>
  </si>
  <si>
    <t>Turmstra√üe 18, Berlin, 10559</t>
  </si>
  <si>
    <t>https://www.nusantara-restaurant.de/</t>
  </si>
  <si>
    <t>info@restaurant-nusantara.de</t>
  </si>
  <si>
    <t>Der Everest</t>
  </si>
  <si>
    <t>Turmstra√üe 17, Berlin, 10559</t>
  </si>
  <si>
    <t>https://dereverestrestaurant.de</t>
  </si>
  <si>
    <t>+49 30 39834017</t>
  </si>
  <si>
    <t>Berliner Hof</t>
  </si>
  <si>
    <t>Hildegardstra√üe 14, Berlin, 10715</t>
  </si>
  <si>
    <t>http://restaurant-berliner-hof.de/</t>
  </si>
  <si>
    <t>+4930 85072860</t>
  </si>
  <si>
    <t>Ruspina</t>
  </si>
  <si>
    <t>Alt-Kladow 20, Berlin, 14089</t>
  </si>
  <si>
    <t>https://ruspinakladow.eatbu.com/</t>
  </si>
  <si>
    <t>ruspina.kladow@gmail.com</t>
  </si>
  <si>
    <t>facebook: https://www.facebook.com/profile.php?id=61569238293382&amp;sk=about, instagram: https://www.instagram.com/ruspina.kladow/, tiktok: https://www.tiktok.com/@ruspinakladow</t>
  </si>
  <si>
    <t>Ba Qu√™</t>
  </si>
  <si>
    <t>Rotherstra√üe 27, Berlin, 10245</t>
  </si>
  <si>
    <t>Zille Stube</t>
  </si>
  <si>
    <t>Spreeufer 3, Berlin, 10178</t>
  </si>
  <si>
    <t>http://zillestube-nikolaiviertel.de/</t>
  </si>
  <si>
    <t>spreeblick@t-online.de</t>
  </si>
  <si>
    <t>Thuy Zen</t>
  </si>
  <si>
    <t>Joachimsthaler Stra√üe 16, Berlin, 10719</t>
  </si>
  <si>
    <t>My Son</t>
  </si>
  <si>
    <t>Napolita</t>
  </si>
  <si>
    <t>Grolmanstra√üe 50, Berlin, 10623</t>
  </si>
  <si>
    <t>https://napolita.de/</t>
  </si>
  <si>
    <t>info@napolita.de</t>
  </si>
  <si>
    <t>+49 30 21003062</t>
  </si>
  <si>
    <t>Grand Cafe Saint-Germain</t>
  </si>
  <si>
    <t>Savignyplatz 13, Berlin, 10623</t>
  </si>
  <si>
    <t>https://grandcafe-saintgermain.de/</t>
  </si>
  <si>
    <t>reservations@grandcafe-saintgermain.de</t>
  </si>
  <si>
    <t>+49 30 31991099</t>
  </si>
  <si>
    <t>instagram: https://www.instagram.com/grandcafe_saintgermain/</t>
  </si>
  <si>
    <t>Saigon Green</t>
  </si>
  <si>
    <t>Kantstra√üe 23, Berlin, 10623</t>
  </si>
  <si>
    <t>San Marino</t>
  </si>
  <si>
    <t>Savignyplatz 12, Berlin, 10623</t>
  </si>
  <si>
    <t>+49 30 3136086</t>
  </si>
  <si>
    <t>Green Flavor</t>
  </si>
  <si>
    <t>Kantstra√üe 22, Berlin, 10623</t>
  </si>
  <si>
    <t>https://www.greenflavor.de/</t>
  </si>
  <si>
    <t>greenflavor.22@gmail.com</t>
  </si>
  <si>
    <t>+49 30 52284816</t>
  </si>
  <si>
    <t>instagram: https://instagram.com/greenflavor_berlin?igshid=1dwo4wywc8juz</t>
  </si>
  <si>
    <t>Zwiebelfisch</t>
  </si>
  <si>
    <t>Savignyplatz 7, Berlin, 10623</t>
  </si>
  <si>
    <t>+49 30 3127363</t>
  </si>
  <si>
    <t>XII Apostel</t>
  </si>
  <si>
    <t>Bleibtreustra√üe 49, Berlin, 10623</t>
  </si>
  <si>
    <t>https://12-apostoli.de/</t>
  </si>
  <si>
    <t>kontakt@12apostoli-restaurant.de</t>
  </si>
  <si>
    <t>+49 30 24534730</t>
  </si>
  <si>
    <t>instagram: https://www.instagram.com/qodeinteractive, twitter: https://twitter.com/qodeinteractive, facebook: https://www.facebook.com/qodeinteractive</t>
  </si>
  <si>
    <t>Ribisels Kantine Stresemann</t>
  </si>
  <si>
    <t>Stresemannstra√üe 128, Berlin, 10117</t>
  </si>
  <si>
    <t>https://ribiselskantine.com/</t>
  </si>
  <si>
    <t>instagram: https://www.instagram.com/ribisels.kantine?igsh=MWpmYnZyM2dhOXF0aA==</t>
  </si>
  <si>
    <t>G wie Goulasch</t>
  </si>
  <si>
    <t>Chamissoplatz 2</t>
  </si>
  <si>
    <t>http://www.g-wie-gulasch.de/</t>
  </si>
  <si>
    <t>El Borriquito</t>
  </si>
  <si>
    <t>Wielandstra√üe 6, Berlin, 10625</t>
  </si>
  <si>
    <t>https://www.el-borriquito.de/</t>
  </si>
  <si>
    <t>info@el-borriquito.de</t>
  </si>
  <si>
    <t>+49 30 312 99 29</t>
  </si>
  <si>
    <t>facebook: https://www.facebook.com/elborriquito/, instagram: https://www.instagram.com/el_borriquito/</t>
  </si>
  <si>
    <t>Good Friends</t>
  </si>
  <si>
    <t>https://www.goodfriends-berlin.de/</t>
  </si>
  <si>
    <t>info@goodfriends-berlin.de</t>
  </si>
  <si>
    <t>+49 30 3132659</t>
  </si>
  <si>
    <t>Thai Food Sawaddie</t>
  </si>
  <si>
    <t>Wielandstra√üe, Berlin, 10625</t>
  </si>
  <si>
    <t>Jayden</t>
  </si>
  <si>
    <t>Manfred-von-Richthofen-Stra√üe 6, Berlin, 12101</t>
  </si>
  <si>
    <t>https://jayden-restaurant.de/</t>
  </si>
  <si>
    <t>+49 30 77008518</t>
  </si>
  <si>
    <t>Corso Toscana</t>
  </si>
  <si>
    <t>S√ºdwestkorso 12, Berlin, 12161</t>
  </si>
  <si>
    <t>https://corso-toscana.de/</t>
  </si>
  <si>
    <t>77info@corso-toscana.de</t>
  </si>
  <si>
    <t>+49 30 91579577</t>
  </si>
  <si>
    <t>Restaurant-Caf√© Enzian</t>
  </si>
  <si>
    <t>Lala Noodle</t>
  </si>
  <si>
    <t>Enzianstra√üe 2, Berlin, 12203</t>
  </si>
  <si>
    <t>https://www.lalanoodle-sichuan.de/</t>
  </si>
  <si>
    <t>lalanoodle@hotmail.com</t>
  </si>
  <si>
    <t>+49 176 55088288</t>
  </si>
  <si>
    <t>The Luftbr√ºcke</t>
  </si>
  <si>
    <t>Manfred-von-Richthofen-Stra√üe 18, Berlin, 12101</t>
  </si>
  <si>
    <t>+49 30 91476118</t>
  </si>
  <si>
    <t>Rastst√§tte Gnadenbrot</t>
  </si>
  <si>
    <t>Martin-Luther-Stra√üe 20a, Berlin, 10777</t>
  </si>
  <si>
    <t>https://raststaette-gnadenbrot.de/</t>
  </si>
  <si>
    <t>+49 30 21961786</t>
  </si>
  <si>
    <t>De Santi</t>
  </si>
  <si>
    <t>Westf√§lische Stra√üe 45, Berlin, 10711</t>
  </si>
  <si>
    <t>+49 30 66642549</t>
  </si>
  <si>
    <t>Tavernetta Azara</t>
  </si>
  <si>
    <t>http://tavernetta-azara.de/</t>
  </si>
  <si>
    <t>+49 30 89043786</t>
  </si>
  <si>
    <t>Bhetghat</t>
  </si>
  <si>
    <t>Leibnizstra√üe 81, Berlin, 10625</t>
  </si>
  <si>
    <t>https://bhetghat-restaurant.de</t>
  </si>
  <si>
    <t>+49 30 49918110</t>
  </si>
  <si>
    <t>Landhaus Heiligensee</t>
  </si>
  <si>
    <t>https://www.landhaus-heiligensee.de</t>
  </si>
  <si>
    <t>info@landhaus-Heiligensee.de</t>
  </si>
  <si>
    <t>Werksk√ºche</t>
  </si>
  <si>
    <t>Storkower Stra√üe 207, Berlin, 10369</t>
  </si>
  <si>
    <t>https://werkskueche.berlin</t>
  </si>
  <si>
    <t>speiseplaene@werkskueche.berlin</t>
  </si>
  <si>
    <t>+49 152 55944320</t>
  </si>
  <si>
    <t>Die Stulle</t>
  </si>
  <si>
    <t>Carmerstra√üe 10, Berlin, 10623</t>
  </si>
  <si>
    <t>https://www.die-stulle.com/</t>
  </si>
  <si>
    <t>info@die-stulle.com</t>
  </si>
  <si>
    <t>tiktok: https://www.tiktok.com/@die_stulle_berlin?_t=8pUfvR7C2m8&amp;_r=1, instagram: https://www.instagram.com/die_stulle/, facebook: https://www.facebook.com/Die.Stulle.Berlin</t>
  </si>
  <si>
    <t>Asia Deli</t>
  </si>
  <si>
    <t>Seestra√üe 41, 13353</t>
  </si>
  <si>
    <t>https://asia-deli.eatbu.com/</t>
  </si>
  <si>
    <t>Butterhandlung</t>
  </si>
  <si>
    <t>Scharnweberstra√üe 54, Berlin, 10247</t>
  </si>
  <si>
    <t>http://butterhandlung.de/</t>
  </si>
  <si>
    <t>info@butterhandlung.de</t>
  </si>
  <si>
    <t>+49 30 68915679</t>
  </si>
  <si>
    <t>facebook: https://www.facebook.com/Butterhandlung/, instagram: https://www.instagram.com/butterhandlung/</t>
  </si>
  <si>
    <t>Sugar</t>
  </si>
  <si>
    <t>+49 30 12028129</t>
  </si>
  <si>
    <t>Kantine Arbeitsgericht "Cantina Lubitsch"</t>
  </si>
  <si>
    <t>Genthiner Str. 41, Berlin, 10785</t>
  </si>
  <si>
    <t>https://cantina-lubitsch.de/</t>
  </si>
  <si>
    <t>+49 30 99284011</t>
  </si>
  <si>
    <t>Kantine WZB</t>
  </si>
  <si>
    <t>Reichpietschufer 50, Berlin, 10785</t>
  </si>
  <si>
    <t>https://www.wzb.eu/sites/default/files/casino/speiseplan_aktuell.pdf</t>
  </si>
  <si>
    <t>Kantine Verteidigungsministerium</t>
  </si>
  <si>
    <t>Trattoria Nardini</t>
  </si>
  <si>
    <t>https://www.trattoria-nardini.com</t>
  </si>
  <si>
    <t>Nardininardini.trattoria@gmail.com</t>
  </si>
  <si>
    <t>+49 30 4969310</t>
  </si>
  <si>
    <t>Talmarant</t>
  </si>
  <si>
    <t>Imbiss an der Wasserstadt</t>
  </si>
  <si>
    <t>Tresoli</t>
  </si>
  <si>
    <t>B√∂lschestra√üe 105, Berlin, 12587</t>
  </si>
  <si>
    <t>http://www.tresoli-berlin.de/</t>
  </si>
  <si>
    <t>+49 30 64329915</t>
  </si>
  <si>
    <t>mama trattoria</t>
  </si>
  <si>
    <t>Theodor-Heuss-Platz 2, Berlin, 14052</t>
  </si>
  <si>
    <t>https://www.mama.eu/</t>
  </si>
  <si>
    <t>instagram: https://www.instagram.com/mamatrattoria/</t>
  </si>
  <si>
    <t>spindler &amp; klatt</t>
  </si>
  <si>
    <t>K√∂penicker Stra√üe 16-17, Berlin, 10997</t>
  </si>
  <si>
    <t>https://spindlerklatt.com/</t>
  </si>
  <si>
    <t>office@24-7event.com</t>
  </si>
  <si>
    <t>+49 30 319881860</t>
  </si>
  <si>
    <t>instagram: https://www.instagram.com/spindlerklatt, facebook: https://www.facebook.com/spindlerklatt</t>
  </si>
  <si>
    <t>Pankoff</t>
  </si>
  <si>
    <t>Breite Stra√üe 22, Berlin, 13187</t>
  </si>
  <si>
    <t>http://www.restaurant-pankoff.de</t>
  </si>
  <si>
    <t>restaurant-pankoff@web.de</t>
  </si>
  <si>
    <t>+49 30 47537769</t>
  </si>
  <si>
    <t>Focolare</t>
  </si>
  <si>
    <t>Sandstra√üe 41, Berlin, 13593</t>
  </si>
  <si>
    <t>+49 30 47058605</t>
  </si>
  <si>
    <t>L'Antica Pizzeria Da Michele</t>
  </si>
  <si>
    <t>Fritz-Reuter-Stra√üe 7, Berlin, 10827</t>
  </si>
  <si>
    <t>Thanh Binh</t>
  </si>
  <si>
    <t>La Cenetta</t>
  </si>
  <si>
    <t>Il Secondo</t>
  </si>
  <si>
    <t>Windscheidstra√üe 24, Berlin, 10627</t>
  </si>
  <si>
    <t>https://www.ristorante-il-secondo.com/</t>
  </si>
  <si>
    <t>ristorante-il-secondo@web.de</t>
  </si>
  <si>
    <t>+49 30 83224788</t>
  </si>
  <si>
    <t>Salumeria da Pino</t>
  </si>
  <si>
    <t>Geisbergstra√üe 14, Berlin, 10777</t>
  </si>
  <si>
    <t>http://www.salumeriadanino.com</t>
  </si>
  <si>
    <t>+49 30 2134841</t>
  </si>
  <si>
    <t>Brasserie Lamaz√®re</t>
  </si>
  <si>
    <t>Stuttgarter Platz 18</t>
  </si>
  <si>
    <t>https://www.lamazere.de/</t>
  </si>
  <si>
    <t>brasserie@lamazere.de</t>
  </si>
  <si>
    <t>+49 30 31800712</t>
  </si>
  <si>
    <t>facebook: https://www.facebook.com/pages/Lamaz√®re-Brasserie-Fran√ßaise/548901541799289, instagram: http://instagram.com/brasserielamazere/?hl=de</t>
  </si>
  <si>
    <t>focaccino</t>
  </si>
  <si>
    <t>Stuttgarter Platz 16, Berlin, 10627</t>
  </si>
  <si>
    <t>http://www.focaccino.eu</t>
  </si>
  <si>
    <t>geschlossenKontaktsizilien@focaccino.euImpressum</t>
  </si>
  <si>
    <t>facebook: https://www.facebook.com/watch/?v=343407121044420&amp;ref=sharing</t>
  </si>
  <si>
    <t>Cappuccino</t>
  </si>
  <si>
    <t>https://ristorante-cappuccino.de/spandau/</t>
  </si>
  <si>
    <t>spandau@ristorante-cappuccino.de</t>
  </si>
  <si>
    <t>+49 30 28508496</t>
  </si>
  <si>
    <t>M.Say</t>
  </si>
  <si>
    <t>Proskauer Stra√üe 33, Berlin, 10247</t>
  </si>
  <si>
    <t>Wunderbar</t>
  </si>
  <si>
    <t>Bernhardstra√üe 12, Berlin, 10715</t>
  </si>
  <si>
    <t>https://wunderbar-essen.de/</t>
  </si>
  <si>
    <t>+49 176 70981275</t>
  </si>
  <si>
    <t>Kooks Kochen</t>
  </si>
  <si>
    <t>Wexstra√üe 29, Berlin, 10715</t>
  </si>
  <si>
    <t>https://kokitchen.berlin/de/</t>
  </si>
  <si>
    <t>info@kokitchen.berlin</t>
  </si>
  <si>
    <t>Sagar</t>
  </si>
  <si>
    <t>Prinzregentenstra√üe 53, Berlin, 10715</t>
  </si>
  <si>
    <t>https://www.restaurant-sagar.de</t>
  </si>
  <si>
    <t>Yakamoz</t>
  </si>
  <si>
    <t>Taleh Thai</t>
  </si>
  <si>
    <t>K√§the-Niederkirchner-Stra√üe 14, Berlin, 10407</t>
  </si>
  <si>
    <t>http://www.talehthai.de</t>
  </si>
  <si>
    <t>info@talehthai.de</t>
  </si>
  <si>
    <t>+49 30 42851030</t>
  </si>
  <si>
    <t>instagram: https://www.instagram.com/explore/locations/332730578/restaurant-taleh-thai, facebook: https://www.facebook.com/TalehThai/</t>
  </si>
  <si>
    <t>Agra</t>
  </si>
  <si>
    <t>Alt-Moabit 107, Berlin, 10559</t>
  </si>
  <si>
    <t>http://agorarestaurant.eatbu.com</t>
  </si>
  <si>
    <t>agora.berlin17@gmail.com</t>
  </si>
  <si>
    <t>+49 30 91519664</t>
  </si>
  <si>
    <t>facebook: http://facebook.com/1839716166121575</t>
  </si>
  <si>
    <t>Brasserie Le Paris</t>
  </si>
  <si>
    <t>Kurf√ºrstendamm 211, Berlin, 10719</t>
  </si>
  <si>
    <t>https://brasserie-leparis.com/</t>
  </si>
  <si>
    <t>+49 30 88704655</t>
  </si>
  <si>
    <t>instagram: https://www.instagram.com/brasserieleparis.berlin, facebook: https://www.facebook.com/brasserieleparis.berlin</t>
  </si>
  <si>
    <t>Capone</t>
  </si>
  <si>
    <t>Kurf√ºrstendamm 202, Berlin, 10719</t>
  </si>
  <si>
    <t>El Dorado</t>
  </si>
  <si>
    <t>Kurf√ºrstendamm 203-205, Berlin, 10719</t>
  </si>
  <si>
    <t>https://eldorado-steakhaus.de/</t>
  </si>
  <si>
    <t>info@steakhaus-eldorando.de</t>
  </si>
  <si>
    <t>+49 30 88926582</t>
  </si>
  <si>
    <t>instagram: https://www.instagram.com/eldorado.steakhaus/?hl=de</t>
  </si>
  <si>
    <t>Shikgoo</t>
  </si>
  <si>
    <t>Tegeler Stra√üe 25, Berlin, 13353</t>
  </si>
  <si>
    <t>http://shikgoo.com</t>
  </si>
  <si>
    <t>Enzo</t>
  </si>
  <si>
    <t>Marienburger Stra√üe 38, Berlin, 10405</t>
  </si>
  <si>
    <t>https://www.enzo-sushibar.de/</t>
  </si>
  <si>
    <t>INFO@ENZO-SUSHIBAR.DE</t>
  </si>
  <si>
    <t>+49 30 25810108</t>
  </si>
  <si>
    <t>instagram: https://www.instagram.com/enzo.sushibar/</t>
  </si>
  <si>
    <t>To the Bone</t>
  </si>
  <si>
    <t>Torstra√üe 96, Berlin, 10119</t>
  </si>
  <si>
    <t>Hasina Eatery</t>
  </si>
  <si>
    <t>Ofener Stra√üe 2, Berlin, 13349</t>
  </si>
  <si>
    <t>https://www.hasina.de/</t>
  </si>
  <si>
    <t>+49 30 91505121</t>
  </si>
  <si>
    <t>Zum Bohnsdorfer Eck</t>
  </si>
  <si>
    <t>https://www.zum-bohnsdorfer-eck.de</t>
  </si>
  <si>
    <t>info@zum-bohnsdorfer-eck.de</t>
  </si>
  <si>
    <t>+49 30 6763464</t>
  </si>
  <si>
    <t>Der neue Platzhirsch</t>
  </si>
  <si>
    <t>derneueplatzhirsch@gmail.com</t>
  </si>
  <si>
    <t>Sam Yuk Gu</t>
  </si>
  <si>
    <t>Seestra√üe 71, Berlin, 13347</t>
  </si>
  <si>
    <t>Nostrano Cucina</t>
  </si>
  <si>
    <t>Nostitzstra√üe 33, Berlin, 10965</t>
  </si>
  <si>
    <t>https://www.instagram.com/nostrano.berlin</t>
  </si>
  <si>
    <t>+49 30 27582460</t>
  </si>
  <si>
    <t>Z</t>
  </si>
  <si>
    <t>Friesenstra√üe 12, Berlin, 10965</t>
  </si>
  <si>
    <t>https://www.restaurant-z.de/</t>
  </si>
  <si>
    <t>Milagro</t>
  </si>
  <si>
    <t>Bergmannstra√üe 12, 10961</t>
  </si>
  <si>
    <t>http://www.cafe-milagro.de/</t>
  </si>
  <si>
    <t>+49 30 92360677</t>
  </si>
  <si>
    <t>facebook: https://www.facebook.com/Cafe-Milagro-190634751035928/</t>
  </si>
  <si>
    <t>Chandra Kumari</t>
  </si>
  <si>
    <t>Gneisenaustra√üe 4, Berlin, 10961</t>
  </si>
  <si>
    <t>http://www.chandra-kumari.de/</t>
  </si>
  <si>
    <t>+49 30 694 12 03</t>
  </si>
  <si>
    <t>Bang Bang Handpulled Noodles</t>
  </si>
  <si>
    <t>Mehringdamm 51, Berlin, 10961</t>
  </si>
  <si>
    <t>India</t>
  </si>
  <si>
    <t>Bergmannstra√üe 100, Berlin, 10961</t>
  </si>
  <si>
    <t>Little Tibet</t>
  </si>
  <si>
    <t>Gneisenaustra√üe 6a, Berlin, 10961</t>
  </si>
  <si>
    <t>https://restaurant-little-tibet.eatbu.com/</t>
  </si>
  <si>
    <t>littletibet10961@gmail.com</t>
  </si>
  <si>
    <t>+49 30 69004747</t>
  </si>
  <si>
    <t>facebook: https://www.facebook.com/Little-Tibet-263206490412996/, instagram: https://www.instagram.com/berlinlittletibet/</t>
  </si>
  <si>
    <t>Nepal Haus</t>
  </si>
  <si>
    <t>Flemming's</t>
  </si>
  <si>
    <t>Mehringdamm 65, Berlin, 10961</t>
  </si>
  <si>
    <t>Seerose</t>
  </si>
  <si>
    <t>K√∂rtestra√üe 38, Berlin, 10967</t>
  </si>
  <si>
    <t>http://www.seerose-berlin.de/</t>
  </si>
  <si>
    <t>info@seerose-berlin.de</t>
  </si>
  <si>
    <t>+49 30 69815927</t>
  </si>
  <si>
    <t>facebook: https://www.facebook.com/Seerose-146181128743155/</t>
  </si>
  <si>
    <t>Swera</t>
  </si>
  <si>
    <t>Bergmannstra√üe 103, Berlin, 10961</t>
  </si>
  <si>
    <t>http://www.swera.de</t>
  </si>
  <si>
    <t>info@swera.de</t>
  </si>
  <si>
    <t>+49 30 61203301</t>
  </si>
  <si>
    <t>facebook: https://www.facebook.com/wordpress, twitter: https://twitter.com/wordpress, instagram: https://www.instagram.com/explore/tags/wordcamp/</t>
  </si>
  <si>
    <t>H∆∞∆°ng Qu√™</t>
  </si>
  <si>
    <t>Bergmannstra√üe 96, Berlin, 10961</t>
  </si>
  <si>
    <t>https://huong-que.de/</t>
  </si>
  <si>
    <t>+49 30 6949869</t>
  </si>
  <si>
    <t>instagram: https://www.instagram.com/huongque.berlin, facebook: https://www.facebook.com/Huong.Que.Berlin</t>
  </si>
  <si>
    <t>SongSong Kitchen</t>
  </si>
  <si>
    <t>JOSL Berlin</t>
  </si>
  <si>
    <t>Pestalozzistra√üe 70, Berlin, 10627</t>
  </si>
  <si>
    <t>http://www.josl.berlin/</t>
  </si>
  <si>
    <t>info@josl.berlin</t>
  </si>
  <si>
    <t>+49 179 950 95 62</t>
  </si>
  <si>
    <t>facebook: https://www.facebook.com/JoslBerlin1/</t>
  </si>
  <si>
    <t>Heno Heno</t>
  </si>
  <si>
    <t>Wielandstra√üe 37, Berlin, 10629</t>
  </si>
  <si>
    <t>http://henoheno.de/</t>
  </si>
  <si>
    <t>+49 30 66307370</t>
  </si>
  <si>
    <t>instagram: https://www.instagram.com/heno.tanz/</t>
  </si>
  <si>
    <t>Minh-Trang</t>
  </si>
  <si>
    <t>Kantstra√üe 67, Berlin, 10627</t>
  </si>
  <si>
    <t>+49 30 31801117</t>
  </si>
  <si>
    <t>Ziko‚Äôs Grill</t>
  </si>
  <si>
    <t>Kaiser-Friedrich-Stra√üe 64aa, Berlin, 10627</t>
  </si>
  <si>
    <t>http://www.zikos-grill.de</t>
  </si>
  <si>
    <t>restaurant@zikos-grill.de</t>
  </si>
  <si>
    <t>+49 30 3237023</t>
  </si>
  <si>
    <t>Attila</t>
  </si>
  <si>
    <t>https://www.restaurant-attila.de/</t>
  </si>
  <si>
    <t>+49 30 7515224</t>
  </si>
  <si>
    <t>facebook: https://www.facebook.com/pages/Restaurant-Attila/123153867740269</t>
  </si>
  <si>
    <t>Reisschale</t>
  </si>
  <si>
    <t>Hasenheide 9, Berlin</t>
  </si>
  <si>
    <t>+49 30 69819997</t>
  </si>
  <si>
    <t>Rasam</t>
  </si>
  <si>
    <t>Wasgenstra√üe 55, Berlin, 14129</t>
  </si>
  <si>
    <t>https://rasamrestaurant.de/</t>
  </si>
  <si>
    <t>+4930 91 55 2139</t>
  </si>
  <si>
    <t>Vino e Libri</t>
  </si>
  <si>
    <t>Choriner Stra√üe 72, Berlin, 10119</t>
  </si>
  <si>
    <t>+49 30 44715809</t>
  </si>
  <si>
    <t>Vino Del Sol</t>
  </si>
  <si>
    <t>Landsberger Allee 219a, Berlin, 13055</t>
  </si>
  <si>
    <t>http://www.vinodelsol.de/</t>
  </si>
  <si>
    <t>info@vinodelsol.de</t>
  </si>
  <si>
    <t>+49 30 97607047</t>
  </si>
  <si>
    <t>facebook: https://www.facebook.com/Vino-Del-Sol-434478816734585/</t>
  </si>
  <si>
    <t>Ristorante Pizzeria Venezia</t>
  </si>
  <si>
    <t>Sandstra√üe 60, Berlin, 13593</t>
  </si>
  <si>
    <t>https://ristorantepizzeriavenezia.wordpress.com/</t>
  </si>
  <si>
    <t>ristorante.venezia@outlook.de</t>
  </si>
  <si>
    <t>+49 30 664 63 755</t>
  </si>
  <si>
    <t>Suigyo Izakaya</t>
  </si>
  <si>
    <t>https://www.suigyo-restaurant-berlin.de/</t>
  </si>
  <si>
    <t>phuctrungiro6789@gmail.com</t>
  </si>
  <si>
    <t>+49 30 25768711</t>
  </si>
  <si>
    <t>facebook: https://www.facebook.com/SuigyoIzakaya, instagram: https://www.instagram.com/suigyo_izakaya</t>
  </si>
  <si>
    <t>Dae Mon</t>
  </si>
  <si>
    <t>Monbijouplatz 11, Berlin, 10178</t>
  </si>
  <si>
    <t>https://dae-mon.com/</t>
  </si>
  <si>
    <t>mail@dae-mon.com</t>
  </si>
  <si>
    <t>+49 30 26304811</t>
  </si>
  <si>
    <t>facebook: https://www.facebook.com/daemonberlin/, instagram: https://www.instagram.com/daemonberlin/</t>
  </si>
  <si>
    <t>Samowar</t>
  </si>
  <si>
    <t>Luisenplatz 3, Berlin, 10585</t>
  </si>
  <si>
    <t>https://restaurant-samowar.de/</t>
  </si>
  <si>
    <t>info@restaurant-samowar.de</t>
  </si>
  <si>
    <t>+49 30 3414154</t>
  </si>
  <si>
    <t>facebook: https://www.facebook.com/pages/Samowar/181257261897689?fref=ts, instagram: https://www.instagram.com/restaurant_samowar_berlin/</t>
  </si>
  <si>
    <t>Nicki's Mommsen Caf√©</t>
  </si>
  <si>
    <t>Mommsenstra√üe, Berlin, 10629</t>
  </si>
  <si>
    <t>Calcutta</t>
  </si>
  <si>
    <t>Bleibtreustra√üe 17, Berlin, 10623</t>
  </si>
  <si>
    <t>Sonora</t>
  </si>
  <si>
    <t>Krumme Stra√üe 41, Berlin, 10627</t>
  </si>
  <si>
    <t>Adamo's Tapas Bar &amp; Restaurant</t>
  </si>
  <si>
    <t>Krumme Stra√üe 42, Berlin, 10627</t>
  </si>
  <si>
    <t>https://www.adamostapasbar.de/de</t>
  </si>
  <si>
    <t>46adamostapasbar@gmail.comWillkommen</t>
  </si>
  <si>
    <t>+49 30 3136346</t>
  </si>
  <si>
    <t>Luardi</t>
  </si>
  <si>
    <t>Seri Melayu</t>
  </si>
  <si>
    <t>Abo Hedo</t>
  </si>
  <si>
    <t>Karl-Marx-Stra√üe 175, Berlin, 12043</t>
  </si>
  <si>
    <t>Shaam</t>
  </si>
  <si>
    <t>Karl-Marx-Stra√üe 177, Berlin, 12043</t>
  </si>
  <si>
    <t>al dente</t>
  </si>
  <si>
    <t>Greifswalder Stra√üe 29, Berlin, 10405</t>
  </si>
  <si>
    <t>http://www.aldente-berlin.de/</t>
  </si>
  <si>
    <t>+49 30 4254424</t>
  </si>
  <si>
    <t>instagram: https://www.instagram.com/aldenteberlin</t>
  </si>
  <si>
    <t>Palladin Kochschule</t>
  </si>
  <si>
    <t>Pallasstra√üe 14, Berlin, 10781</t>
  </si>
  <si>
    <t>Via Nova II</t>
  </si>
  <si>
    <t>Asia Bistro</t>
  </si>
  <si>
    <t>Tutti Island</t>
  </si>
  <si>
    <t>Zossener Stra√üe 17, Berlin, 10961</t>
  </si>
  <si>
    <t>+49 30 52661490</t>
  </si>
  <si>
    <t>Restauration Sophien 11</t>
  </si>
  <si>
    <t>Sophienstra√üe 11, Berlin, 10178</t>
  </si>
  <si>
    <t>http://www.restauration-sophien11.de/</t>
  </si>
  <si>
    <t>+49 30 28 32 136</t>
  </si>
  <si>
    <t>Pascha Grill</t>
  </si>
  <si>
    <t>Potsdamer Stra√üe 172, Berlin, 10783</t>
  </si>
  <si>
    <t>Smoke &amp; Barrel</t>
  </si>
  <si>
    <t>Arminiusstra√üe 2-4, Berlin, 10551</t>
  </si>
  <si>
    <t>https://arminiusmarkthalle.com/marktstaende/pignut-bbq/</t>
  </si>
  <si>
    <t>+49 175 2441000</t>
  </si>
  <si>
    <t>facebook: https://www.facebook.com/arminiusmarkthalle/, instagram: https://www.instagram.com/arminiusmarkthalleberlin/</t>
  </si>
  <si>
    <t>Restaurant Satt und Selig</t>
  </si>
  <si>
    <t>Carl-Schurz-Stra√üe 47, Berlin, 13597</t>
  </si>
  <si>
    <t>http://www.sattundselig.de</t>
  </si>
  <si>
    <t>info@steakeria-sattundselig.de</t>
  </si>
  <si>
    <t>+49 30 36753877</t>
  </si>
  <si>
    <t>Asia Tiger</t>
  </si>
  <si>
    <t>Greifswalder Stra√üe 211, Berlin, 10405</t>
  </si>
  <si>
    <t>+49 30 4427057</t>
  </si>
  <si>
    <t>zum heiligen teufel</t>
  </si>
  <si>
    <t>Muskauer Stra√üe 9, Berlin, 10997</t>
  </si>
  <si>
    <t>https://www.zumheiligenteufel.de/</t>
  </si>
  <si>
    <t>info@zumheiligenteufel.de</t>
  </si>
  <si>
    <t>instagram: https://www.instagram.com/zumheiligenteufel/, facebook: https://www.facebook.com/zumheiligenteufel</t>
  </si>
  <si>
    <t>Osteria del Sud</t>
  </si>
  <si>
    <t>Breisgauer Stra√üe 14, Berlin, 14129</t>
  </si>
  <si>
    <t>http://www.osteria-del-sud.de/</t>
  </si>
  <si>
    <t>+49 30 49968507</t>
  </si>
  <si>
    <t>Kantine im Roten Rathaus</t>
  </si>
  <si>
    <t>https://u-s-e.org/essen-tagen-feiern/rotes-rathaus/</t>
  </si>
  <si>
    <t>ratskeller@u-s-e.org</t>
  </si>
  <si>
    <t>facebook: https://www.facebook.com/Union-Sozialer-Einrichtungen-153730122011710/?modal=admin_todo_tour, instagram: https://www.instagram.com/union_sozialer_einrichtungen/</t>
  </si>
  <si>
    <t>Zaika</t>
  </si>
  <si>
    <t>Wichertstra√üe 57, Berlin, 10439</t>
  </si>
  <si>
    <t>http://www.restaurant-zaika.de</t>
  </si>
  <si>
    <t>Zaika.Berlin@gmail.com</t>
  </si>
  <si>
    <t>+49 30 40003435</t>
  </si>
  <si>
    <t>Nam √ù</t>
  </si>
  <si>
    <t>Wollankstra√üe 105, Berlin, 13187</t>
  </si>
  <si>
    <t>Vegano Mezo</t>
  </si>
  <si>
    <t>Rigaer Stra√üe 2, Berlin, 10247</t>
  </si>
  <si>
    <t>Kid Creole</t>
  </si>
  <si>
    <t>https://www.kidcreole.de</t>
  </si>
  <si>
    <t>kid@creole.de</t>
  </si>
  <si>
    <t>+49 30 65 07 66 80</t>
  </si>
  <si>
    <t>Adriatic</t>
  </si>
  <si>
    <t>http://www.restaurant-adriatic.de</t>
  </si>
  <si>
    <t>info@restaurant-adriatic.com</t>
  </si>
  <si>
    <t>+49 30 4012108</t>
  </si>
  <si>
    <t>Minh Ngoc Sushi</t>
  </si>
  <si>
    <t>https://www.minhngocsushi.de/</t>
  </si>
  <si>
    <t>Stranero</t>
  </si>
  <si>
    <t>Liebenwalder Stra√üe 11, Berlin, 13347</t>
  </si>
  <si>
    <t>straneroberlin@gmail.com</t>
  </si>
  <si>
    <t>+49 1573 3552900</t>
  </si>
  <si>
    <t>Goldadelux</t>
  </si>
  <si>
    <t>Erkelenzdamm 45, Berlin, 10999</t>
  </si>
  <si>
    <t>https://golda-delux.de/</t>
  </si>
  <si>
    <t>+49 30 31172143</t>
  </si>
  <si>
    <t>instagram: http://instagram.com/goldadelux/, facebook: https://www.facebook.com/goldadelux/</t>
  </si>
  <si>
    <t>Saigon-Today</t>
  </si>
  <si>
    <t>Wilmersdorfer Stra√üe 69, Berlin, 10629</t>
  </si>
  <si>
    <t>Cocolo Ramen</t>
  </si>
  <si>
    <t>https://kuchi.de/restaurant/cocolo-ramen/</t>
  </si>
  <si>
    <t>cocolo@kuchi.de</t>
  </si>
  <si>
    <t>+49 30 98339073</t>
  </si>
  <si>
    <t>The Vinh</t>
  </si>
  <si>
    <t>Oranienburger Stra√üe 93, Berlin, 13437</t>
  </si>
  <si>
    <t>Adana Grillhaus</t>
  </si>
  <si>
    <t>Audre-Lorde-Stra√üe 77, Berlin, 10997</t>
  </si>
  <si>
    <t>https://www.adanagrillhausberlin.de</t>
  </si>
  <si>
    <t>adanagrillhausberlin@outlook.de</t>
  </si>
  <si>
    <t>+49 30 6127790</t>
  </si>
  <si>
    <t>tiktok: https://www.tiktok.com/@adanagrillhaus?lang=de&amp;sender_device=pc&amp;sender_web_id=6868752197678515717&amp;is_from_webapp=1, facebook: https://www.facebook.com/adanagrillhausberlin, instagram: https://www.instagram.com/adanagrillhausberlin/</t>
  </si>
  <si>
    <t>Home of Dumplings</t>
  </si>
  <si>
    <t>Skalitzer Stra√üe 103, Berlin, 10997</t>
  </si>
  <si>
    <t>https://homeofdumplings.de</t>
  </si>
  <si>
    <t>instagram: https://www.instagram.com/homeofdumplings/, linkedin: https://www.linkedin.com/company/home-of-dumplings/</t>
  </si>
  <si>
    <t>Ri Trovo</t>
  </si>
  <si>
    <t>Martin-Luther-Stra√üe 120, Berlin, 10825</t>
  </si>
  <si>
    <t>https://www.ritrovo-berlin.de</t>
  </si>
  <si>
    <t>+49 30 78894942</t>
  </si>
  <si>
    <t>Pan</t>
  </si>
  <si>
    <t>Kropp</t>
  </si>
  <si>
    <t>Mendoza</t>
  </si>
  <si>
    <t>Johannisthaler Chaussee 307, Berlin, 12351</t>
  </si>
  <si>
    <t>http://mendoza-berlin.de/</t>
  </si>
  <si>
    <t>info@elatedthemes.com</t>
  </si>
  <si>
    <t>+49 30 6033035</t>
  </si>
  <si>
    <t>Watapas</t>
  </si>
  <si>
    <t>B√∂tzowstra√üe 33, Berlin, 10407</t>
  </si>
  <si>
    <t>https://watapas.jimdo.com/</t>
  </si>
  <si>
    <t>+49 30 81404177</t>
  </si>
  <si>
    <t>King King</t>
  </si>
  <si>
    <t>Rosa-Luxemburg-Stra√üe 17, Berlin, 10178</t>
  </si>
  <si>
    <t>https://www.kingkingberlin.de/</t>
  </si>
  <si>
    <t>Cicchetti da Rosa (Salumeria Rosa)</t>
  </si>
  <si>
    <t>Ludwigkirchplatz 12, Berlin, 10719</t>
  </si>
  <si>
    <t>https://cicchettidarosa.de/</t>
  </si>
  <si>
    <t>info@cicchettidarosa.de</t>
  </si>
  <si>
    <t>+49 30 39879829</t>
  </si>
  <si>
    <t>instagram: https://www.instagram.com/cicchetti_da_rosa/</t>
  </si>
  <si>
    <t>Meraki</t>
  </si>
  <si>
    <t>Brentano</t>
  </si>
  <si>
    <t>Brentanostra√üe 7, Berlin, 12163</t>
  </si>
  <si>
    <t>http://www.brentano-berlin.de/de/</t>
  </si>
  <si>
    <t>+49 30 89731902</t>
  </si>
  <si>
    <t>Viet koch BBQ</t>
  </si>
  <si>
    <t>Schorlemerallee 5, Berlin, 14195</t>
  </si>
  <si>
    <t>Michelangelo</t>
  </si>
  <si>
    <t>Rixdorfer Stra√üe 86, Berlin, 12109</t>
  </si>
  <si>
    <t>Villa Christina</t>
  </si>
  <si>
    <t>https://www.villa-christina-berlin.de/</t>
  </si>
  <si>
    <t>info@villa-christina-berlin.de</t>
  </si>
  <si>
    <t>Bar Internazionale</t>
  </si>
  <si>
    <t>Rosa-Luxemburg-Stra√üe 31, Berlin, 10178</t>
  </si>
  <si>
    <t>https://www.bar-internazionale.de/</t>
  </si>
  <si>
    <t>info@bar-internazionale.de</t>
  </si>
  <si>
    <t>+49 30 93918368</t>
  </si>
  <si>
    <t>Da Balistreri</t>
  </si>
  <si>
    <t>Mierendorffplatz 8, Berlin, 10589</t>
  </si>
  <si>
    <t>https://www.dabalistreri.de/</t>
  </si>
  <si>
    <t>+49 30 34092660</t>
  </si>
  <si>
    <t>Back &amp; Cafe Flott</t>
  </si>
  <si>
    <t>Vi·ªát Ph·ªë</t>
  </si>
  <si>
    <t>Herzbergstra√üe 132, Berlin, 10365</t>
  </si>
  <si>
    <t>Rosa Mexicana</t>
  </si>
  <si>
    <t>Meraner Stra√üe 20B, Berlin, 10825</t>
  </si>
  <si>
    <t>Smart Deli</t>
  </si>
  <si>
    <t>Novalisstra√üe 2, Berlin, 10115</t>
  </si>
  <si>
    <t>https://www.smartdeli.org</t>
  </si>
  <si>
    <t>info@smartdeli.org</t>
  </si>
  <si>
    <t>+49 30 20687037</t>
  </si>
  <si>
    <t>facebook: https://www.facebook.com/smartdeli-136074039821185/, instagram: https://www.instagram.com/smartdelic/</t>
  </si>
  <si>
    <t>Albert-Speisemanufaktur</t>
  </si>
  <si>
    <t>Johann-Hittorf-Stra√üe 8, Berlin, 12489</t>
  </si>
  <si>
    <t>https://speisemanufaktur-adlershof.de/</t>
  </si>
  <si>
    <t>+49 30 63927738</t>
  </si>
  <si>
    <t>Rutz</t>
  </si>
  <si>
    <t>Chausseestra√üe 8, Berlin, 10115</t>
  </si>
  <si>
    <t>https://www.rutz-restaurant.de/</t>
  </si>
  <si>
    <t>info@weinbar-rutz.de</t>
  </si>
  <si>
    <t>+49 30 2462 8760</t>
  </si>
  <si>
    <t>facebook: https://www.facebook.com/RutzRestaurantBerlin/, instagram: https://www.instagram.com/rutz_restaurant_berlin/</t>
  </si>
  <si>
    <t>L.A. Cafe</t>
  </si>
  <si>
    <t>Budapester Stra√üe 2, Berlin, 10787</t>
  </si>
  <si>
    <t>Rembrandt Burger</t>
  </si>
  <si>
    <t>Richard-Sorge-Stra√üe 21, Berlin, 10249</t>
  </si>
  <si>
    <t>http://www.rembrandt-burger.de/</t>
  </si>
  <si>
    <t>info@rembrandt-burger.de</t>
  </si>
  <si>
    <t>+49 30 89997296</t>
  </si>
  <si>
    <t>facebook: https://www.facebook.com/pages/Rembrandt-Burger/495349663871203</t>
  </si>
  <si>
    <t>Enoteca Vecchio Mulino</t>
  </si>
  <si>
    <t>Drakestra√üe 36, Berlin, 12205</t>
  </si>
  <si>
    <t>Mimino Royal</t>
  </si>
  <si>
    <t>Fasanenstra√üe 14, Berlin, 10623</t>
  </si>
  <si>
    <t>info@mimino-berlin.com</t>
  </si>
  <si>
    <t>+49 30 327 66 384</t>
  </si>
  <si>
    <t>Tierra Colombiana</t>
  </si>
  <si>
    <t>Mittenwalder Stra√üe 27, Berlin, 10961</t>
  </si>
  <si>
    <t>http://www.tierra-colombiana.com</t>
  </si>
  <si>
    <t>+49 30 69507911</t>
  </si>
  <si>
    <t>Meilenstein Spandau</t>
  </si>
  <si>
    <t>Am Juliusturm 104, Berlin, 13597</t>
  </si>
  <si>
    <t>Pizza Miranda</t>
  </si>
  <si>
    <t>M√ºllerstra√üe 142, Berlin, 13353</t>
  </si>
  <si>
    <t>+49 30 80585088</t>
  </si>
  <si>
    <t>Ruby's</t>
  </si>
  <si>
    <t>Ripieno</t>
  </si>
  <si>
    <t>https://cafe-trainspot-berlin.de/</t>
  </si>
  <si>
    <t>creminoberlin@gmail.com</t>
  </si>
  <si>
    <t>+49 176 61994613</t>
  </si>
  <si>
    <t>Good Morning Vietnam</t>
  </si>
  <si>
    <t>Bergmannstra√üe 102, Berlin, 10961</t>
  </si>
  <si>
    <t>http://good-morning-vietnam.de</t>
  </si>
  <si>
    <t>info@good-morning-vietnam.de</t>
  </si>
  <si>
    <t>+49 30 62901377</t>
  </si>
  <si>
    <t>Steakhaus Montero</t>
  </si>
  <si>
    <t>http://www.hotel-plovdiv.de/restaurant.htm</t>
  </si>
  <si>
    <t>La Vado</t>
  </si>
  <si>
    <t>W√ºnsdorfer Stra√üe 107, Berlin, 12307</t>
  </si>
  <si>
    <t>https://www.lieferando.de/speisekarte/la-vado-berlin</t>
  </si>
  <si>
    <t>Familienlokal Am Britzer Garten</t>
  </si>
  <si>
    <t>Buckower Damm 161/163, Berlin, 12349</t>
  </si>
  <si>
    <t>Berlinchen</t>
  </si>
  <si>
    <t>Bayreuther Stra√üe 44, Berlin, 10787</t>
  </si>
  <si>
    <t>https://restaurant-berlinchen.de/</t>
  </si>
  <si>
    <t>info@restaurant-berlinchen.de</t>
  </si>
  <si>
    <t>+49 30 21996177</t>
  </si>
  <si>
    <t>Wing-Seng</t>
  </si>
  <si>
    <t>Wollankstra√üe 28, Berlin, 13359</t>
  </si>
  <si>
    <t>https://www.wing-seng.de/</t>
  </si>
  <si>
    <t>Blumental</t>
  </si>
  <si>
    <t>Engeldamm 64, Berlin, 10179</t>
  </si>
  <si>
    <t>https://blumental-berlin.de/</t>
  </si>
  <si>
    <t>reservierungen@blumental-berlin.deWe</t>
  </si>
  <si>
    <t>instagram: http://instagram.com/blumental_berlin/</t>
  </si>
  <si>
    <t>Ramen Bones 3</t>
  </si>
  <si>
    <t>Neue Bahnhofstra√üe 22, Berlin, 10245</t>
  </si>
  <si>
    <t>Lucky Leek</t>
  </si>
  <si>
    <t>Kollwitzstra√üe 46, Berlin, 10405</t>
  </si>
  <si>
    <t>https://lucky-leek.com/</t>
  </si>
  <si>
    <t>kontakt@lucky-leek.com</t>
  </si>
  <si>
    <t>+49 30 66408710</t>
  </si>
  <si>
    <t>instagram: https://www.instagram.com/luckyleek?igsh=azZubnhjdWMzeXBo</t>
  </si>
  <si>
    <t>Linh yu!</t>
  </si>
  <si>
    <t>Stresemannstra√üe 105, Berlin, 10963</t>
  </si>
  <si>
    <t>https://www.linhlinhspezialitaet.de/</t>
  </si>
  <si>
    <t>+49 30 26101607</t>
  </si>
  <si>
    <t>Look &amp; Feel Restaurant 008GRILL</t>
  </si>
  <si>
    <t>Lef√®vrestra√üe 1, Berlin, 12161</t>
  </si>
  <si>
    <t>https://008grill.de</t>
  </si>
  <si>
    <t>info@look-bbq.com</t>
  </si>
  <si>
    <t>Neni Berlin</t>
  </si>
  <si>
    <t>Budapester Stra√üe 40</t>
  </si>
  <si>
    <t>https://nenifood.com/restaurants/berlin</t>
  </si>
  <si>
    <t>neni.bikini@25hours-hotels.com</t>
  </si>
  <si>
    <t>+49 30 120221200</t>
  </si>
  <si>
    <t>instagram: https://www.instagram.com/nenifood</t>
  </si>
  <si>
    <t>Cafe Sidney</t>
  </si>
  <si>
    <t>Pariser Stra√üe 19, Berlin, 10707</t>
  </si>
  <si>
    <t>https://www.cafesidneyberlin.de/</t>
  </si>
  <si>
    <t>facebook: https://www.facebook.com/SidneyBln/, instagram: https://instagram.com/cafesidneybln?igshid=1p41bi7e99wr3</t>
  </si>
  <si>
    <t>Mr Hai ‚Äì Shabuki</t>
  </si>
  <si>
    <t>Olivaer Platz 10, Berlin, 10707</t>
  </si>
  <si>
    <t>http://www.mrhai.de/</t>
  </si>
  <si>
    <t>+49 30 88628136</t>
  </si>
  <si>
    <t>Prime Kebab</t>
  </si>
  <si>
    <t>Berlin</t>
  </si>
  <si>
    <t>Lovely Sushi</t>
  </si>
  <si>
    <t>Anton-Saefkow-Platz 4, Berlin, 10369</t>
  </si>
  <si>
    <t>http://www.lovelysushi.de/</t>
  </si>
  <si>
    <t>facebook: https://www.facebook.com/www.lovelysushi.de, instagram: https://www.instagram.com/lovelysushibar/</t>
  </si>
  <si>
    <t>Facil</t>
  </si>
  <si>
    <t>https://www.facil.de/</t>
  </si>
  <si>
    <t>welcome@facil.de</t>
  </si>
  <si>
    <t>instagram: https://www.instagram.com/restaurant_facil/, facebook: https://www.facebook.com/RestaurantFACIL/</t>
  </si>
  <si>
    <t>Yosoy</t>
  </si>
  <si>
    <t>Rosenthaler Stra√üe 37, Berlin, 10178</t>
  </si>
  <si>
    <t>https://www.yosoy.de/</t>
  </si>
  <si>
    <t>instagram: https://www.instagram.com/yosoytapasbar/?hl=de, facebook: https://www.facebook.com/yosoytapasbar/</t>
  </si>
  <si>
    <t>Caramel</t>
  </si>
  <si>
    <t>Zimmerstra√üe 26, Berlin, 10969</t>
  </si>
  <si>
    <t>http://www.caramelberlin.de/</t>
  </si>
  <si>
    <t>+49 30 25931958</t>
  </si>
  <si>
    <t>facebook: https://www.facebook.com/pages/Caramel-Berlin/150155248430940?fref=ts</t>
  </si>
  <si>
    <t>Greek Restaurant</t>
  </si>
  <si>
    <t>Thronburger</t>
  </si>
  <si>
    <t>Wilhelminenhofstra√üe 65, Berlin, 12459</t>
  </si>
  <si>
    <t>http://www.Thronburger.de</t>
  </si>
  <si>
    <t>info@thronburger.de</t>
  </si>
  <si>
    <t>instagram: https://www.instagram.com/thronburgerberlin/, facebook: https://www.facebook.com/thronburger, twitter: http://twitter.com/thronburger</t>
  </si>
  <si>
    <t>Gingi's Izakaya</t>
  </si>
  <si>
    <t>Rykestra√üe 45, Berlin, 10405</t>
  </si>
  <si>
    <t>https://www.gingis-izakaya.de/</t>
  </si>
  <si>
    <t>contact@gingis-izakaya.de</t>
  </si>
  <si>
    <t>+49 30 440 493 97</t>
  </si>
  <si>
    <t>facebook: https://www.facebook.com/Gingis-Izakaya-124291865925/info/?section=hours&amp;tab=page_info</t>
  </si>
  <si>
    <t>Ulrichs</t>
  </si>
  <si>
    <t>Karl-Heinrich-Ulrichs-Stra√üe 11, Berlin, 10787</t>
  </si>
  <si>
    <t>https://www.berlin-aidshilfe.de/angebote/ulrichs/</t>
  </si>
  <si>
    <t>thomas.sielaff@berlin-aidshilfe.de</t>
  </si>
  <si>
    <t>+49 30 88564088</t>
  </si>
  <si>
    <t>facebook: https://www.facebook.com/ulrichsberlin, twitter: http://twitter.com/share?url=https://www.berlin-aidshilfe.de/angebote/ulrichs/&amp;text=Ulrichs ‚Äì Dein Treffpunkt</t>
  </si>
  <si>
    <t>Gasthaus zur Gem√ºtlichkeit</t>
  </si>
  <si>
    <t>Chris-Gueffroy-Allee 26, Berlin, 12437</t>
  </si>
  <si>
    <t>Sushi for you</t>
  </si>
  <si>
    <t>Fritz-Reuter-Allee 179, Berlin, 12359</t>
  </si>
  <si>
    <t>https://www.sushi-for-you.de/berlin_kreuzberg/</t>
  </si>
  <si>
    <t>info@sushi-for-you.de</t>
  </si>
  <si>
    <t>+49 30 58844488</t>
  </si>
  <si>
    <t>instagram: https://www.instagram.com/sushiforyou_official/, facebook: https://www.facebook.com/Sushiforyou.official/</t>
  </si>
  <si>
    <t>Hafis</t>
  </si>
  <si>
    <t>Neue Kantstra√üe 17, Berlin, 14057</t>
  </si>
  <si>
    <t>http://restaurant-hafis.com/</t>
  </si>
  <si>
    <t>+49 30 33771010</t>
  </si>
  <si>
    <t>Zur Tr√§nke</t>
  </si>
  <si>
    <t>Schichauweg 49, Berlin, 12307</t>
  </si>
  <si>
    <t>Tianfuzius</t>
  </si>
  <si>
    <t>Regensburger Stra√üe 1, Berlin, 10777</t>
  </si>
  <si>
    <t>http://tianfu.de/tianfuzius/</t>
  </si>
  <si>
    <t>facebook: https://www.facebook.com/tianfuzius, instagram: https://www.instagram.com/tianfuzius.berlin/</t>
  </si>
  <si>
    <t>Caf√© Peri</t>
  </si>
  <si>
    <t>Kreutzigerstra√üe 14, Berlin, 10247</t>
  </si>
  <si>
    <t>https://www.cafe-peri.de</t>
  </si>
  <si>
    <t>info@cafe-peri.com</t>
  </si>
  <si>
    <t>+49 30 40 399 332</t>
  </si>
  <si>
    <t>Asia Point</t>
  </si>
  <si>
    <t>Petersburger Stra√üe 87, Berlin, 10247</t>
  </si>
  <si>
    <t>Khao Taan</t>
  </si>
  <si>
    <t>Gryphiusstra√üe 10, Berlin, 10245</t>
  </si>
  <si>
    <t>https://khaotaan.com/</t>
  </si>
  <si>
    <t>info@khaotaan.com</t>
  </si>
  <si>
    <t>+49 30 586 174 00</t>
  </si>
  <si>
    <t>Big Bascha</t>
  </si>
  <si>
    <t>Huttenstra√üe 5, Berlin, 10553</t>
  </si>
  <si>
    <t>http://www.bigbascha.de/</t>
  </si>
  <si>
    <t>+49 30 28459383</t>
  </si>
  <si>
    <t>Mezos</t>
  </si>
  <si>
    <t>Emser Stra√üe 41, Berlin, 12051</t>
  </si>
  <si>
    <t>Vdoma</t>
  </si>
  <si>
    <t>Regattastra√üe 105, Berlin, 12527</t>
  </si>
  <si>
    <t>Falco' Slice</t>
  </si>
  <si>
    <t>Falckensteinstra√üe 33, Berlin, 10997</t>
  </si>
  <si>
    <t>+49 1725 113824</t>
  </si>
  <si>
    <t>M√§dchenitaliener</t>
  </si>
  <si>
    <t>Alte Sch√∂nhauser Stra√üe 12, Berlin, 10119</t>
  </si>
  <si>
    <t>+49 30 40041787</t>
  </si>
  <si>
    <t>Veracruz</t>
  </si>
  <si>
    <t>B√∂lschestra√üe 66, Berlin, 12587</t>
  </si>
  <si>
    <t>https://veracruz-berlin.de/</t>
  </si>
  <si>
    <t>Veracruz-GmbH@web.de</t>
  </si>
  <si>
    <t>+49 30 65497394</t>
  </si>
  <si>
    <t>Caf√© sch√∂ngr√ºn</t>
  </si>
  <si>
    <t>Fasanerie 10, Berlin, 13469</t>
  </si>
  <si>
    <t>UnfassBar</t>
  </si>
  <si>
    <t>F√ºrstenwalder Damm 484, Berlin, 12587</t>
  </si>
  <si>
    <t>Bobbe</t>
  </si>
  <si>
    <t>Motzstra√üe 91, Berlin, 10779</t>
  </si>
  <si>
    <t>Caphe HOA 2</t>
  </si>
  <si>
    <t>Lausitzer Stra√üe 48, Berlin, 10999</t>
  </si>
  <si>
    <t>https://www.caphe-hoa.com/hoa2-startseite</t>
  </si>
  <si>
    <t>+49 30 61288480</t>
  </si>
  <si>
    <t>Bamboo‚Äôs Hut Asiatische K√ºche &amp; Sushi Bar</t>
  </si>
  <si>
    <t>Georgenkirchstra√üe 3, Berlin, 10249</t>
  </si>
  <si>
    <t>http://bambooshut.de</t>
  </si>
  <si>
    <t>+49 30 24781215</t>
  </si>
  <si>
    <t>Mauna Kea</t>
  </si>
  <si>
    <t>B√∂lschestra√üe 44, Berlin, 12587</t>
  </si>
  <si>
    <t>http://www.mauna-kea.de/</t>
  </si>
  <si>
    <t>39202336info@mauna-kea.de</t>
  </si>
  <si>
    <t>instagram: https://www.instagram.com/maunakeaberlin/?hl=de</t>
  </si>
  <si>
    <t>Apne Berlin</t>
  </si>
  <si>
    <t>Schlierbacher Weg 7, Berlin, 12349</t>
  </si>
  <si>
    <t>http://www.restaurant-apne1.de/</t>
  </si>
  <si>
    <t>Co Do</t>
  </si>
  <si>
    <t>Ritterfelddamm 1, Berlin, 14089</t>
  </si>
  <si>
    <t>Knusperh√§uschen</t>
  </si>
  <si>
    <t>Kladower Damm 145, Berlin, 14089</t>
  </si>
  <si>
    <t>https://www.ins-knusperhaeuschen.com/</t>
  </si>
  <si>
    <t>support@ins-knusperhaeuschen.com</t>
  </si>
  <si>
    <t>+49 30 3659999</t>
  </si>
  <si>
    <t>Dr. To's</t>
  </si>
  <si>
    <t>Restaurant Morgenland</t>
  </si>
  <si>
    <t>D√ºsterhauptstra√üe 1, Berlin, 13469</t>
  </si>
  <si>
    <t>https://www.morgen-land.de/</t>
  </si>
  <si>
    <t>info@morgen-land.de</t>
  </si>
  <si>
    <t>+49 30 403 95 995</t>
  </si>
  <si>
    <t>facebook: https://www.facebook.com/restaurant.morgenland</t>
  </si>
  <si>
    <t>Caf√© im Wasserturm</t>
  </si>
  <si>
    <t>Torgauer Stra√üe 12-15, Berlin, 10829</t>
  </si>
  <si>
    <t>https://euref.de/entry/cafe-im-wasserturm/</t>
  </si>
  <si>
    <t>info@euref.de</t>
  </si>
  <si>
    <t>+49 30 26476742</t>
  </si>
  <si>
    <t>instagram: https://www.instagram.com/eurefcampus/, linkedin: https://www.linkedin.com/company/euref-ag</t>
  </si>
  <si>
    <t>Ami</t>
  </si>
  <si>
    <t>Buckower Damm 227, Berlin, 12349</t>
  </si>
  <si>
    <t>https://ami-asia.de/index.html</t>
  </si>
  <si>
    <t>info@hami-berlin.de</t>
  </si>
  <si>
    <t>+49 30 22456393</t>
  </si>
  <si>
    <t>Il Giradischi</t>
  </si>
  <si>
    <t>Oderberger Stra√üe 22, Berlin, 10435</t>
  </si>
  <si>
    <t>+49 30 60943080</t>
  </si>
  <si>
    <t>Nomad</t>
  </si>
  <si>
    <t>Borsigstra√üe 28, 10115</t>
  </si>
  <si>
    <t>Trattoria Il Monello</t>
  </si>
  <si>
    <t>Sterndamm 7, Berlin, 12487</t>
  </si>
  <si>
    <t>Sofia Bar</t>
  </si>
  <si>
    <t>Platz der Vereinten Nationen 1, Berlin, 10249</t>
  </si>
  <si>
    <t>http://www.sofiabar.de/</t>
  </si>
  <si>
    <t>ivanov@sofiabar.de</t>
  </si>
  <si>
    <t>+49 30 48622769</t>
  </si>
  <si>
    <t>Simpl√©</t>
  </si>
  <si>
    <t>Heerstra√üe 419, Berlin, 13593</t>
  </si>
  <si>
    <t>https://simple-restaurant.de/</t>
  </si>
  <si>
    <t>simple.indochina@gmail.com</t>
  </si>
  <si>
    <t>+49 30 27986178</t>
  </si>
  <si>
    <t>facebook: https://www.facebook.com/Simple-Restaurant-289856628333136/</t>
  </si>
  <si>
    <t>Trattoria Villa Arcino's</t>
  </si>
  <si>
    <t>Wilhelmstra√üe 89, Berlin, 13593</t>
  </si>
  <si>
    <t>https://villa-arcinos.de/</t>
  </si>
  <si>
    <t>+49 30 36 14 935</t>
  </si>
  <si>
    <t>Il Passetto</t>
  </si>
  <si>
    <t>Am Pichelssee 22, Berlin, 13595</t>
  </si>
  <si>
    <t>http://www.ilpassetto.de</t>
  </si>
  <si>
    <t>+49 30 3016895</t>
  </si>
  <si>
    <t>Mido XBerg</t>
  </si>
  <si>
    <t>Marheinekeplatz 3-4, Berlin, 10961</t>
  </si>
  <si>
    <t>https://xberg.mido.berlin/</t>
  </si>
  <si>
    <t>+49 30 93522779</t>
  </si>
  <si>
    <t>facebook: https://www.facebook.com/midorestaurantberlin/, instagram: https://www.instagram.com/midorestaurantberlin/</t>
  </si>
  <si>
    <t>King-Men</t>
  </si>
  <si>
    <t>Falkenseer Chaussee 217, Berlin, 13583</t>
  </si>
  <si>
    <t>http://www.kingmen.de/</t>
  </si>
  <si>
    <t>+49 30 3727092</t>
  </si>
  <si>
    <t>Wilde Oscar</t>
  </si>
  <si>
    <t>Niebuhrstra√üe 59-60, Berlin, 10629</t>
  </si>
  <si>
    <t>https://wildeoscar.de/</t>
  </si>
  <si>
    <t>essen@wildeoscar.de</t>
  </si>
  <si>
    <t>+49 6805 3500</t>
  </si>
  <si>
    <t>Cubi</t>
  </si>
  <si>
    <t>Havelstra√üe 2, Berlin, 13597</t>
  </si>
  <si>
    <t>http://www.cubi-berlin.de/</t>
  </si>
  <si>
    <t>+49 30 54592728</t>
  </si>
  <si>
    <t>Buenos Aires</t>
  </si>
  <si>
    <t>Pichelsdorfer Stra√üe 51</t>
  </si>
  <si>
    <t>http://www.restaurant-buenosaires.de/</t>
  </si>
  <si>
    <t>25info@restaurant-buenosaires.dePichelsdorfer</t>
  </si>
  <si>
    <t>+49 30 3629225</t>
  </si>
  <si>
    <t>tiktok: https://www.tiktok.com/@buenosairessteakhaus?_t=ZN-8ycexa5e7F8&amp;_r=1</t>
  </si>
  <si>
    <t>Faelt</t>
  </si>
  <si>
    <t>Vorbergstra√üe 10a, Berlin, 10823</t>
  </si>
  <si>
    <t>https://www.faelt.de/</t>
  </si>
  <si>
    <t>booking@faelt.de</t>
  </si>
  <si>
    <t>instagram: https://www.instagram.com/faelt_brln/, facebook: https://www.facebook.com/p/Faelt-restaurant-100063719191965/</t>
  </si>
  <si>
    <t>Grill Royal</t>
  </si>
  <si>
    <t>Friedrichstra√üe 105B, Berlin, 10117</t>
  </si>
  <si>
    <t>https://grillroyal.com/</t>
  </si>
  <si>
    <t>office@grillroyal.com</t>
  </si>
  <si>
    <t>+49 30 28879288</t>
  </si>
  <si>
    <t>instagram: https://www.instagram.com/grill_royal/</t>
  </si>
  <si>
    <t>Sahara</t>
  </si>
  <si>
    <t>Wildenbruchstra√üe 85, Berlin, 12045</t>
  </si>
  <si>
    <t>Restaurant Mehek</t>
  </si>
  <si>
    <t>Sch√∂nwalder Stra√üe 22, Berlin, 13585</t>
  </si>
  <si>
    <t>http://www.mehek-spandau.de</t>
  </si>
  <si>
    <t>+49 30 3365252</t>
  </si>
  <si>
    <t>Yuumi</t>
  </si>
  <si>
    <t>Emanuelstra√üe 1, Berlin, 10317</t>
  </si>
  <si>
    <t>https://www.restaurantyuumi.com</t>
  </si>
  <si>
    <t>info@restaurantyuumi.com</t>
  </si>
  <si>
    <t>+49 30 24355881</t>
  </si>
  <si>
    <t>facebook: https://www.facebook.com/yuumi.berlin/, instagram: https://www.instagram.com/restaurantyuumi/</t>
  </si>
  <si>
    <t>Caf√© Jacques</t>
  </si>
  <si>
    <t>Maybachufer 14, Berlin, 12047</t>
  </si>
  <si>
    <t>https://www.cafejacques.de/</t>
  </si>
  <si>
    <t>Mirabelle</t>
  </si>
  <si>
    <t>Schulzestra√üe 21, Berlin, 13187</t>
  </si>
  <si>
    <t>https://www.cafe-mirabelle.com/</t>
  </si>
  <si>
    <t>willkommen@cafe-mirabelle.com</t>
  </si>
  <si>
    <t>tiktok: https://www.tiktok.com/@mirabelle.berlinpankow, instagram: https://www.instagram.com/pauls_honig/, facebook: https://www.facebook.com/MirabellePankow/</t>
  </si>
  <si>
    <t>Caf√© Restaurant am Salzufer</t>
  </si>
  <si>
    <t>Salzufer 13/14, Berlin, 10587</t>
  </si>
  <si>
    <t>https://cafe-am-salzufer.de/</t>
  </si>
  <si>
    <t>kontakt@cafe-am-salzufer.de</t>
  </si>
  <si>
    <t>+49 30 39746270</t>
  </si>
  <si>
    <t>instagram: https://www.instagram.com/party_location_salzufer/?hl=de</t>
  </si>
  <si>
    <t>The New Sora</t>
  </si>
  <si>
    <t>Sonntagstra√üe 26, Berlin, 10245</t>
  </si>
  <si>
    <t>https://imginn.com/thenewsora.berlin</t>
  </si>
  <si>
    <t>+49 30 22600379</t>
  </si>
  <si>
    <t>Mai Kudamm</t>
  </si>
  <si>
    <t>Meinekestra√üe 23</t>
  </si>
  <si>
    <t>Zehlendorfer Hof</t>
  </si>
  <si>
    <t>Potsdamer Stra√üe 25, Berlin, 14163</t>
  </si>
  <si>
    <t>http://www.zehlendorferhof.de/</t>
  </si>
  <si>
    <t>zehlendorferhof@icloud.com</t>
  </si>
  <si>
    <t>Fatica</t>
  </si>
  <si>
    <t>Potsdamer Stra√üe 26, Berlin, 14163</t>
  </si>
  <si>
    <t>http://www.fatica-lieferberlin.de/</t>
  </si>
  <si>
    <t>Tadƒ±m Ocakba≈üƒ± Restorant</t>
  </si>
  <si>
    <t>Zossener Stra√üe 46, Berlin, 10961</t>
  </si>
  <si>
    <t>+49 30 50917710</t>
  </si>
  <si>
    <t>Mr. Le</t>
  </si>
  <si>
    <t>Sch√∂nhauser Allee 140</t>
  </si>
  <si>
    <t>Kochu Karu</t>
  </si>
  <si>
    <t>Eberswalder Stra√üe 35, Berlin, 10437</t>
  </si>
  <si>
    <t>https://kochukaru.de/</t>
  </si>
  <si>
    <t>Les Valseuses</t>
  </si>
  <si>
    <t>Eberswalder Stra√üe 28, Berlin, 10437</t>
  </si>
  <si>
    <t>Dong Do</t>
  </si>
  <si>
    <t>Eberswalder Stra√üe 27, Berlin, 10437</t>
  </si>
  <si>
    <t>M√§rz</t>
  </si>
  <si>
    <t>Greifenhagener Stra√üe 17, Berlin, 10437</t>
  </si>
  <si>
    <t>https://www.maerzberlin.de/</t>
  </si>
  <si>
    <t>+49 178 8371458</t>
  </si>
  <si>
    <t>instagram: https://www.instagram.com/maerz_berlin</t>
  </si>
  <si>
    <t>Cafe am Fliess</t>
  </si>
  <si>
    <t>Blankenburger Pflasterweg 40, Berlin, 13129</t>
  </si>
  <si>
    <t>http://www.cafeamfliess.de/</t>
  </si>
  <si>
    <t>info@cafeamfliess.de</t>
  </si>
  <si>
    <t>Pho Dang</t>
  </si>
  <si>
    <t>Neue Bahnhofstra√üe 7B, Berlin, 10245</t>
  </si>
  <si>
    <t>The Fresh Seeds</t>
  </si>
  <si>
    <t>Boxhagener Stra√üe 59, Berlin, 10245</t>
  </si>
  <si>
    <t>http://www.thefreshseeds.de/</t>
  </si>
  <si>
    <t>Pizzeria Toscana</t>
  </si>
  <si>
    <t>http://www.toscana-lieferservice.de</t>
  </si>
  <si>
    <t>+49 3032501838</t>
  </si>
  <si>
    <t>Suzette Cr√™perie</t>
  </si>
  <si>
    <t>Pappelallee 15, Berlin, 10437</t>
  </si>
  <si>
    <t>https://www.suzetteberlin.de</t>
  </si>
  <si>
    <t>suzetteberlin@gmail.com</t>
  </si>
  <si>
    <t>+49 30 65216565</t>
  </si>
  <si>
    <t>facebook: https://www.facebook.com/suzetteberlin/, instagram: https://www.instagram.com/suzetteberlin/</t>
  </si>
  <si>
    <t>Namsan</t>
  </si>
  <si>
    <t>Chamissoplatz 1, Berlin, 10965</t>
  </si>
  <si>
    <t>https://www.namsanberlin.de/</t>
  </si>
  <si>
    <t>+49 30 49907172</t>
  </si>
  <si>
    <t>instagram: https://www.instagram.com/namsanberlin/</t>
  </si>
  <si>
    <t>Chay Umi</t>
  </si>
  <si>
    <t>Stargarder Stra√üe 2, Berlin, 10437</t>
  </si>
  <si>
    <t>https://www.chayumi-vegan.de/</t>
  </si>
  <si>
    <t>chayumi.vegan@gmail.com</t>
  </si>
  <si>
    <t>+49 30 46796667</t>
  </si>
  <si>
    <t>instagram: https://www.instagram.com/chayumi_vegan</t>
  </si>
  <si>
    <t>Italian Food Berlin</t>
  </si>
  <si>
    <t>Kastanienallee 4, Berlin, 10435</t>
  </si>
  <si>
    <t>https://www.italianfoodberlin.de/</t>
  </si>
  <si>
    <t>Feedback@italianfoodberlin.de</t>
  </si>
  <si>
    <t>facebook: https://www.facebook.com/italianfoodberlin2020/, instagram: https://www.instagram.com/italian_food_berlin_/</t>
  </si>
  <si>
    <t>Mami's Food &amp; Wine</t>
  </si>
  <si>
    <t>Oderberger Stra√üe 13, Berlin, 10435</t>
  </si>
  <si>
    <t>https://www.mamis-berlin.de</t>
  </si>
  <si>
    <t>contact@mamis-berlin.de</t>
  </si>
  <si>
    <t>+49 176 7029 3503</t>
  </si>
  <si>
    <t>instagram: https://www.instagram.com/mamis_foodandwine/, facebook: https://www.facebook.com/MaMis.Berlin/</t>
  </si>
  <si>
    <t>Glory Duck</t>
  </si>
  <si>
    <t>Sonntagstra√üe 31, Berlin, 10245</t>
  </si>
  <si>
    <t>https://www.gloryduck.de/</t>
  </si>
  <si>
    <t>facebook: https://www.facebook.com/gloryduck/, instagram: https://www.instagram.com/gloryduck</t>
  </si>
  <si>
    <t>Bettenhaus</t>
  </si>
  <si>
    <t>Links vom Fischladen</t>
  </si>
  <si>
    <t>Sch√∂nhauser Allee 129, Berlin, 10437</t>
  </si>
  <si>
    <t>https://www.derfischladen.com/</t>
  </si>
  <si>
    <t>facebook: https://www.facebook.com/fischladenprenzlauerberg, instagram: https://www.instagram.com/accounts/login/?next=https%3A%2F%2Fwww.instagram.com%2Fderfischladen_prenzlauerberg%2F&amp;is_from_rle, linkedin: https://www.linkedin.com/company/der-fischladen-berlin</t>
  </si>
  <si>
    <t>Il Camino</t>
  </si>
  <si>
    <t>Donnersmarckallee 9, Berlin, 13465</t>
  </si>
  <si>
    <t>Il-Camino@outlook.de</t>
  </si>
  <si>
    <t>+49 30 4014071</t>
  </si>
  <si>
    <t>la Mardini</t>
  </si>
  <si>
    <t>Pankower Allee 91, Berlin, 13409</t>
  </si>
  <si>
    <t>https://www.lamardinideutschunditalienischekueche-berlin.de/</t>
  </si>
  <si>
    <t>Fu Li Lai - Fulilai</t>
  </si>
  <si>
    <t>Erlenstra√üe 19, Berlin, 12167</t>
  </si>
  <si>
    <t>https://www.china-restaurant-fu-li-lai-berlin.de</t>
  </si>
  <si>
    <t>+49 30 52282526</t>
  </si>
  <si>
    <t>Julie La Congolaise</t>
  </si>
  <si>
    <t>Eichhorster Weg 93</t>
  </si>
  <si>
    <t>Long Li House</t>
  </si>
  <si>
    <t>Residenzstra√üe 130, Berlin, 13409</t>
  </si>
  <si>
    <t>https://www.longlihouse.de/</t>
  </si>
  <si>
    <t>longlihouse@gmx.de</t>
  </si>
  <si>
    <t>+49 30 4951559</t>
  </si>
  <si>
    <t>Ph√≤ T√≤</t>
  </si>
  <si>
    <t>Boccon Divino</t>
  </si>
  <si>
    <t>Krumme Stra√üe 38, Berlin, 10627</t>
  </si>
  <si>
    <t>Lindwerder</t>
  </si>
  <si>
    <t>Havelchaussee 43, Berlin, 14193</t>
  </si>
  <si>
    <t>https://www.lindwerder.de</t>
  </si>
  <si>
    <t>info@lindwerder.de</t>
  </si>
  <si>
    <t>+49 30 20076949</t>
  </si>
  <si>
    <t>facebook: https://www.facebook.com/InselLindwerder, instagram: https://www.instagram.com/insellindwerder</t>
  </si>
  <si>
    <t>Asia Momente</t>
  </si>
  <si>
    <t>Kun Chi Sushi Bowl</t>
  </si>
  <si>
    <t>Triftstra√üe 58, Berlin, 13353</t>
  </si>
  <si>
    <t>https://kunci-sushi-berlin.de/</t>
  </si>
  <si>
    <t>kontakt@kunci-sushi-berlin.de</t>
  </si>
  <si>
    <t>instagram: https://www.instagram.com/kunci.sushi.berlin/</t>
  </si>
  <si>
    <t>Bamboo Bay</t>
  </si>
  <si>
    <t>Torgauer Stra√üe 12 - 15, Berlin, 10829</t>
  </si>
  <si>
    <t>http://bamboobay.berlin/</t>
  </si>
  <si>
    <t>mail@bamboobay.berlin</t>
  </si>
  <si>
    <t>+49 30 78950590</t>
  </si>
  <si>
    <t>Berlino</t>
  </si>
  <si>
    <t>Hasenheide 13, Berlin, 10967</t>
  </si>
  <si>
    <t>info@ristorante-berlino.de</t>
  </si>
  <si>
    <t>+49 30 43026422</t>
  </si>
  <si>
    <t>Pizzeria da Matteo</t>
  </si>
  <si>
    <t>Spandauer Damm 170, Berlin, 14050</t>
  </si>
  <si>
    <t>https://www.lieferando.de/speisekarte/pizzeria-da-latto</t>
  </si>
  <si>
    <t>+49 3024356301</t>
  </si>
  <si>
    <t>Yummy Dumpling</t>
  </si>
  <si>
    <t>Sch√∂nhauser Allee 122, Berlin, 10437</t>
  </si>
  <si>
    <t>Malika's Garden</t>
  </si>
  <si>
    <t>Kurf√ºrstendamm 129b, Berlin, 10711</t>
  </si>
  <si>
    <t>https://malikas-garden.de</t>
  </si>
  <si>
    <t>instagram: https://www.instagram.com/malikas_garden</t>
  </si>
  <si>
    <t>Rice In</t>
  </si>
  <si>
    <t>Gr√ºnberger Stra√üe 91, Berlin, 10245</t>
  </si>
  <si>
    <t>Sch√§fer</t>
  </si>
  <si>
    <t>Groninger Stra√üe 22, Berlin, 13347</t>
  </si>
  <si>
    <t>http://www.schaefer-restaurant.de/</t>
  </si>
  <si>
    <t>+49 30 36741818</t>
  </si>
  <si>
    <t>Poulette</t>
  </si>
  <si>
    <t>Knaackstra√üe 30-32, Berlin, 10405</t>
  </si>
  <si>
    <t>https://www.poulette.de/</t>
  </si>
  <si>
    <t>restaurant-poulette@gmx.de</t>
  </si>
  <si>
    <t>+49 30 44038012</t>
  </si>
  <si>
    <t>Mabuhay</t>
  </si>
  <si>
    <t>K√∂thener Stra√üe 28, Berlin, 10963</t>
  </si>
  <si>
    <t>https://de-de.facebook.com/mabuhay.berlin/</t>
  </si>
  <si>
    <t>+49 30 2651867</t>
  </si>
  <si>
    <t>Hasir Beef Grill Club</t>
  </si>
  <si>
    <t>Kurf√ºrstendamm 72, Berlin, 10709</t>
  </si>
  <si>
    <t>http://www.beefgrillclub-hasir.de/</t>
  </si>
  <si>
    <t>beefgrillclub-ap@hasir.de</t>
  </si>
  <si>
    <t>+49 30 32766494</t>
  </si>
  <si>
    <t>facebook: https://www.facebook.com/hasirbeefgrillclub, instagram: https://www.instagram.com/hasir.beefgrillclub</t>
  </si>
  <si>
    <t>B√ºchner</t>
  </si>
  <si>
    <t>B√ºchnerweg 30, Berlin, 12489</t>
  </si>
  <si>
    <t>+49 30 6772320</t>
  </si>
  <si>
    <t>Da Jia Le</t>
  </si>
  <si>
    <t>Goebenstra√üe 23, Berlin, 10783</t>
  </si>
  <si>
    <t>http://dajiale-berlin.de</t>
  </si>
  <si>
    <t>Papa</t>
  </si>
  <si>
    <t>Knobelsdorffstra√üe 27, Berlin, 14059</t>
  </si>
  <si>
    <t>https://pace.berlin/gastronomie/papa/</t>
  </si>
  <si>
    <t>papa@pace.berlin</t>
  </si>
  <si>
    <t>instagram: https://www.instagram.com/pace.berlin/</t>
  </si>
  <si>
    <t>Pu:m</t>
  </si>
  <si>
    <t>https://www.pumberlin.de/</t>
  </si>
  <si>
    <t>info@berlinzahnbang.com</t>
  </si>
  <si>
    <t>+49 30 85401644</t>
  </si>
  <si>
    <t>Tandoor Haus</t>
  </si>
  <si>
    <t>Ky Ngo Asia-Imbiss</t>
  </si>
  <si>
    <t>Mittelbuschweg</t>
  </si>
  <si>
    <t>+49 30 6844998</t>
  </si>
  <si>
    <t>Kimchi Mama</t>
  </si>
  <si>
    <t>Nestorstra√üe 55a, Berlin, 10709</t>
  </si>
  <si>
    <t>https://www.kimchimama.de/</t>
  </si>
  <si>
    <t>kimchimama.berlin@gmail.com</t>
  </si>
  <si>
    <t>+49 30 64080154</t>
  </si>
  <si>
    <t>facebook: https://facebook.com/koreanische/, instagram: https://instagram.com/kimchimama.berlin/</t>
  </si>
  <si>
    <t>Cara</t>
  </si>
  <si>
    <t>Kleine Hamburger Stra√üe 2, Berlin, 10115</t>
  </si>
  <si>
    <t>https://www.caraberlin.de</t>
  </si>
  <si>
    <t>instagram: https://www.instagram.com/carabln</t>
  </si>
  <si>
    <t>China Pfanne</t>
  </si>
  <si>
    <t>Spandauer Damm 82, Berlin, 14059</t>
  </si>
  <si>
    <t>Seoul-Kwan</t>
  </si>
  <si>
    <t>Schmiljanstra√üe 25, Berlin, 12161</t>
  </si>
  <si>
    <t>https://www.seoul-kwan.de/</t>
  </si>
  <si>
    <t>seoulkwan.berlin@gmail.com</t>
  </si>
  <si>
    <t>+49 30 8526262</t>
  </si>
  <si>
    <t>Viet Rice</t>
  </si>
  <si>
    <t>Martin-Luther-Stra√üe 99, Berlin, 10825</t>
  </si>
  <si>
    <t>http://www.vietrice.de/</t>
  </si>
  <si>
    <t>+49 30 78096659</t>
  </si>
  <si>
    <t>tiktok: https://www.tiktok.com/@.vietrice, instagram: https://www.instagram.com/vietrice.restaurant, facebook: https://www.facebook.com/profile.php?id=100091309207631</t>
  </si>
  <si>
    <t>Mercosy</t>
  </si>
  <si>
    <t>Dresdener Stra√üe 11, Berlin, 10999</t>
  </si>
  <si>
    <t>Le Bon</t>
  </si>
  <si>
    <t>Boppstra√üe 1, Berlin, 10967</t>
  </si>
  <si>
    <t>La Sardegna</t>
  </si>
  <si>
    <t>Budapester Stra√üe 11, Berlin, 10787</t>
  </si>
  <si>
    <t>Bui Family ‚Äì Vietnamese Cuisine</t>
  </si>
  <si>
    <t>Schulstra√üe 27, Berlin, 13187</t>
  </si>
  <si>
    <t>https://buifamily.de</t>
  </si>
  <si>
    <t>+49 30 88668598</t>
  </si>
  <si>
    <t>Mars Bistro</t>
  </si>
  <si>
    <t>Marzahner Promenade 31A, Berlin, 12679</t>
  </si>
  <si>
    <t>Aashirvad</t>
  </si>
  <si>
    <t>+49 30 75441205</t>
  </si>
  <si>
    <t>Long</t>
  </si>
  <si>
    <t>Tempelhofer Damm 205, Berlin, 12099</t>
  </si>
  <si>
    <t>https://longtempelhof.de/</t>
  </si>
  <si>
    <t>+49 30 71577910</t>
  </si>
  <si>
    <t>Meyman</t>
  </si>
  <si>
    <t>Tempelhofer Damm 201, Berlin, 12099</t>
  </si>
  <si>
    <t>https://www.meyman-gourmet.de/</t>
  </si>
  <si>
    <t>info@meyman-gourmet.de</t>
  </si>
  <si>
    <t>+49 30 7130 1598</t>
  </si>
  <si>
    <t>facebook: https://www.facebook.com/meyman.berlin/?locale=de_DE, instagram: https://www.instagram.com/meyman.berlin/?hl=de</t>
  </si>
  <si>
    <t>Braustube auf der Alten B√∂rse Marzahn</t>
  </si>
  <si>
    <t>Beilsteiner Stra√üe 51-85, Berlin, 12681</t>
  </si>
  <si>
    <t>My Friends Sushi &amp; more</t>
  </si>
  <si>
    <t>Lichtenrader Damm 42, Berlin, 12305</t>
  </si>
  <si>
    <t>Ristorante Il Falco</t>
  </si>
  <si>
    <t>Mariendorfer Damm 405, Berlin, 12107</t>
  </si>
  <si>
    <t>ilfalco@live.de</t>
  </si>
  <si>
    <t>+49 30 741 85 00</t>
  </si>
  <si>
    <t>Zum Landsknecht</t>
  </si>
  <si>
    <t>Manakish</t>
  </si>
  <si>
    <t>Pho12</t>
  </si>
  <si>
    <t>Bayerischer Platz 12, Berlin, 10779</t>
  </si>
  <si>
    <t>https://www.pho12.de/</t>
  </si>
  <si>
    <t>+49 30 26947748</t>
  </si>
  <si>
    <t>Ebe Ano</t>
  </si>
  <si>
    <t>Bamberger Stra√üe 49, Berlin, 10779</t>
  </si>
  <si>
    <t>http://www.ebe-ano.de/</t>
  </si>
  <si>
    <t>ebe-ano@gmx.de</t>
  </si>
  <si>
    <t>+49 17682043405</t>
  </si>
  <si>
    <t>Lon-Men</t>
  </si>
  <si>
    <t>Bamberger Stra√üe 30, Berlin, 10779</t>
  </si>
  <si>
    <t>Munch‚Äôs Hus</t>
  </si>
  <si>
    <t>B√ºlowstra√üe 66, Berlin, 10783</t>
  </si>
  <si>
    <t>https://www.munchshus.de/</t>
  </si>
  <si>
    <t>info@munchshus.de</t>
  </si>
  <si>
    <t>+49 30 21014086</t>
  </si>
  <si>
    <t>facebook: https://www.facebook.com/pages/Munchs-Hus/155834677813079</t>
  </si>
  <si>
    <t>Sumak</t>
  </si>
  <si>
    <t>Wrangelstra√üe 46, Berlin, 10997</t>
  </si>
  <si>
    <t>Mexico</t>
  </si>
  <si>
    <t>Hertzstra√üe 22, Berlin, 13158</t>
  </si>
  <si>
    <t>http://www.mexico-restaurant.de</t>
  </si>
  <si>
    <t>+49 30 47035489</t>
  </si>
  <si>
    <t>Kia Chi</t>
  </si>
  <si>
    <t>Bundesallee 192, Berlin, 10717</t>
  </si>
  <si>
    <t>+49 30 21 91 49 19</t>
  </si>
  <si>
    <t>Robbengatter</t>
  </si>
  <si>
    <t>Grunewaldstra√üe 55, Berlin, 10825</t>
  </si>
  <si>
    <t>https://www.robbengatter.de/</t>
  </si>
  <si>
    <t>facebook: https://www.facebook.com/restaurantkneipe1974/</t>
  </si>
  <si>
    <t>Taverna Ousia</t>
  </si>
  <si>
    <t>Grunewaldstra√üe 54, Berlin, 10825</t>
  </si>
  <si>
    <t>https://www.taverna-ousia.de/</t>
  </si>
  <si>
    <t>info@taverna-ousia.de</t>
  </si>
  <si>
    <t>+49 30 216 79 57</t>
  </si>
  <si>
    <t>Bragato</t>
  </si>
  <si>
    <t>https://bragato.berlin/</t>
  </si>
  <si>
    <t>dan.bragato@gmail.com</t>
  </si>
  <si>
    <t>American Bagel</t>
  </si>
  <si>
    <t>N√ºrnberger Stra√üe 45a, Berlin, 10789</t>
  </si>
  <si>
    <t>Toro Negro</t>
  </si>
  <si>
    <t>N√ºrnberger Stra√üe 46, Berlin, 10789</t>
  </si>
  <si>
    <t>Cafe L√ºtzow</t>
  </si>
  <si>
    <t>Keithstra√üe 38, Berlin, 10787</t>
  </si>
  <si>
    <t>Panda Garden</t>
  </si>
  <si>
    <t>Heinsestra√üe 42, Berlin, 13467</t>
  </si>
  <si>
    <t>https://panda-garden.de/</t>
  </si>
  <si>
    <t>+49 30 404 43 97</t>
  </si>
  <si>
    <t>Esse Osteria</t>
  </si>
  <si>
    <t>¬°Hola Mexiko!</t>
  </si>
  <si>
    <t>60 seconds to napoli</t>
  </si>
  <si>
    <t>Oderberger Stra√üe 61, Berlin, 10435</t>
  </si>
  <si>
    <t>https://60secondstonapoli.de/berlin/</t>
  </si>
  <si>
    <t>+49 30 47009602</t>
  </si>
  <si>
    <t>facebook: https://www.facebook.com/60secondstonapoli/, instagram: https://www.instagram.com/60secondstonapoli/</t>
  </si>
  <si>
    <t>La Premiata Ditta</t>
  </si>
  <si>
    <t>Weinbergsweg 4, Berlin, 10119</t>
  </si>
  <si>
    <t>Trattoria da Nicoletta Ristorante</t>
  </si>
  <si>
    <t>Friedrich-Wilhelm-Stra√üe 68, Berlin, 12103</t>
  </si>
  <si>
    <t>https://danicoletta-ristorante.de/</t>
  </si>
  <si>
    <t>info@danicoletta-ristorante.deWir</t>
  </si>
  <si>
    <t>+49 30 55067894</t>
  </si>
  <si>
    <t>instagram: https://www.instagram.com/reel/DR181irjOH9/</t>
  </si>
  <si>
    <t>Trungvan</t>
  </si>
  <si>
    <t>Pasedagplatz 5, 13088</t>
  </si>
  <si>
    <t>DocG-Berlin</t>
  </si>
  <si>
    <t>Emser Stra√üe 120, Berlin, 12051</t>
  </si>
  <si>
    <t>https://www.docg-berlin.de</t>
  </si>
  <si>
    <t>ZamZam</t>
  </si>
  <si>
    <t>Huttenstra√üe 6, Berlin, 10553</t>
  </si>
  <si>
    <t>+49 30 64310551</t>
  </si>
  <si>
    <t>Jemenitisches Restaurant</t>
  </si>
  <si>
    <t>Karl-Marx-Stra√üe 172, Berlin, 12043</t>
  </si>
  <si>
    <t>https://www.jemenrestaurant.de/</t>
  </si>
  <si>
    <t>info@jemenrestaurant.de</t>
  </si>
  <si>
    <t>+49 30 98393579</t>
  </si>
  <si>
    <t>facebook: https://www.facebook.com/sharer.php?u=https%3A%2F%2Fwww.jemenrestaurant.de%2F&amp;t=Home, instagram: https://www.instagram.com/je_restaurant/</t>
  </si>
  <si>
    <t>Tobi's Gastst√§tte Britzer Wiesen</t>
  </si>
  <si>
    <t>+49 30 601 20 40</t>
  </si>
  <si>
    <t>Moa Eat</t>
  </si>
  <si>
    <t>Stephanstra√üe 41, Berlin, 10559</t>
  </si>
  <si>
    <t>http://hotel-moa-berlin.de/moaeat-moabar/</t>
  </si>
  <si>
    <t>Ha0f7@accor.com</t>
  </si>
  <si>
    <t>+49 30 394043176</t>
  </si>
  <si>
    <t>instagram: https://www.instagram.com/moaberlin/, facebook: https://www.facebook.com/HotelMOABerlin/, linkedin: https://www.linkedin.com/company/mercure-hotel-moa-berlin/</t>
  </si>
  <si>
    <t>Musuko 1984</t>
  </si>
  <si>
    <t>Kaiserin-Augusta-Allee 96, Berlin, 10553</t>
  </si>
  <si>
    <t>https://musuko1984.de/</t>
  </si>
  <si>
    <t>+49 30 41400281</t>
  </si>
  <si>
    <t>Kreuzberger Himmel</t>
  </si>
  <si>
    <t>https://www.kreuzberger-himmel.de/</t>
  </si>
  <si>
    <t>info@kreuzberger-himmel.de</t>
  </si>
  <si>
    <t>+49 30 25743888</t>
  </si>
  <si>
    <t>facebook: https://facebook.com/kreuzberger.himmel, instagram: https://instagram.com/kreuzberger.himmel</t>
  </si>
  <si>
    <t>Dukki</t>
  </si>
  <si>
    <t>Burgsdorfstra√üe 14, Berlin, 13353</t>
  </si>
  <si>
    <t>+49 30 23285055</t>
  </si>
  <si>
    <t>Mr. Noodle Chen</t>
  </si>
  <si>
    <t>Willdenowstra√üe 12, Berlin, 13353</t>
  </si>
  <si>
    <t>https://mrnoodlechen.de/</t>
  </si>
  <si>
    <t>mr.noodlechen@gmail.com</t>
  </si>
  <si>
    <t>instagram: https://www.instagram.com/mr_noodlechen/?hl=en, tiktok: https://www.tiktok.com/@mr.noodlechen</t>
  </si>
  <si>
    <t>Hanoi St.16</t>
  </si>
  <si>
    <t>Torfstra√üe 16, Berlin, 13353</t>
  </si>
  <si>
    <t>LOLA X IKI</t>
  </si>
  <si>
    <t>Seelower Stra√üe 8, Berlin, 10439</t>
  </si>
  <si>
    <t>https://lolaxiki.de</t>
  </si>
  <si>
    <t>+49 30 44717120</t>
  </si>
  <si>
    <t>facebook: https://www.facebook.com/lolawashere.cafe/, instagram: https://www.instagram.com/lolaxiki/</t>
  </si>
  <si>
    <t>Badenscher Hof</t>
  </si>
  <si>
    <t>Badensche Stra√üe 29, Berlin, 10715</t>
  </si>
  <si>
    <t>https://www.badenscher-hof.de</t>
  </si>
  <si>
    <t>info@badenscher-hof.deTel</t>
  </si>
  <si>
    <t>Roku-ji</t>
  </si>
  <si>
    <t>Pannierstra√üe 64, Berlin, 12043</t>
  </si>
  <si>
    <t>Hari Moksh</t>
  </si>
  <si>
    <t>K√∂penicker Stra√üe 159, Berlin, 10997</t>
  </si>
  <si>
    <t>https://harimoksh-restaurant.com</t>
  </si>
  <si>
    <t>+49 30 93916021</t>
  </si>
  <si>
    <t>instagram: https://www.instagram.com/harimoksh.restaurant/, facebook: https://www.facebook.com/harimoksh.restaurant</t>
  </si>
  <si>
    <t>Levi's Kitchen</t>
  </si>
  <si>
    <t>Dickhardtstra√üe 60, Berlin, 12159</t>
  </si>
  <si>
    <t>+49 1525 9025988</t>
  </si>
  <si>
    <t>La Pho</t>
  </si>
  <si>
    <t>Br√ºckenstra√üe 10B, Berlin, 10179</t>
  </si>
  <si>
    <t>https://lapho.de/</t>
  </si>
  <si>
    <t>info@lapho.de</t>
  </si>
  <si>
    <t>facebook: https://www.facebook.com/laphoberlin, instagram: https://www.instagram.com/laphoberlin/</t>
  </si>
  <si>
    <t>Pizza Slice</t>
  </si>
  <si>
    <t>Gela's Bistro</t>
  </si>
  <si>
    <t>Vorarlberger Damm 1, Berlin, 12157</t>
  </si>
  <si>
    <t>+49 30 25736733</t>
  </si>
  <si>
    <t>Orient Grill Haus</t>
  </si>
  <si>
    <t>Naan</t>
  </si>
  <si>
    <t>Oderberger Stra√üe 49, Berlin, 10435</t>
  </si>
  <si>
    <t>https://restaurant-naan.de/</t>
  </si>
  <si>
    <t>+49 30 55957384</t>
  </si>
  <si>
    <t>facebook: https://www.facebook.com/naan.restaurant</t>
  </si>
  <si>
    <t>Atlantik Fischrestaurant</t>
  </si>
  <si>
    <t>Martin-Luther-Stra√üe 134, Berlin, 10825</t>
  </si>
  <si>
    <t>http://www.atlantik-fisch-restaurant.de/</t>
  </si>
  <si>
    <t>info@atlantik-fisch-restaurant.de</t>
  </si>
  <si>
    <t>+49 30 20051494</t>
  </si>
  <si>
    <t>Amici Amici</t>
  </si>
  <si>
    <t>Mehringdamm 40, Berlin, 10961</t>
  </si>
  <si>
    <t>https://www.amici-amici.de/</t>
  </si>
  <si>
    <t>21info@amici-amici.de</t>
  </si>
  <si>
    <t>Phantasia</t>
  </si>
  <si>
    <t>Mehringdamm 44-46</t>
  </si>
  <si>
    <t>http://www.phantasia-restaurant.de</t>
  </si>
  <si>
    <t>info@phantasia-restaurant.de</t>
  </si>
  <si>
    <t>+4930 52135575</t>
  </si>
  <si>
    <t>Taverna Dionysos</t>
  </si>
  <si>
    <t>Gneisenaustra√üe 110, Berlin, 10961</t>
  </si>
  <si>
    <t>Drummers Cafe at the Atlantic Hotel</t>
  </si>
  <si>
    <t>https://www.atlantichotel.com/drummers-cafe</t>
  </si>
  <si>
    <t>Rayne's Reef</t>
  </si>
  <si>
    <t>North Main Street 10, Berlin, 21811</t>
  </si>
  <si>
    <t>https://www.raynesreef.com/</t>
  </si>
  <si>
    <t>facebook: https://www.facebook.com/121019354578809, instagram: https://www.instagram.com/RaynesReef, twitter: https://www.twitter.com/RaynesReefSoda</t>
  </si>
  <si>
    <t>Counter-Clox</t>
  </si>
  <si>
    <t>Main Street Deli</t>
  </si>
  <si>
    <t>Tabar Bar</t>
  </si>
  <si>
    <t>Alt-Moabit 108, Berlin, 10559</t>
  </si>
  <si>
    <t>https://www.tabar-bar.de/</t>
  </si>
  <si>
    <t>Akropolis</t>
  </si>
  <si>
    <t>Helene-Weigel-Platz 7, Berlin, 12681</t>
  </si>
  <si>
    <t>http://www.akropolis-berlin.de/</t>
  </si>
  <si>
    <t>info@akropolis-berlin.de</t>
  </si>
  <si>
    <t>+49 30 54983822</t>
  </si>
  <si>
    <t>facebook: https://www.facebook.com/Restaurant-Akropolis-222986891186565/</t>
  </si>
  <si>
    <t>Gallo Nero</t>
  </si>
  <si>
    <t>Hannemannstra√üe 34, Berlin, 12347</t>
  </si>
  <si>
    <t>http://www.gallonero-berlin.de</t>
  </si>
  <si>
    <t>mail@gallonero-berlin.de</t>
  </si>
  <si>
    <t>+49 30 91201444</t>
  </si>
  <si>
    <t>Pondji</t>
  </si>
  <si>
    <t>Mainzer Stra√üe 23, Berlin, 12053</t>
  </si>
  <si>
    <t>https://pondji.com/</t>
  </si>
  <si>
    <t>pondjiberlinoi@pondji.com</t>
  </si>
  <si>
    <t>tiktok: https://www.tiktok.com/@pondjiberlin, instagram: https://www.instagram.com/p/DOnl7xMDSpD/?img_index=1</t>
  </si>
  <si>
    <t>ALvis</t>
  </si>
  <si>
    <t>Albrechtstra√üe 8, Berlin, 10117</t>
  </si>
  <si>
    <t>https://www.alvis-restaurant.de/restaurant/</t>
  </si>
  <si>
    <t>albrechtshof@albrechtshof-hotels.de</t>
  </si>
  <si>
    <t>facebook: https://www.facebook.com/RestaurantALvis?fref=ts, instagram: https://www.instagram.com/restaurantalvis/</t>
  </si>
  <si>
    <t>Marienk√§fer</t>
  </si>
  <si>
    <t>Marienstra√üe 18, Berlin, 10117</t>
  </si>
  <si>
    <t>https://www.pizzeria-marienkaefer.de/</t>
  </si>
  <si>
    <t>030-32303532kontakt@pizzeria-marienkaefer.de</t>
  </si>
  <si>
    <t>Restaurant "1811"</t>
  </si>
  <si>
    <t>Schl√ºterstra√üe 55, Berlin, 10629</t>
  </si>
  <si>
    <t>https://1811.berlin/</t>
  </si>
  <si>
    <t>info@1811.berlin</t>
  </si>
  <si>
    <t>+49 30 8813440</t>
  </si>
  <si>
    <t>instagram: https://www.instagram.com/1811_berlin/</t>
  </si>
  <si>
    <t>NU</t>
  </si>
  <si>
    <t>https://www.nu-eat.de/</t>
  </si>
  <si>
    <t>+49 30 88 70 98 11</t>
  </si>
  <si>
    <t>facebook: https://www.facebook.com/Restaurant-NU-121855920571/, instagram: https://www.instagram.com/nu_restaurantberlin/</t>
  </si>
  <si>
    <t>HeimlichTreu</t>
  </si>
  <si>
    <t>Anklamer Stra√üe 38, Berlin, 10115</t>
  </si>
  <si>
    <t>https://www.heimlichtreu.de/</t>
  </si>
  <si>
    <t>info@heimlichtreu.deL</t>
  </si>
  <si>
    <t>+49 30 48494599</t>
  </si>
  <si>
    <t>instagram: https://www.instagram.com/heimlichtreu_restaurant/, facebook: https://www.facebook.com/heimlichtreu</t>
  </si>
  <si>
    <t>Vereinsheim Fr√∂hliche Eintracht</t>
  </si>
  <si>
    <t>Bao Vietnamese Cooking</t>
  </si>
  <si>
    <t>Hindenburgdamm 57A, Berlin, 12203</t>
  </si>
  <si>
    <t>https://www.bao-cooking.de</t>
  </si>
  <si>
    <t>info@bao-cooking.de</t>
  </si>
  <si>
    <t>+49 30 832 034 83</t>
  </si>
  <si>
    <t>facebook: https://www.facebook.com/pages/Bao-Vietnamese-Cooking/141426092584471?fref=photo</t>
  </si>
  <si>
    <t>Crackers</t>
  </si>
  <si>
    <t>Friedrichstra√üe 158, Berlin, 10117</t>
  </si>
  <si>
    <t>https://crackersberlin.com/</t>
  </si>
  <si>
    <t>488crackers@crackersberlin.com</t>
  </si>
  <si>
    <t>instagram: https://www.instagram.com/crackersberlin/, facebook: https://www.facebook.com/BerlinCrackers/</t>
  </si>
  <si>
    <t>Daluma</t>
  </si>
  <si>
    <t>Weinbergsweg 3, Berlin, 10119</t>
  </si>
  <si>
    <t>https://www.daluma.de/</t>
  </si>
  <si>
    <t>XXX Ramen</t>
  </si>
  <si>
    <t>Kantstra√üe 130, Berlin, 10625</t>
  </si>
  <si>
    <t>Monty's</t>
  </si>
  <si>
    <t>Goldies</t>
  </si>
  <si>
    <t>Oranienstra√üe 6, Berlin, 10997</t>
  </si>
  <si>
    <t>https://www.goldies-smashburger.de/</t>
  </si>
  <si>
    <t>jobs@goldies-smashburger.de</t>
  </si>
  <si>
    <t>instagram: https://www.instagram.com/goldies_smashburger/, linkedin: https://www.linkedin.com/company/goldies-franchise-gmbh/, tiktok: https://www.tiktok.com/@goldies_pommes</t>
  </si>
  <si>
    <t>Pier 13</t>
  </si>
  <si>
    <t>Tempelhofer Damm 227, Berlin, 12099</t>
  </si>
  <si>
    <t>https://www.pier13-eventlocation.com/kontakt/</t>
  </si>
  <si>
    <t>info@pier13-eventlocation.com</t>
  </si>
  <si>
    <t>One and only</t>
  </si>
  <si>
    <t>Goltzstra√üe 35, Berlin, 10781</t>
  </si>
  <si>
    <t>Sironi</t>
  </si>
  <si>
    <t>Goltzstra√üe 36, Berlin, 10781</t>
  </si>
  <si>
    <t>https://sironi.de/</t>
  </si>
  <si>
    <t>reservierung.goltz@sironi.de</t>
  </si>
  <si>
    <t>+49 30 21002402</t>
  </si>
  <si>
    <t>instagram: http://instagram.com/sironibakery</t>
  </si>
  <si>
    <t>Phojito</t>
  </si>
  <si>
    <t>Goltzstra√üe 34, Berlin, 10781</t>
  </si>
  <si>
    <t>https://www.phojito.de/</t>
  </si>
  <si>
    <t>hello@phojito.de</t>
  </si>
  <si>
    <t>+49 30 21014929</t>
  </si>
  <si>
    <t>Mai Phai</t>
  </si>
  <si>
    <t>Neva</t>
  </si>
  <si>
    <t>Hauptstra√üe 5, Berlin, 10827</t>
  </si>
  <si>
    <t>https://www.neva-restaurant.de/</t>
  </si>
  <si>
    <t>61297377info@neva-restaurant.deStart</t>
  </si>
  <si>
    <t>facebook: https://www.facebook.com/nevarestaurant.de/, instagram: https://www.instagram.com/nevarestaurant.de/</t>
  </si>
  <si>
    <t>Die Feinb√§ckerei</t>
  </si>
  <si>
    <t>Vorbergstra√üe 2, Berlin, 10823</t>
  </si>
  <si>
    <t>http://www.feinbaeck.de</t>
  </si>
  <si>
    <t>reservierung@feinbaeck.de</t>
  </si>
  <si>
    <t>+49 30 8149424</t>
  </si>
  <si>
    <t>facebook: https://www.facebook.com/diefeinbaeckerei/</t>
  </si>
  <si>
    <t>La Criolla Empanadas</t>
  </si>
  <si>
    <t>Kopernikusstra√üe 35, Berlin, 10243</t>
  </si>
  <si>
    <t>Budapest Calling</t>
  </si>
  <si>
    <t>Kolonja</t>
  </si>
  <si>
    <t>Viktoria-Luise-Platz 6, Berlin, 10777</t>
  </si>
  <si>
    <t>https://restaurantkolonja.de</t>
  </si>
  <si>
    <t>info@restaurantkolonja.de</t>
  </si>
  <si>
    <t>+49 30 374 645 52</t>
  </si>
  <si>
    <t>Pizza Flitzer</t>
  </si>
  <si>
    <t>District M·ªôt</t>
  </si>
  <si>
    <t>Rosenthaler Stra√üe 62, Berlin, 10119</t>
  </si>
  <si>
    <t>http://www.district-mot.com</t>
  </si>
  <si>
    <t>district.mot@icloud.comADDRESSRosenthaler</t>
  </si>
  <si>
    <t>+49 30 20089284</t>
  </si>
  <si>
    <t>facebook: http://www.facebook.com/districtmot</t>
  </si>
  <si>
    <t>Manngo</t>
  </si>
  <si>
    <t>Mulackstra√üe 29, Berlin, 10119</t>
  </si>
  <si>
    <t>http://www.manngo.de</t>
  </si>
  <si>
    <t>Gr√ºne Wiese</t>
  </si>
  <si>
    <t>Tino-Schwierzina-Stra√üe 56, Berlin, 13089</t>
  </si>
  <si>
    <t>https://gaststaette-gruene-wiese-berlin.eatbu.com/</t>
  </si>
  <si>
    <t>Lilian.krafft@icloud.com</t>
  </si>
  <si>
    <t>Caligari</t>
  </si>
  <si>
    <t>Kienitzer Stra√üe 110, Berlin, 12049</t>
  </si>
  <si>
    <t>http://www.caligariberlin.de</t>
  </si>
  <si>
    <t>+49 30 52649841</t>
  </si>
  <si>
    <t>Xi Gon</t>
  </si>
  <si>
    <t>Petersburger Platz 2, Berlin, 10249</t>
  </si>
  <si>
    <t>http://www.xigon.de</t>
  </si>
  <si>
    <t>facebook: https://www.facebook.com/xigonrestaurant/, instagram: https://www.instagram.com/xigon.berlin/</t>
  </si>
  <si>
    <t>Sababa</t>
  </si>
  <si>
    <t>Kastanienallee 50,51, Berlin, 10119</t>
  </si>
  <si>
    <t>Asia-Park</t>
  </si>
  <si>
    <t>Gr√ºne Trift am Walde 15, Berlin, 12557</t>
  </si>
  <si>
    <t>https://www.asiaparkberlingruenetriftamwalde.de/</t>
  </si>
  <si>
    <t>+49 30 740 765 89</t>
  </si>
  <si>
    <t>Manjurani</t>
  </si>
  <si>
    <t>Knesebeckstra√üe 4, Berlin, 10623</t>
  </si>
  <si>
    <t>http://www.manjurani.de/</t>
  </si>
  <si>
    <t>+49 30 3128615</t>
  </si>
  <si>
    <t>Azuma</t>
  </si>
  <si>
    <t>Rudower Chaussee 9, Berlin, 12489</t>
  </si>
  <si>
    <t>http://azuma.berlin</t>
  </si>
  <si>
    <t>+49 30 6779 8860</t>
  </si>
  <si>
    <t>Neretva Grill</t>
  </si>
  <si>
    <t>Agricolastra√üe 26, Berlin, 10555</t>
  </si>
  <si>
    <t>https://www.neretva-gastro.de</t>
  </si>
  <si>
    <t>+49 30 3933426</t>
  </si>
  <si>
    <t>Tran Asia</t>
  </si>
  <si>
    <t>La Maison Chay</t>
  </si>
  <si>
    <t>India Spice House</t>
  </si>
  <si>
    <t>Prenzlauer Allee 48, Berlin, 10405</t>
  </si>
  <si>
    <t>Fadice</t>
  </si>
  <si>
    <t>Havelstra√üe, Berlin</t>
  </si>
  <si>
    <t>Kinh Do</t>
  </si>
  <si>
    <t>Oranienburger Stra√üe 200, 13437</t>
  </si>
  <si>
    <t>https://www.kinhdoberlin.de/</t>
  </si>
  <si>
    <t>+4930 41191910</t>
  </si>
  <si>
    <t>Pizza Friends</t>
  </si>
  <si>
    <t>Braust√ºbl</t>
  </si>
  <si>
    <t>http://www.braeustuebl-mueggelsee.de/</t>
  </si>
  <si>
    <t>info@braeustuebl-mueggelsee.de</t>
  </si>
  <si>
    <t>+49 30 37446769</t>
  </si>
  <si>
    <t>facebook: https://www.facebook.com/hering007, twitter: http://www.twitter.com/wix</t>
  </si>
  <si>
    <t>Kodama</t>
  </si>
  <si>
    <t>+49 30 65482955</t>
  </si>
  <si>
    <t>Vegan Dimo</t>
  </si>
  <si>
    <t>B√∂lschestra√üe 104, Berlin, 12587</t>
  </si>
  <si>
    <t>https://www.vegan-dimo-berlin.de/</t>
  </si>
  <si>
    <t>Mama Kalo</t>
  </si>
  <si>
    <t>Herrfurthstra√üe 23, Berlin, 12049</t>
  </si>
  <si>
    <t>http://mamakalo.de/</t>
  </si>
  <si>
    <t>+49 30 67962701</t>
  </si>
  <si>
    <t>facebook: https://www.facebook.com/MAMAKALO/, instagram: https://www.instagram.com/mama_kalo_berlin/</t>
  </si>
  <si>
    <t>Xi-Mian</t>
  </si>
  <si>
    <t>Invalidenstra√üe 159, Berlin, 10115</t>
  </si>
  <si>
    <t>https://www.xi-mian.de</t>
  </si>
  <si>
    <t>+49 30  55 12 23 24</t>
  </si>
  <si>
    <t>instagram: https://www.instagram.com/xi_mian_handpulled_noodles/?igsh=azB3cXdubHZic3hz&amp;utm_source=qr</t>
  </si>
  <si>
    <t>Pots</t>
  </si>
  <si>
    <t>Potsdamer Platz 3, Berlin, 10785</t>
  </si>
  <si>
    <t>Blossom</t>
  </si>
  <si>
    <t>Unter den Linden 12, Berlin, 10117</t>
  </si>
  <si>
    <t>Sra Bua</t>
  </si>
  <si>
    <t>Behrenstra√üe 72, Berlin, 10117</t>
  </si>
  <si>
    <t>http://srabua-berlin.de/</t>
  </si>
  <si>
    <t>srabua.berlin@kempinski.com</t>
  </si>
  <si>
    <t>+49 30 2261 1590</t>
  </si>
  <si>
    <t>Three Buddies</t>
  </si>
  <si>
    <t>Albrechtstra√üe 131, Berlin, 12165</t>
  </si>
  <si>
    <t>https://threebuddies.de</t>
  </si>
  <si>
    <t>Marti - Fischrestaurant</t>
  </si>
  <si>
    <t>Bergterrasse Marienh√∂he</t>
  </si>
  <si>
    <t>Le Tire Bouchon</t>
  </si>
  <si>
    <t>Sch√∂nleinstra√üe 10, Berlin, 10967</t>
  </si>
  <si>
    <t>http://www.tire-bouchon.de/</t>
  </si>
  <si>
    <t>+49 30 69598169</t>
  </si>
  <si>
    <t>Zollhaus Pankow</t>
  </si>
  <si>
    <t>Berliner Stra√üe 80, Berlin, 13189</t>
  </si>
  <si>
    <t>https://zollhaus-pankow.de/</t>
  </si>
  <si>
    <t>info@restaurant-landhaus.de</t>
  </si>
  <si>
    <t>+49 30 48 33 19 33</t>
  </si>
  <si>
    <t>instagram: https://www.instagram.com/zollhaus.pankow/, facebook: https://www.facebook.com/zollhaus.pankow/</t>
  </si>
  <si>
    <t>Chicken Buzz</t>
  </si>
  <si>
    <t>W√ºhlischstra√üe 40-41, Berlin, 10245</t>
  </si>
  <si>
    <t>Catering Service Rodewald</t>
  </si>
  <si>
    <t>https://www.catering-rodewald.de/</t>
  </si>
  <si>
    <t>gaststaette.erpetal@t-online.deAdresse</t>
  </si>
  <si>
    <t>+49 30 34095504</t>
  </si>
  <si>
    <t>Kaiju</t>
  </si>
  <si>
    <t>Grunewaldstra√üe 21, Berlin, 10823</t>
  </si>
  <si>
    <t>https://kaiju-sushi.eatbu.com/?lang=de</t>
  </si>
  <si>
    <t>elisado2018@gmail.com</t>
  </si>
  <si>
    <t>+49 30 23620220</t>
  </si>
  <si>
    <t>Yakoolza</t>
  </si>
  <si>
    <t>Wilhelmstra√üe 87, Berlin, 10117</t>
  </si>
  <si>
    <t>https://www.yakoolza-berlin.de/</t>
  </si>
  <si>
    <t>+49 30 20605508</t>
  </si>
  <si>
    <t>From Hanoi with Love</t>
  </si>
  <si>
    <t>Hermannstra√üe 176, Berlin, 12051</t>
  </si>
  <si>
    <t>Mamas Banh</t>
  </si>
  <si>
    <t>Hufelandstra√üe 31, Berlin, 10407</t>
  </si>
  <si>
    <t>http://mamasbanh.com</t>
  </si>
  <si>
    <t>prenzlauerberg.eats@mamasbanh.com</t>
  </si>
  <si>
    <t>+49 176 31412700</t>
  </si>
  <si>
    <t>facebook: https://www.facebook.com/mamasbanhpberg/, instagram: https://www.instagram.com/mamasbanh_schoeneberg/</t>
  </si>
  <si>
    <t>Yak &amp; Yeti</t>
  </si>
  <si>
    <t>S√ºdwestkorso 69a, Berlin, 12161</t>
  </si>
  <si>
    <t>http://www.restaurant-yakundyeti.de</t>
  </si>
  <si>
    <t>67info@restaurant-yakundyeti.de</t>
  </si>
  <si>
    <t>+49 30 8523067</t>
  </si>
  <si>
    <t>Madami</t>
  </si>
  <si>
    <t>Rankestra√üe 2, Berlin, 10789</t>
  </si>
  <si>
    <t>http://www.madami-restaurant.de/</t>
  </si>
  <si>
    <t>Alexanderplatzmama@madami-restaurant.de</t>
  </si>
  <si>
    <t>+49 30 88473866</t>
  </si>
  <si>
    <t>facebook: https://www.facebook.com/Madami-1444670225777248/</t>
  </si>
  <si>
    <t>Ferri's</t>
  </si>
  <si>
    <t>Rankestra√üe 1, Berlin, 10789</t>
  </si>
  <si>
    <t>+49 30 88554326</t>
  </si>
  <si>
    <t>Levish</t>
  </si>
  <si>
    <t>Uhlandstra√üe 171/172, Berlin, 10719</t>
  </si>
  <si>
    <t>Saperavi</t>
  </si>
  <si>
    <t>https://restaurant-saperavi.com/</t>
  </si>
  <si>
    <t>info@restaurant-saperavi.com</t>
  </si>
  <si>
    <t>Piccola Taormina</t>
  </si>
  <si>
    <t>Uhlandstra√üe 29, Berlin, 10719</t>
  </si>
  <si>
    <t>https://www.taormina.berlin/</t>
  </si>
  <si>
    <t>info@taormina.berlin</t>
  </si>
  <si>
    <t>+49 30 8814710</t>
  </si>
  <si>
    <t>Bar - Batumi</t>
  </si>
  <si>
    <t>Uhlandstra√üe 159, Berlin, 10719</t>
  </si>
  <si>
    <t>https://bar.batumi-berlin.de/</t>
  </si>
  <si>
    <t>hallo@batumi-berlin.de</t>
  </si>
  <si>
    <t>+49 176 246 791 01</t>
  </si>
  <si>
    <t>facebook: https://www.facebook.com/batumi.berlin/, instagram: https://www.instagram.com/barbatumi_berlin</t>
  </si>
  <si>
    <t>Fam. Pam</t>
  </si>
  <si>
    <t>Lietzenburger Stra√üe 77, Berlin, 10719</t>
  </si>
  <si>
    <t>Il Cielo</t>
  </si>
  <si>
    <t>L'Amore Pizzeria</t>
  </si>
  <si>
    <t>Germaniastra√üe 3, Berlin, 12099</t>
  </si>
  <si>
    <t>Rembrandt Schnitzel</t>
  </si>
  <si>
    <t>M√ºhsamstra√üe 29, Berlin, 10249</t>
  </si>
  <si>
    <t>https://rembrandt-schnitzel.de</t>
  </si>
  <si>
    <t>info@rembrandt-schnitzel.de</t>
  </si>
  <si>
    <t>+49 30 77006410</t>
  </si>
  <si>
    <t>Restaurant Athos</t>
  </si>
  <si>
    <t>Hermann-Hesse-Stra√üe 27, Berlin, 13156</t>
  </si>
  <si>
    <t>China Snack</t>
  </si>
  <si>
    <t>Kantstra√üe 15, Berlin, 10623</t>
  </si>
  <si>
    <t>BaoBao Asia K√ºche</t>
  </si>
  <si>
    <t>Falkenseer Chaussee 193, Berlin, 13589</t>
  </si>
  <si>
    <t>https://bao-bao-asia-kueche.metro.bar</t>
  </si>
  <si>
    <t>baobaoasiakueche@gmail.com</t>
  </si>
  <si>
    <t>+49 30 50159488</t>
  </si>
  <si>
    <t>sayuri</t>
  </si>
  <si>
    <t>Kurf√ºrstendamm, Berlin, 10711</t>
  </si>
  <si>
    <t>Ho Vang</t>
  </si>
  <si>
    <t>https://ho-vang.eatbu.com/</t>
  </si>
  <si>
    <t>T.lamtrang00@gmail.com</t>
  </si>
  <si>
    <t>Steakhouse Marzahn</t>
  </si>
  <si>
    <t>Mehrower Allee 52, Berlin, 12687</t>
  </si>
  <si>
    <t>https://steakhaus-marzahn.de/</t>
  </si>
  <si>
    <t>Mail.bewerbung@steakhaus-marzahn.de</t>
  </si>
  <si>
    <t>+49 30 934 978 90</t>
  </si>
  <si>
    <t>Casa Nuova</t>
  </si>
  <si>
    <t>Essbar</t>
  </si>
  <si>
    <t>Troms√∂er Stra√üe 6, Berlin, 13359</t>
  </si>
  <si>
    <t>Mangal</t>
  </si>
  <si>
    <t>Hildburghauser Stra√üe 110, Berlin, 12209</t>
  </si>
  <si>
    <t>+49 30 7115018</t>
  </si>
  <si>
    <t>Tung Long</t>
  </si>
  <si>
    <t>Karl-Marx-Stra√üe 59, Berlin, 12043</t>
  </si>
  <si>
    <t>+49 30 62900908</t>
  </si>
  <si>
    <t>Pizza Latino</t>
  </si>
  <si>
    <t>Bouch√©stra√üe 18, Berlin, 12435</t>
  </si>
  <si>
    <t>Dittmann's</t>
  </si>
  <si>
    <t>Hauptstra√üe 106, Berlin, 13158</t>
  </si>
  <si>
    <t>https://dittmann-s.eatbu.com/</t>
  </si>
  <si>
    <t>info@dittmann-s.de</t>
  </si>
  <si>
    <t>+49 30 9123641</t>
  </si>
  <si>
    <t>instagram: https://www.instagram.com/restaurant_dittmanns</t>
  </si>
  <si>
    <t>Theo‚Äôs Taverna</t>
  </si>
  <si>
    <t>Warnitzer Stra√üe 10, Berlin, 13057</t>
  </si>
  <si>
    <t>Maecom Dalcom</t>
  </si>
  <si>
    <t>Leberstra√üe 35, Berlin, 10829</t>
  </si>
  <si>
    <t>Ristorante I Salentini</t>
  </si>
  <si>
    <t>Treseburger Ufer 54, Berlin, 12347</t>
  </si>
  <si>
    <t>https://www.ristoranteisalentini.de</t>
  </si>
  <si>
    <t>+49 30 23942097</t>
  </si>
  <si>
    <t>Hasir OCAKBA≈ûI</t>
  </si>
  <si>
    <t>Oranienstra√üe 177, Berlin, 10999</t>
  </si>
  <si>
    <t>info@hatayocakbasi.de</t>
  </si>
  <si>
    <t>+49 30 76953419</t>
  </si>
  <si>
    <t>Hanoi‚Äôs Corner</t>
  </si>
  <si>
    <t>Leibnizstra√üe 56, Berlin, 10629</t>
  </si>
  <si>
    <t>https://hanoiscornerberlin.de/</t>
  </si>
  <si>
    <t>+49 30 886 28865</t>
  </si>
  <si>
    <t>facebook: https://www.facebook.com/hanoiscorner, instagram: https://www.instagram.com/hanois.corner/</t>
  </si>
  <si>
    <t>Jules Verne</t>
  </si>
  <si>
    <t>Schl√ºterstra√üe 61, Berlin, 10625</t>
  </si>
  <si>
    <t>https://www.jules-verne-berlin.de/</t>
  </si>
  <si>
    <t>info@jules-verne-berlin.de</t>
  </si>
  <si>
    <t>+49 30 31809410</t>
  </si>
  <si>
    <t>twitter: https://twitter.com/julesverneresto, instagram: https://www.instagram.com/julesverneberlin/</t>
  </si>
  <si>
    <t>Greek Cousine</t>
  </si>
  <si>
    <t>Nu√übaumerin</t>
  </si>
  <si>
    <t>Samos</t>
  </si>
  <si>
    <t>http://www.samos-berlin.de</t>
  </si>
  <si>
    <t>info@samos-berlin.de</t>
  </si>
  <si>
    <t>+49 30 8836111</t>
  </si>
  <si>
    <t>Bodhicitta</t>
  </si>
  <si>
    <t>Kantstra√üe 139, Berlin, 10623</t>
  </si>
  <si>
    <t>+49 30 89624395</t>
  </si>
  <si>
    <t>Five Ace</t>
  </si>
  <si>
    <t>Schivelbeiner Stra√üe 49, Berlin, 10439</t>
  </si>
  <si>
    <t>+49 30 49923888</t>
  </si>
  <si>
    <t>Arirang Bulgogi</t>
  </si>
  <si>
    <t>Bornholmer Stra√üe 85, Berlin, 10439</t>
  </si>
  <si>
    <t>Min</t>
  </si>
  <si>
    <t>Berliner Stra√üe 77, Berlin, 13189</t>
  </si>
  <si>
    <t>https://www.min-asiancuisine.de/</t>
  </si>
  <si>
    <t>min.asiancuisine@gmail.comADRESSEBerliner</t>
  </si>
  <si>
    <t>+49 30 91142809</t>
  </si>
  <si>
    <t>facebook: https://www.facebook.com/hieppas, instagram: https://www.instagram.com/min_asian_cuisine?igsh=Mm5uOXFmMWhwNjdy&amp;utm_source=qr</t>
  </si>
  <si>
    <t>Il Valentino</t>
  </si>
  <si>
    <t>Kurf√ºrstenstra√üe 56, Berlin, 10785</t>
  </si>
  <si>
    <t>https://www.restaurant-ilvalentino.com/</t>
  </si>
  <si>
    <t>+49 30 26398263</t>
  </si>
  <si>
    <t>Alte Forno Pizzeria</t>
  </si>
  <si>
    <t>Potsdamer Stra√üe 164, Berlin, 10783</t>
  </si>
  <si>
    <t>Anh Ba</t>
  </si>
  <si>
    <t>Nassauische Stra√üe 36, Berlin, 10717</t>
  </si>
  <si>
    <t>+49 30 62900390</t>
  </si>
  <si>
    <t>Saigon Com Nieu</t>
  </si>
  <si>
    <t>B√ºlowstra√üe 9, Berlin, 10783</t>
  </si>
  <si>
    <t>https://saigoncomnieu.com/</t>
  </si>
  <si>
    <t>+49 30 47595688</t>
  </si>
  <si>
    <t>facebook: https://www.facebook.com/Saigon-Com-Nieu-455242291280365/, instagram: https://www.instagram.com/saigoncomnieu/</t>
  </si>
  <si>
    <t>Buddha Haus</t>
  </si>
  <si>
    <t>Akazienstra√üe 27, Berlin, 10823</t>
  </si>
  <si>
    <t>http://www.buddhahaus.com</t>
  </si>
  <si>
    <t>kontakt@buddhahaus.com</t>
  </si>
  <si>
    <t>+49 30 70509959</t>
  </si>
  <si>
    <t>instagram: https://www.instagram.com/buddha_haus/?hl=en, facebook: https://www.facebook.com/NepalThaiKueche/</t>
  </si>
  <si>
    <t>L'Eustache</t>
  </si>
  <si>
    <t>Weisestra√üe 49, Berlin, 12049</t>
  </si>
  <si>
    <t>Viet Ha Goldener Karpfen</t>
  </si>
  <si>
    <t>Lebuser Stra√üe 13, Berlin, 10243</t>
  </si>
  <si>
    <t>+49 30 49854313</t>
  </si>
  <si>
    <t>Pasta Factory</t>
  </si>
  <si>
    <t>Kottbusser Damm 6, Berlin, 10967</t>
  </si>
  <si>
    <t>Taverna "To Koutouki"</t>
  </si>
  <si>
    <t>Weltwirtschaft</t>
  </si>
  <si>
    <t>John-Foster-Dulles-Allee 10, Berlin, 10557</t>
  </si>
  <si>
    <t>https://weltwirtschaft.berlin/</t>
  </si>
  <si>
    <t>info@weltwirtschaft.berlin</t>
  </si>
  <si>
    <t>+49 30 5858 22496</t>
  </si>
  <si>
    <t>instagram: https://www.instagram.com/weltwirtschaft.berlin/</t>
  </si>
  <si>
    <t>BIG BOSS</t>
  </si>
  <si>
    <t>Wilhelminenhofstra√üe 17, Berlin, 12459</t>
  </si>
  <si>
    <t>Ch√°omin</t>
  </si>
  <si>
    <t>https://chaomin.berlin/</t>
  </si>
  <si>
    <t>Anh Dao</t>
  </si>
  <si>
    <t>Danziger Stra√üe 42, Berlin, 10435</t>
  </si>
  <si>
    <t>https://www.anhdao-indochinesischespezialitaetenberlin.de/</t>
  </si>
  <si>
    <t>+49 30 44328168</t>
  </si>
  <si>
    <t>VinOsteria</t>
  </si>
  <si>
    <t>Niederbarnimstra√üe 16, Berlin, 10247</t>
  </si>
  <si>
    <t>https://losteria.net/de/restaurants/restaurant/berlin-mercedes-platz/</t>
  </si>
  <si>
    <t>berlin.mercedesplatz@losteria.de</t>
  </si>
  <si>
    <t>+49 30 26109200</t>
  </si>
  <si>
    <t>tiktok: https://www.tiktok.com/@losteria.de?lang=de-DE, facebook: https://www.facebook.com/losteria.de/, instagram: https://instagram.com/losteria.de/</t>
  </si>
  <si>
    <t>Ph·ªü Nguy√™n 68</t>
  </si>
  <si>
    <t>https://www.phonguyen68.com/</t>
  </si>
  <si>
    <t>Restaurant Wawel</t>
  </si>
  <si>
    <t>Berlin, 12437</t>
  </si>
  <si>
    <t>http://www.restaurant-wawel.metro.bar/</t>
  </si>
  <si>
    <t>+49 30 58740718</t>
  </si>
  <si>
    <t>Santa Caf√©</t>
  </si>
  <si>
    <t>Breitenbachplatz 12, Berlin, 14195</t>
  </si>
  <si>
    <t>https://www.santa-cafe.de</t>
  </si>
  <si>
    <t>santacafe@yahoo.com</t>
  </si>
  <si>
    <t>instagram: https://www.instagram.com/santacafeberlin/</t>
  </si>
  <si>
    <t>Kantinen &amp; Partyservice Siering</t>
  </si>
  <si>
    <t>Ostendstra√üe 25, Berlin, 12459</t>
  </si>
  <si>
    <t>http://www.partyservice-siering.de</t>
  </si>
  <si>
    <t>Kiraku</t>
  </si>
  <si>
    <t>Litfa√ü-Platz 1, Berlin, 10178</t>
  </si>
  <si>
    <t>Tao Yuan Noodle House</t>
  </si>
  <si>
    <t>Wilmersdorfer Stra√üe 26, Berlin, 10585</t>
  </si>
  <si>
    <t>Viet Phuong</t>
  </si>
  <si>
    <t>Richard-Wagner-Stra√üe 37, Berlin, 10585</t>
  </si>
  <si>
    <t>+49 30 92359978</t>
  </si>
  <si>
    <t>Pizza Express</t>
  </si>
  <si>
    <t>Osloer Stra√üe 83a, Berlin, 13359</t>
  </si>
  <si>
    <t>https://pizzare.com</t>
  </si>
  <si>
    <t>Piazza Venezia</t>
  </si>
  <si>
    <t>Zimmermannstra√üe 7, Berlin, 12163</t>
  </si>
  <si>
    <t>http://www.piazza-venezia.de/</t>
  </si>
  <si>
    <t>info@piazza-venezia.de</t>
  </si>
  <si>
    <t>+49 30 79707109</t>
  </si>
  <si>
    <t>Vier Ecken</t>
  </si>
  <si>
    <t>B√∂hmische Stra√üe 14, Berlin, 12055</t>
  </si>
  <si>
    <t>https://www.vier-ecken.de/</t>
  </si>
  <si>
    <t>bundesb√ºdchen</t>
  </si>
  <si>
    <t>Hannoversche Stra√üe 2, Berlin, 10115</t>
  </si>
  <si>
    <t>Restaurant Luitpold</t>
  </si>
  <si>
    <t>JaVi 92</t>
  </si>
  <si>
    <t>Havelstra√üe 17a, Berlin, 13597</t>
  </si>
  <si>
    <t>https://www.javi-92-restaurant.de</t>
  </si>
  <si>
    <t>Batu Pattaya</t>
  </si>
  <si>
    <t>Gleimstra√üe 17, Berlin, 10437</t>
  </si>
  <si>
    <t>Caf√© Botanico</t>
  </si>
  <si>
    <t>Richardstra√üe 100, Berlin, 12043</t>
  </si>
  <si>
    <t>https://www.cafe-botanico.de</t>
  </si>
  <si>
    <t>+49 30 896 220 00</t>
  </si>
  <si>
    <t>c√¥ Chu</t>
  </si>
  <si>
    <t>Invalidenstra√üe 29, Berlin, 10115</t>
  </si>
  <si>
    <t>https://www.co-chu.de/</t>
  </si>
  <si>
    <t>hello@co-chu.de</t>
  </si>
  <si>
    <t>facebook: https://www.facebook.com/cochuberlin, instagram: https://www.instagram.com/cochuberlin/</t>
  </si>
  <si>
    <t>Schlemmer-Oase</t>
  </si>
  <si>
    <t>Potato Planet</t>
  </si>
  <si>
    <t>Cosmoveda</t>
  </si>
  <si>
    <t>Adalbertstra√üe 5-6a, Berlin, 10999</t>
  </si>
  <si>
    <t>http://www.cosmoveda.de/</t>
  </si>
  <si>
    <t>beratung@cosmoveda.de</t>
  </si>
  <si>
    <t>B√§ckerei Bacco</t>
  </si>
  <si>
    <t>Annenstra√üe 48, Berlin, 10179</t>
  </si>
  <si>
    <t>platz doch!</t>
  </si>
  <si>
    <t>Manteuffelstra√üe 48, Berlin, 10999</t>
  </si>
  <si>
    <t>https://www.platzdoch.de/</t>
  </si>
  <si>
    <t>facebook: https://www.facebook.com/PlatzDochBerlin, instagram: https://instagram.com/platzdochberlin</t>
  </si>
  <si>
    <t>Noon</t>
  </si>
  <si>
    <t>Savignyplatz 1, Berlin, 10623</t>
  </si>
  <si>
    <t>Golden Thai</t>
  </si>
  <si>
    <t>Koloniestra√üe 24, Berlin, 13359</t>
  </si>
  <si>
    <t>http://www.goldenthai-berlin.de</t>
  </si>
  <si>
    <t>+49 30 48478787</t>
  </si>
  <si>
    <t>√ústadin Yeri</t>
  </si>
  <si>
    <t>Prinzenallee 33, Berlin, 13359</t>
  </si>
  <si>
    <t>Madni</t>
  </si>
  <si>
    <t>Prinzenallee 26, Berlin, 13359</t>
  </si>
  <si>
    <t>https://madni.berlin</t>
  </si>
  <si>
    <t>info@madni.berlin</t>
  </si>
  <si>
    <t>facebook: https://www.facebook.com/madniberlin, instagram: https://www.instagram.com/madni_berlin/</t>
  </si>
  <si>
    <t>Petite Europe</t>
  </si>
  <si>
    <t>Langenscheidtstra√üe 1, Berlin, 10827</t>
  </si>
  <si>
    <t>C√¥ Linh</t>
  </si>
  <si>
    <t>Crellestra√üe 48, Berlin, 10827</t>
  </si>
  <si>
    <t>https://www.co-linh-berlin.de/</t>
  </si>
  <si>
    <t>+49 30 84526345</t>
  </si>
  <si>
    <t>Affenh√ºtte</t>
  </si>
  <si>
    <t>Sweet Cocos</t>
  </si>
  <si>
    <t>Hauptstra√üe 82, Berlin, 12159</t>
  </si>
  <si>
    <t>http://www.sweetcocos-restaurant.de/</t>
  </si>
  <si>
    <t>+49 30 85075675</t>
  </si>
  <si>
    <t>Aradhya</t>
  </si>
  <si>
    <t>Revaler Stra√üe 7, Berlin, 10245</t>
  </si>
  <si>
    <t>LINOPizza</t>
  </si>
  <si>
    <t>Rheinstra√üe 32-33, Berlin, 12161</t>
  </si>
  <si>
    <t>Ho Lo and Friends</t>
  </si>
  <si>
    <t>Schw√§bische Stra√üe 16, Berlin, 10781</t>
  </si>
  <si>
    <t>+49 30 91488319</t>
  </si>
  <si>
    <t>Veganaa</t>
  </si>
  <si>
    <t>Grunewaldstra√üe 88, Berlin, 10823</t>
  </si>
  <si>
    <t>https://veganaa.metro.rest/</t>
  </si>
  <si>
    <t>Vaganaa.gg@gmail.com</t>
  </si>
  <si>
    <t>facebook: https://www.facebook.com/Veganaa</t>
  </si>
  <si>
    <t>Seven Spices</t>
  </si>
  <si>
    <t>Gr√ºnberger Stra√üe 12, Berlin, 10243</t>
  </si>
  <si>
    <t>+49 30 40552487</t>
  </si>
  <si>
    <t>Nikko Sushi</t>
  </si>
  <si>
    <t>Laubacher Stra√üe 11, Berlin, 14197</t>
  </si>
  <si>
    <t>https://nikkosushi.de/</t>
  </si>
  <si>
    <t>kontakt@nikkosushi.de</t>
  </si>
  <si>
    <t>+49 30 67965686</t>
  </si>
  <si>
    <t>Marral</t>
  </si>
  <si>
    <t>Torstra√üe 222, Berlin, 10115</t>
  </si>
  <si>
    <t>http://www.marral.de/</t>
  </si>
  <si>
    <t>+49 30 48811887</t>
  </si>
  <si>
    <t>Final Kebab</t>
  </si>
  <si>
    <t>Yuuka Buffet</t>
  </si>
  <si>
    <t>Friedrichstra√üe 121, Berlin, 10117</t>
  </si>
  <si>
    <t>https://www.yuukabuffet.de/</t>
  </si>
  <si>
    <t>+4930 27581005</t>
  </si>
  <si>
    <t>Man Kee</t>
  </si>
  <si>
    <t>Grunewaldstra√üe 60, Berlin, 10825</t>
  </si>
  <si>
    <t>https://www.mankee-berlin.de/</t>
  </si>
  <si>
    <t>+49 30 20453338</t>
  </si>
  <si>
    <t>Matera</t>
  </si>
  <si>
    <t>Birkbuschstra√üe 7, Berlin, 12165</t>
  </si>
  <si>
    <t>https://restaurant-matera.de</t>
  </si>
  <si>
    <t>info@restaurant-matera.de</t>
  </si>
  <si>
    <t>+49 30 60927677</t>
  </si>
  <si>
    <t>Annoki</t>
  </si>
  <si>
    <t>Wilmersdorfer Stra√üe 78, Berlin, 10629</t>
  </si>
  <si>
    <t>B√™n Th√¢nh</t>
  </si>
  <si>
    <t>Kantstra√üe 78, Berlin, 10627</t>
  </si>
  <si>
    <t>https://benthanh-berlin.de/</t>
  </si>
  <si>
    <t>+49 30 31803868</t>
  </si>
  <si>
    <t>Tafelrunde</t>
  </si>
  <si>
    <t>Nachodstra√üe 21, Berlin, 10779</t>
  </si>
  <si>
    <t>https://www.tafelrunde-berlin.de/</t>
  </si>
  <si>
    <t>tafelrunde@t-online.de</t>
  </si>
  <si>
    <t>+49 30 2112141</t>
  </si>
  <si>
    <t>Punto e Virgola</t>
  </si>
  <si>
    <t>Motzstra√üe 68, Berlin, 10777</t>
  </si>
  <si>
    <t>https://punto-e-virgola.de/</t>
  </si>
  <si>
    <t>info@punto-e-virgola.de</t>
  </si>
  <si>
    <t>+49 30 60407491</t>
  </si>
  <si>
    <t>facebook: https://www.facebook.com/Punto-e-Virgola-375229879311193/?fref=ts</t>
  </si>
  <si>
    <t>Haveli</t>
  </si>
  <si>
    <t>https://haveliberlin.de/</t>
  </si>
  <si>
    <t>haveliberlin@yahoo.com</t>
  </si>
  <si>
    <t>+49 30 21918686</t>
  </si>
  <si>
    <t>Osteria Ribaltone</t>
  </si>
  <si>
    <t>Motzstra√üe 54, Berlin, 10777</t>
  </si>
  <si>
    <t>http://www.ribaltone.de/</t>
  </si>
  <si>
    <t>osteriaribaltone@googlemail.com</t>
  </si>
  <si>
    <t>+49 30 2143655</t>
  </si>
  <si>
    <t>T.viet</t>
  </si>
  <si>
    <t>Elsenstra√üe 109, Berlin, 12435</t>
  </si>
  <si>
    <t>Berliner Wappen</t>
  </si>
  <si>
    <t>Michaelkirchplatz 11, Berlin, 10179</t>
  </si>
  <si>
    <t>http://www.gaststaette-berlinerwappen.de/</t>
  </si>
  <si>
    <t>Nestor Bildungsinstitut GmbH</t>
  </si>
  <si>
    <t>Sonnenallee 223, Berlin, 12059</t>
  </si>
  <si>
    <t>Faustus</t>
  </si>
  <si>
    <t>Wittenbergplatz 2, Berlin, 10789</t>
  </si>
  <si>
    <t>https://faustusrestaurant.de/</t>
  </si>
  <si>
    <t>info@faustusrestaurant.de</t>
  </si>
  <si>
    <t>+49 30 23624226</t>
  </si>
  <si>
    <t>Kebab House Kanatci Abi</t>
  </si>
  <si>
    <t>Bayreuther Stra√üe 10, Berlin, 10789</t>
  </si>
  <si>
    <t>Yajee</t>
  </si>
  <si>
    <t>Das Bonito</t>
  </si>
  <si>
    <t>N√ºrnberger Stra√üe 21, Berlin, 10789</t>
  </si>
  <si>
    <t>https://www.bonito-berlin.de/</t>
  </si>
  <si>
    <t>facebook: https://www.facebook.com/sharer.php?u=https%3A%2F%2Fwww.bonito-berlin.de%2F</t>
  </si>
  <si>
    <t>myThais</t>
  </si>
  <si>
    <t>Krumme Stra√üe 36, Berlin, 10627</t>
  </si>
  <si>
    <t>https://www.mythais.de/</t>
  </si>
  <si>
    <t>+49 30 94044167</t>
  </si>
  <si>
    <t>Savory Chay</t>
  </si>
  <si>
    <t>Kronenstra√üe 70, Berlin, 10117</t>
  </si>
  <si>
    <t>https://www.savorychayberlin.de</t>
  </si>
  <si>
    <t>+49 30 206 47692</t>
  </si>
  <si>
    <t>Inpastando</t>
  </si>
  <si>
    <t>Langhansstra√üe 118, Berlin, 13086</t>
  </si>
  <si>
    <t>+49 1521 7452012</t>
  </si>
  <si>
    <t>Alt-Berliner Biersalon</t>
  </si>
  <si>
    <t>https://www.alt-berliner-biersalon.de/</t>
  </si>
  <si>
    <t>info@altberlinerbiersalon.de</t>
  </si>
  <si>
    <t>House of Tandoor</t>
  </si>
  <si>
    <t>Meinekestra√üe 18, Berlin, 10719</t>
  </si>
  <si>
    <t>MIO Berlin</t>
  </si>
  <si>
    <t>Panoramastra√üe 1a, Berlin, 10178</t>
  </si>
  <si>
    <t>https://www.mioberlin.de/</t>
  </si>
  <si>
    <t>restaurant@mioberlin.de</t>
  </si>
  <si>
    <t>+49 30 84712758</t>
  </si>
  <si>
    <t>facebook: http://www.facebook.com/mIoBerlin, instagram: https://www.instagram.com/mioberlinonline/</t>
  </si>
  <si>
    <t>Sale √© Pepe</t>
  </si>
  <si>
    <t>Wegscheider Stra√üe 16</t>
  </si>
  <si>
    <t>Tischlein deck Dich</t>
  </si>
  <si>
    <t>En Elladi</t>
  </si>
  <si>
    <t>Wichertstra√üe 55, Berlin, 10439</t>
  </si>
  <si>
    <t>https://www.enelladi.de/</t>
  </si>
  <si>
    <t>+49 3028644022</t>
  </si>
  <si>
    <t>L'Osteria</t>
  </si>
  <si>
    <t>Budapester Stra√üe 38-50, Berlin, 10787</t>
  </si>
  <si>
    <t>https://losteria.net/de/restaurants/restaurant/bikini-berlin/</t>
  </si>
  <si>
    <t>bikiniberlin@losteria.de</t>
  </si>
  <si>
    <t>+49 30 25 79 43 25</t>
  </si>
  <si>
    <t>Seoulgarden</t>
  </si>
  <si>
    <t>Oderberger Stra√üe 41, Berlin, 10435</t>
  </si>
  <si>
    <t>https://www.seoulgarden.de/knesebeckstrase/</t>
  </si>
  <si>
    <t>info.seoulgarden.charlottenburg@gmail.comAnschrift</t>
  </si>
  <si>
    <t>+49 3064465646</t>
  </si>
  <si>
    <t>instagram: https://www.instagram.com/seoul_garden_berlin</t>
  </si>
  <si>
    <t>Amoag</t>
  </si>
  <si>
    <t>Wilmersdorfer Stra√üe 152A, Berlin, 10585</t>
  </si>
  <si>
    <t>https://www.amoag-sudanische-spezialitaeten.de/</t>
  </si>
  <si>
    <t>Shanxi Nudelhaus</t>
  </si>
  <si>
    <t>Samariterstra√üe 28, Berlin, 10247</t>
  </si>
  <si>
    <t>https://www.shanxi-nudelhaus.de/</t>
  </si>
  <si>
    <t>sxnudelhaus@gmail.comAddressSamariterstr</t>
  </si>
  <si>
    <t>+49 30 13894489</t>
  </si>
  <si>
    <t>Bistro Felfel</t>
  </si>
  <si>
    <t>Kaiser-Friedrich-Stra√üe 34, Berlin, 10627</t>
  </si>
  <si>
    <t>Hodori</t>
  </si>
  <si>
    <t>Goebenstra√üe 16, Berlin, 10783</t>
  </si>
  <si>
    <t>+49 30 2153562</t>
  </si>
  <si>
    <t>Nin Hao</t>
  </si>
  <si>
    <t>Bismarckstra√üe 24, Berlin, 10625</t>
  </si>
  <si>
    <t>https://www.ninhaochinarestaurantberlin.de/</t>
  </si>
  <si>
    <t>+49 30 36702028</t>
  </si>
  <si>
    <t>Sushi King</t>
  </si>
  <si>
    <t>Richard-Wagner-Stra√üe 49, Berlin, 10585</t>
  </si>
  <si>
    <t>http://www.sushi-king-berlin.de</t>
  </si>
  <si>
    <t>Yume</t>
  </si>
  <si>
    <t>C'yah</t>
  </si>
  <si>
    <t>Kantstra√üe 83, Berlin, 10627</t>
  </si>
  <si>
    <t>http://cyah.de/</t>
  </si>
  <si>
    <t>+49 30 54710563</t>
  </si>
  <si>
    <t>Mylos</t>
  </si>
  <si>
    <t>Holtzendorffstra√üe 20, Berlin, 14057</t>
  </si>
  <si>
    <t>https://www.mylos.eu/</t>
  </si>
  <si>
    <t>info@mylos.eu</t>
  </si>
  <si>
    <t>+49 30 3238163</t>
  </si>
  <si>
    <t>Il Vagabondo</t>
  </si>
  <si>
    <t>Foreign Affairs</t>
  </si>
  <si>
    <t>Werderscher Markt 11, Berlin, 10117</t>
  </si>
  <si>
    <t>https://johnf.arcotel.com/de/restaurant-und-bar/</t>
  </si>
  <si>
    <t>johnf@arcotel.com</t>
  </si>
  <si>
    <t>facebook: https://www.facebook.com/ARCOTELHotels, instagram: https://www.instagram.com/arcotelhotels, linkedin: https://www.linkedin.com/company/arcotel-hotels</t>
  </si>
  <si>
    <t>Nobelhart &amp; Schmutzig</t>
  </si>
  <si>
    <t>Friedrichstra√üe 218, Berlin, 10969</t>
  </si>
  <si>
    <t>https://www.nobelhartundschmutzig.com/</t>
  </si>
  <si>
    <t>dubist@nobelhartundschmutzig.com</t>
  </si>
  <si>
    <t>+49 30 25940610</t>
  </si>
  <si>
    <t>instagram: https://www.instagram.com/nobelhartundschmutzig/, facebook: https://www.facebook.com/Nobelhartundschmutzig</t>
  </si>
  <si>
    <t>La Marini√®re</t>
  </si>
  <si>
    <t>Salumeria Veneto</t>
  </si>
  <si>
    <t>Monella</t>
  </si>
  <si>
    <t>Malplaquetstra√üe 16B, Berlin, 13347</t>
  </si>
  <si>
    <t>https://www.monella-berlin.de/</t>
  </si>
  <si>
    <t>facebook: https://www.facebook.com/PizzeriaMonella, instagram: https://www.instagram.com/pizzeria_monella_seit_2017/</t>
  </si>
  <si>
    <t>Gasthaus Alt Wien</t>
  </si>
  <si>
    <t>Hufelandstra√üe 22, Berlin, 10407</t>
  </si>
  <si>
    <t>http://www.altwien-berlin.de</t>
  </si>
  <si>
    <t>service@altwien-berlin.de</t>
  </si>
  <si>
    <t>+49 30 70129610</t>
  </si>
  <si>
    <t>facebook: https://www.facebook.com/altwienberlin/</t>
  </si>
  <si>
    <t>Asia Thyna</t>
  </si>
  <si>
    <t>Hermannstra√üe 169, Berlin, 12051</t>
  </si>
  <si>
    <t>Aleppo Supper Club</t>
  </si>
  <si>
    <t>Rigaer Stra√üe 58, Berlin, 10247</t>
  </si>
  <si>
    <t>https://alepposupper.club/</t>
  </si>
  <si>
    <t>samer@alepposupper.club</t>
  </si>
  <si>
    <t>+49 30 5056 6923</t>
  </si>
  <si>
    <t>instagram: https://www.instagram.com/aleppo_supper_club/, tiktok: https://www.tiktok.com/@alepposupperclub, facebook: https://www.facebook.com/AleppoSupperClub/</t>
  </si>
  <si>
    <t>Friedel Richter</t>
  </si>
  <si>
    <t>Torstra√üe 199, Berlin, 10115</t>
  </si>
  <si>
    <t>https://friedelrichter.de</t>
  </si>
  <si>
    <t>info@friedelrichter.de</t>
  </si>
  <si>
    <t>+49 30 27582234</t>
  </si>
  <si>
    <t>Toca Rouge</t>
  </si>
  <si>
    <t>Torstra√üe 195</t>
  </si>
  <si>
    <t>http://tocarouge.de/</t>
  </si>
  <si>
    <t>info@tocarouge.de</t>
  </si>
  <si>
    <t>instagram: https://www.instagram.com/tocarouge/, facebook: https://www.facebook.com/TocaRouge/</t>
  </si>
  <si>
    <t>Petrarca</t>
  </si>
  <si>
    <t>Novalisstra√üe 8, Berlin, 10115</t>
  </si>
  <si>
    <t>https://petrarcaberlin.com/</t>
  </si>
  <si>
    <t>Harmonie</t>
  </si>
  <si>
    <t>Stolzenfelsstra√üe 11, Berlin, 10318</t>
  </si>
  <si>
    <t>+49 30 81829518</t>
  </si>
  <si>
    <t>Taquito M√≠o</t>
  </si>
  <si>
    <t>Boxhagener Stra√üe 122, 10245</t>
  </si>
  <si>
    <t>Trattoria Senza</t>
  </si>
  <si>
    <t>Hannoversche Stra√üe 1, Berlin, 10115</t>
  </si>
  <si>
    <t>http://www.trattoria-belmonte.de</t>
  </si>
  <si>
    <t>+49 30 2111990</t>
  </si>
  <si>
    <t>Yafo</t>
  </si>
  <si>
    <t>Ritterstra√üe 12-14, Berlin, 10969</t>
  </si>
  <si>
    <t>https://www.yafoberlin.com/</t>
  </si>
  <si>
    <t>69534001booking@yafo-berlin.de</t>
  </si>
  <si>
    <t>facebook: https://www.facebook.com/YafoBerlin/, instagram: https://www.instagram.com/yafo_berlin/</t>
  </si>
  <si>
    <t>momos</t>
  </si>
  <si>
    <t>Chausseestra√üe 2, Berlin, 10115</t>
  </si>
  <si>
    <t>https://momos-berlin.de/</t>
  </si>
  <si>
    <t>info@momos-berlin.de</t>
  </si>
  <si>
    <t>+49 30 34508898</t>
  </si>
  <si>
    <t>instagram: https://www.instagram.com/momosberlin, facebook: https://www.facebook.com/momos.berlin</t>
  </si>
  <si>
    <t>Eiscaf√© Familato</t>
  </si>
  <si>
    <t>Stolzenfelsstra√üe 1, Berlin, 10318</t>
  </si>
  <si>
    <t>Ali Baba Burger</t>
  </si>
  <si>
    <t>Seoulkitchen</t>
  </si>
  <si>
    <t>Warschauer Stra√üe 46, Berlin, 10243</t>
  </si>
  <si>
    <t>http://www.seoulkitchen.de/</t>
  </si>
  <si>
    <t>info@seoulkitchen.de</t>
  </si>
  <si>
    <t>+4930 652 14130</t>
  </si>
  <si>
    <t>Gutshaus Neukladow</t>
  </si>
  <si>
    <t>Neukladower Allee 12, Berlin, 14089</t>
  </si>
  <si>
    <t>https://gutshausneukladow.de/</t>
  </si>
  <si>
    <t>info@gutshausneukladow.de</t>
  </si>
  <si>
    <t>+49 30 364 13892</t>
  </si>
  <si>
    <t>facebook: https://www.facebook.com/gutshausneukladow/, instagram: https://www.instagram.com/gutshausneukladow/</t>
  </si>
  <si>
    <t>Brasserie Dandelion</t>
  </si>
  <si>
    <t>Chum's Vietnamese Cuisine</t>
  </si>
  <si>
    <t>Elberfelder Stra√üe 8, Berlin, 10555</t>
  </si>
  <si>
    <t>+49 30 54847379</t>
  </si>
  <si>
    <t>Pamfilya</t>
  </si>
  <si>
    <t>Luxemburger Stra√üe 1, Berlin, 13353</t>
  </si>
  <si>
    <t>https://pamfilya-restaurant.de</t>
  </si>
  <si>
    <t>+49 30 453 26 99</t>
  </si>
  <si>
    <t>facebook: https://www.facebook.com/restaurantpamfilya, instagram: https://www.instagram.com/restaurant_pamfilya, tiktok: https://www.tiktok.com/@restaurantpamfilya</t>
  </si>
  <si>
    <t>Viet Nam &amp; Sushi Bar Berlin</t>
  </si>
  <si>
    <t>Prenzlauer Allee 43, Berlin, 10405</t>
  </si>
  <si>
    <t>https://friedrichshain.vietnamsushibar.com/</t>
  </si>
  <si>
    <t>info@friedrichshain.vietnamsushibar.com</t>
  </si>
  <si>
    <t>+49 30 61203330</t>
  </si>
  <si>
    <t>Restaurant Giovanni Cinque</t>
  </si>
  <si>
    <t>Am Tierpark 66, Berlin, 10319</t>
  </si>
  <si>
    <t>https://giovanni-cinque.de</t>
  </si>
  <si>
    <t>+49 30 5110070</t>
  </si>
  <si>
    <t>Cocos</t>
  </si>
  <si>
    <t>Prerower Platz 1, Berlin, 13051</t>
  </si>
  <si>
    <t>Chidoba Mexican Grill</t>
  </si>
  <si>
    <t>Thai-Nippon Sushi Bar</t>
  </si>
  <si>
    <t>DIAZO</t>
  </si>
  <si>
    <t>K√§fer Dachgarten-Restaurant im Deutschen Bundestag</t>
  </si>
  <si>
    <t>Platz der Republik 1, Berlin, 10557</t>
  </si>
  <si>
    <t>https://www.feinkost-kaefer.de/berlin</t>
  </si>
  <si>
    <t>berlin@feinkost-kaefer.de</t>
  </si>
  <si>
    <t>+49 30 2262990</t>
  </si>
  <si>
    <t>facebook: https://www.facebook.com/feinkostkaefer/, instagram: https://www.instagram.com/feinkostkaefer/</t>
  </si>
  <si>
    <t>Oliveto</t>
  </si>
  <si>
    <t>Pannierstra√üe 9a</t>
  </si>
  <si>
    <t>https://oliveto.berlin</t>
  </si>
  <si>
    <t>+49 30 64470684</t>
  </si>
  <si>
    <t>instagram: https://www.instagram.com/oliveto.berlin/</t>
  </si>
  <si>
    <t>ZOLA Pizzeria</t>
  </si>
  <si>
    <t>Wernsdorfer Stra√üe 43, Berlin, 12527</t>
  </si>
  <si>
    <t>https://das-schmoeckwitz.de/geniessen/restaurant-wintergarten/</t>
  </si>
  <si>
    <t>+49 30 12085418</t>
  </si>
  <si>
    <t>Torero Steakhaus</t>
  </si>
  <si>
    <t>Neuk√∂llner Stra√üe 251, Berlin, 12357</t>
  </si>
  <si>
    <t>http://www.steakhaus-torero.de/</t>
  </si>
  <si>
    <t>+49 30 6614011</t>
  </si>
  <si>
    <t>I Due Emigranti</t>
  </si>
  <si>
    <t>Belziger Stra√üe 38, Berlin, 10823</t>
  </si>
  <si>
    <t>+49 30 7826326</t>
  </si>
  <si>
    <t>La Casa Buena Vista</t>
  </si>
  <si>
    <t>Bizetstra√üe 136</t>
  </si>
  <si>
    <t>https://www.lacasabuenavista.de/</t>
  </si>
  <si>
    <t>mail@lacasabuenavista.de</t>
  </si>
  <si>
    <t>+49 30 92370685</t>
  </si>
  <si>
    <t>facebook: https://facebook.com/lacasabuenavista.berlin, instagram: https://instagram.com/lacasabuenavista/</t>
  </si>
  <si>
    <t>Restaurant Bistro ABACUS Tierpark</t>
  </si>
  <si>
    <t>Blue Nile</t>
  </si>
  <si>
    <t>Tempelhofer Ufer 6, Berlin, 10963</t>
  </si>
  <si>
    <t>https://www.bluenileberlin.de/</t>
  </si>
  <si>
    <t>+49 30 25294655</t>
  </si>
  <si>
    <t>Annami</t>
  </si>
  <si>
    <t>Hansƒ´k Korea</t>
  </si>
  <si>
    <t>Pariser Stra√üe 2</t>
  </si>
  <si>
    <t>https://hansik-korea.com/</t>
  </si>
  <si>
    <t>+49 30 6585 1949</t>
  </si>
  <si>
    <t>Sen Viet</t>
  </si>
  <si>
    <t>Wilhelminenhofstra√üe 32, Berlin, 12459</t>
  </si>
  <si>
    <t>+49 30 526 60 902</t>
  </si>
  <si>
    <t>Sushi &amp; Asian Tveita</t>
  </si>
  <si>
    <t>Tegeler Stra√üe 31, Berlin, 13353</t>
  </si>
  <si>
    <t>Jing Yang</t>
  </si>
  <si>
    <t>Albrechtstra√üe 125, Berlin, 12165</t>
  </si>
  <si>
    <t>http://jing-yang-restaurant.de/</t>
  </si>
  <si>
    <t>+49 30 7925763</t>
  </si>
  <si>
    <t>Silla</t>
  </si>
  <si>
    <t>Bundesallee 23</t>
  </si>
  <si>
    <t>Grace</t>
  </si>
  <si>
    <t>https://www.grace-berlin.com/</t>
  </si>
  <si>
    <t>info@grace-berlin.com</t>
  </si>
  <si>
    <t>facebook: https://www.facebook.com/GRACERestaurantAndBar/, instagram: https://www.instagram.com/grace_bln/, linkedin: https://www.linkedin.com/company/grace-restaurant-bar/</t>
  </si>
  <si>
    <t>bbq Chicken</t>
  </si>
  <si>
    <t>Skalitzer Stra√üe 97, Berlin, 10997</t>
  </si>
  <si>
    <t>Ristorante Casa Michelangelo</t>
  </si>
  <si>
    <t>Breitenbachplatz 4, Berlin, 14195</t>
  </si>
  <si>
    <t>https://www.casa-michelangelo-berlin.de</t>
  </si>
  <si>
    <t>info@casa-michelangelo-berlin.de</t>
  </si>
  <si>
    <t>+49 30 678 00 808</t>
  </si>
  <si>
    <t>facebook: https://www.facebook.com/casa.michelangelo.berlin/</t>
  </si>
  <si>
    <t>Hippocrates</t>
  </si>
  <si>
    <t>Mahlsdorfer Stra√üe 106, Berlin, 12555</t>
  </si>
  <si>
    <t>https://www.hippokrates-koepenick.de</t>
  </si>
  <si>
    <t>info@hippokrates-koepenick.de</t>
  </si>
  <si>
    <t>+49 30 60033230</t>
  </si>
  <si>
    <t>facebook: https://www.facebook.com/hippokrates.koepenick</t>
  </si>
  <si>
    <t>Minh San</t>
  </si>
  <si>
    <t>Reinhardtstra√üe 44, Berlin, 10117</t>
  </si>
  <si>
    <t>Max und Moritz</t>
  </si>
  <si>
    <t>Oranienstra√üe 162, Berlin, 10969</t>
  </si>
  <si>
    <t>http://www.maxundmoritzberlin.de</t>
  </si>
  <si>
    <t>+49 30 69515911</t>
  </si>
  <si>
    <t>facebook: https://www.facebook.com/MaxundMoritzBerlin/, instagram: https://www.instagram.com/wirtshausmaxundmoritzberlin/</t>
  </si>
  <si>
    <t>Dicke Paula</t>
  </si>
  <si>
    <t>https://dicke-paula.de/</t>
  </si>
  <si>
    <t>info@dicke-paula.de</t>
  </si>
  <si>
    <t>+4930 36434703</t>
  </si>
  <si>
    <t>instagram: https://www.instagram.com/dicke_paula/</t>
  </si>
  <si>
    <t>Taverna Santorini</t>
  </si>
  <si>
    <t>Cauerstra√üe 28, Berlin, 10587</t>
  </si>
  <si>
    <t>http://www.santorini-berlin.de/</t>
  </si>
  <si>
    <t>+49 30 34508450</t>
  </si>
  <si>
    <t>Onnoya Fusion</t>
  </si>
  <si>
    <t>Hardenbergstra√üe 19, Berlin, 10623</t>
  </si>
  <si>
    <t>http://onnoya.de/</t>
  </si>
  <si>
    <t>+49 30 95592127</t>
  </si>
  <si>
    <t>Inizio</t>
  </si>
  <si>
    <t>Dudu31</t>
  </si>
  <si>
    <t>Bleibtreustra√üe 31, Berlin, 10707</t>
  </si>
  <si>
    <t>http://dudu31.de</t>
  </si>
  <si>
    <t>+49 30 577 955 77</t>
  </si>
  <si>
    <t>Miteinander</t>
  </si>
  <si>
    <t>Taunusstra√üe 11, Berlin, 12161</t>
  </si>
  <si>
    <t>https://www.restaurant-miteinander.de</t>
  </si>
  <si>
    <t>info@restaurant-miteinander.de</t>
  </si>
  <si>
    <t>+49 30 40502099</t>
  </si>
  <si>
    <t>Sao Mai</t>
  </si>
  <si>
    <t>Maa√üenstra√üe 8, Berlin, 10777</t>
  </si>
  <si>
    <t>http://saomai-berlin.de/</t>
  </si>
  <si>
    <t>+49 30 2166698</t>
  </si>
  <si>
    <t>Satori Italiani</t>
  </si>
  <si>
    <t>Kurf√ºrstenstra√üe 60</t>
  </si>
  <si>
    <t>EckKneipe</t>
  </si>
  <si>
    <t>Oregano</t>
  </si>
  <si>
    <t>Dahlmannstra√üe 22, Berlin, 10629</t>
  </si>
  <si>
    <t>McDarwich's Crispy</t>
  </si>
  <si>
    <t>Turmstra√üe 83, Berlin, 10551</t>
  </si>
  <si>
    <t>Joseph Roth Diele</t>
  </si>
  <si>
    <t>Potsdamer Stra√üe 75, Berlin, 10785</t>
  </si>
  <si>
    <t>http://joseph-roth-diele.de/</t>
  </si>
  <si>
    <t>+4930 26369884</t>
  </si>
  <si>
    <t>aprikosenbaum</t>
  </si>
  <si>
    <t>K√∂rnerstra√üe 12, Berlin, 10785</t>
  </si>
  <si>
    <t>http://aprikosenbaum-berlin.de/</t>
  </si>
  <si>
    <t>kontakt@aprikosenbaum-berlin.de</t>
  </si>
  <si>
    <t>+49 30 120 200 70</t>
  </si>
  <si>
    <t>Dalmacia-Grill</t>
  </si>
  <si>
    <t>Potsdamer Stra√üe 84, Berlin, 10785</t>
  </si>
  <si>
    <t>+49 30 2613991</t>
  </si>
  <si>
    <t>Karde≈üler Grill</t>
  </si>
  <si>
    <t>Humble Eatery</t>
  </si>
  <si>
    <t>L√ºtzowstra√üe 19, Berlin, 10785</t>
  </si>
  <si>
    <t>https://humble.berlin/</t>
  </si>
  <si>
    <t>daia</t>
  </si>
  <si>
    <t>Rhinower Stra√üe 7, Berlin, 10437</t>
  </si>
  <si>
    <t>Wilde Matilde</t>
  </si>
  <si>
    <t>Rathausstra√üe 23, Berlin, 10178</t>
  </si>
  <si>
    <t>https://wildematilde.de/</t>
  </si>
  <si>
    <t>+49 30 54083422</t>
  </si>
  <si>
    <t>instagram: https://www.instagram.com/wildematildecocktailbar/, facebook: https://www.facebook.com/WildeMatilde, tiktok: https://www.tiktok.com/@wildematilde</t>
  </si>
  <si>
    <t>Culinarium</t>
  </si>
  <si>
    <t>Taverna Kos</t>
  </si>
  <si>
    <t>Belziger Stra√üe 68, Berlin, 10823</t>
  </si>
  <si>
    <t>https://tavernakos.de/</t>
  </si>
  <si>
    <t>+49 30 7819413</t>
  </si>
  <si>
    <t>Th√£nh nh√µ</t>
  </si>
  <si>
    <t>Potsdamer Stra√üe 133, Berlin, 10783</t>
  </si>
  <si>
    <t>Enefese</t>
  </si>
  <si>
    <t>Potsdamer Stra√üe 131, Berlin, 10783</t>
  </si>
  <si>
    <t>http://www.baku-napoli.de/</t>
  </si>
  <si>
    <t>P-145</t>
  </si>
  <si>
    <t>Potsdamer Stra√üe 145, Berlin, 10783</t>
  </si>
  <si>
    <t>http://p-145.de</t>
  </si>
  <si>
    <t>+49 30 20051 615</t>
  </si>
  <si>
    <t>Sofram</t>
  </si>
  <si>
    <t>Potsdamer Stra√üe 137, Berlin, 10783</t>
  </si>
  <si>
    <t>Little Eataly Berlin</t>
  </si>
  <si>
    <t>Berliner Stra√üe 141, Berlin, 10715</t>
  </si>
  <si>
    <t>+49 30 86201877</t>
  </si>
  <si>
    <t>Tian Fu</t>
  </si>
  <si>
    <t>Uhlandstra√üe 142, Berlin, 10719</t>
  </si>
  <si>
    <t>https://tianfu.de/tianfu/index.html</t>
  </si>
  <si>
    <t>+49 30 8613015</t>
  </si>
  <si>
    <t>Da Noi</t>
  </si>
  <si>
    <t>Pfalzburger Stra√üe 24, Berlin, 10719</t>
  </si>
  <si>
    <t>Ssam</t>
  </si>
  <si>
    <t>Kottbusser Damm 96, Berlin, 10967</t>
  </si>
  <si>
    <t>http://www.ssam-bbq.de/</t>
  </si>
  <si>
    <t>+49 30 49089535</t>
  </si>
  <si>
    <t>facebook: https://www.facebook.com/SsamKoreanBarbeque/, instagram: https://www.instagram.com/ssam.bbq/?hl=de</t>
  </si>
  <si>
    <t>Ovest</t>
  </si>
  <si>
    <t>Lwerks...cultur</t>
  </si>
  <si>
    <t>Erkstra√üe 1, Berlin, 12043</t>
  </si>
  <si>
    <t>https://lwerks-cultur.de/</t>
  </si>
  <si>
    <t>mertins@lwnet.de</t>
  </si>
  <si>
    <t>+49 30 68991025</t>
  </si>
  <si>
    <t>Buffalo Grill</t>
  </si>
  <si>
    <t>Cantinerie</t>
  </si>
  <si>
    <t>Gustav-Meyer-Allee 25, Berlin, 13355</t>
  </si>
  <si>
    <t>http://www.cantinerie.de/</t>
  </si>
  <si>
    <t>info@cantinerie.de</t>
  </si>
  <si>
    <t>+49 30 46776300</t>
  </si>
  <si>
    <t>instagram: https://www.instagram.com/cantinerie.berlin/, facebook: https://www.facebook.com/cantinerieevents/?locale=de_DE</t>
  </si>
  <si>
    <t>Gusto</t>
  </si>
  <si>
    <t>Bregenzer Stra√üe 1, Berlin, 10707</t>
  </si>
  <si>
    <t>Lychee</t>
  </si>
  <si>
    <t>Bayerische Stra√üe 9, Berlin, 10707</t>
  </si>
  <si>
    <t>http://www.lychee-berlin.de</t>
  </si>
  <si>
    <t>lychee-restaurant-bar@hotmail.com</t>
  </si>
  <si>
    <t>+49 30 8871 7926</t>
  </si>
  <si>
    <t>facebook: https://www.facebook.com/lycheeberlin/, instagram: https://www.instagram.com/lycheeberlin/</t>
  </si>
  <si>
    <t>Zhou's Five</t>
  </si>
  <si>
    <t>Eichborndamm 215-239, Berlin</t>
  </si>
  <si>
    <t>https://zhousfive.de/</t>
  </si>
  <si>
    <t>+49 30 67952100</t>
  </si>
  <si>
    <t>facebook: https://www.facebook.com/Zhous-Five-im-Victoria-Center-1888524988143240, instagram: https://www.instagram.com/zhousfive/</t>
  </si>
  <si>
    <t>Cozy Restaurant</t>
  </si>
  <si>
    <t>G√ºntzelstra√üe 24-25, Berlin, 10717</t>
  </si>
  <si>
    <t>https://cozyrestaurant.de</t>
  </si>
  <si>
    <t>info@cozyrestaurant.de</t>
  </si>
  <si>
    <t>Farina</t>
  </si>
  <si>
    <t>Karl-Kunger-Stra√üe 10, Berlin, 12435</t>
  </si>
  <si>
    <t>+49 30 23910130</t>
  </si>
  <si>
    <t>Pagashi-Luu</t>
  </si>
  <si>
    <t>Markgrafenstra√üe 56, Berlin, 10117</t>
  </si>
  <si>
    <t>https://pagashiluu.eatbu.com/</t>
  </si>
  <si>
    <t>thuy_luu@web.de</t>
  </si>
  <si>
    <t>+49 30 53793695</t>
  </si>
  <si>
    <t>Lao Xiang</t>
  </si>
  <si>
    <t>Wichertstra√üe 43, Berlin, 10439</t>
  </si>
  <si>
    <t>Georgios Restaurant</t>
  </si>
  <si>
    <t>Bayerische Stra√üe 26, Berlin, 10707</t>
  </si>
  <si>
    <t>http://www.georgios-restaurant.de/</t>
  </si>
  <si>
    <t>info@georgios-restaurant.de</t>
  </si>
  <si>
    <t>instagram: https://www.instagram.com/georgios_restaurant_/</t>
  </si>
  <si>
    <t>Kiez - K√ºche</t>
  </si>
  <si>
    <t>Goethestra√üe 34, Berlin, 12459</t>
  </si>
  <si>
    <t>http://www.kiez-kueche.de</t>
  </si>
  <si>
    <t>kiezkueche@hotmail.com</t>
  </si>
  <si>
    <t>+49 30 531 93 61</t>
  </si>
  <si>
    <t>Manhattan Burger</t>
  </si>
  <si>
    <t>Wilhelminenhofstra√üe 37, Berlin, 12459</t>
  </si>
  <si>
    <t>Pizzeria Don Camillo</t>
  </si>
  <si>
    <t>Wilhelminenhofstra√üe 40, Berlin, 12459</t>
  </si>
  <si>
    <t>SMASH IT!</t>
  </si>
  <si>
    <t>Reinbeckstra√üe 2, Berlin, 12459</t>
  </si>
  <si>
    <t>Tulus Lotrek</t>
  </si>
  <si>
    <t>Fichtestra√üe 24, Berlin, 10967</t>
  </si>
  <si>
    <t>http://tuluslotrek.de/</t>
  </si>
  <si>
    <t>mail@tuluslotrek.de</t>
  </si>
  <si>
    <t>instagram: https://www.instagram.com/tuluslotrekberlin</t>
  </si>
  <si>
    <t>Chinarestaurant How How</t>
  </si>
  <si>
    <t>Oranienburger Stra√üe 168, Berlin, 13437</t>
  </si>
  <si>
    <t>https://www.howhow.de/</t>
  </si>
  <si>
    <t>+49 30 4165469</t>
  </si>
  <si>
    <t>MATANGA</t>
  </si>
  <si>
    <t>Gubener Stra√üe 41, Berlin, 10243</t>
  </si>
  <si>
    <t>https://www.matanga-berlin.com/</t>
  </si>
  <si>
    <t>info@matanga-berlin.com</t>
  </si>
  <si>
    <t>instagram: https://www.instagram.com/matanga_berlin</t>
  </si>
  <si>
    <t>Kitchen Library</t>
  </si>
  <si>
    <t>Bleibtreustra√üe 55, Berlin, 10623</t>
  </si>
  <si>
    <t>https://www.kitchen-library.de/</t>
  </si>
  <si>
    <t>info@kitchen-library.de</t>
  </si>
  <si>
    <t>facebook: https://facebook.com/kitchenlibraryblog/, instagram: https://www.instagram.com/kitchenlibrary/</t>
  </si>
  <si>
    <t>The Pub</t>
  </si>
  <si>
    <t>Rochstra√üe 14, Berlin, 10178</t>
  </si>
  <si>
    <t>http://www.thepubworld.com/de/berlin/</t>
  </si>
  <si>
    <t>pub@thepubworld.de</t>
  </si>
  <si>
    <t>+49 30 25762201</t>
  </si>
  <si>
    <t>facebook: https://www.facebook.com/MoepseTrinkenBier, instagram: https://www.instagram.com/moepsetrinkenbier, tiktok: https://www.tiktok.com/@thepubberlin</t>
  </si>
  <si>
    <t>Madami (papa)</t>
  </si>
  <si>
    <t>Dircksenstra√üe 37, Berlin, 10178</t>
  </si>
  <si>
    <t>http://www.madami-restaurant.de</t>
  </si>
  <si>
    <t>+49 30 24339838</t>
  </si>
  <si>
    <t>MOM's vegan cooking</t>
  </si>
  <si>
    <t>Kotobuki-Sushi</t>
  </si>
  <si>
    <t>Hercules</t>
  </si>
  <si>
    <t>Rosenthaler Weg 62, Berlin, 13127</t>
  </si>
  <si>
    <t>http://www.restaurant-hercules.de</t>
  </si>
  <si>
    <t>+49 30 47557277</t>
  </si>
  <si>
    <t>Der Eiserne Gustav</t>
  </si>
  <si>
    <t>Hauptstra√üe 59a, Berlin, 13127</t>
  </si>
  <si>
    <t>https://www.dereisernegustav.de/</t>
  </si>
  <si>
    <t>INFO@DEREISERNEGUSTAV.DE</t>
  </si>
  <si>
    <t>+49 30 91425707</t>
  </si>
  <si>
    <t>NOVEMBER Brasserie</t>
  </si>
  <si>
    <t>Husemannstra√üe 15, Berlin, 10435</t>
  </si>
  <si>
    <t>https://november.berlin/</t>
  </si>
  <si>
    <t>november@thecatchfamily.com</t>
  </si>
  <si>
    <t>+49 162 3332135</t>
  </si>
  <si>
    <t>Mjalt</t>
  </si>
  <si>
    <t>Sredzkistra√üe 23, Berlin, 10435</t>
  </si>
  <si>
    <t>https://mjalt.de/</t>
  </si>
  <si>
    <t>info@mjalt.de</t>
  </si>
  <si>
    <t>instagram: https://www.instagram.com/qodeinteractive/, tiktok: https://www.tiktok.com/@ristorante_mjalt, facebook: https://www.facebook.com/QodeInteractive/</t>
  </si>
  <si>
    <t>Osteria Fiorello</t>
  </si>
  <si>
    <t>Husemannstra√üe 10</t>
  </si>
  <si>
    <t>+49 30 80923161</t>
  </si>
  <si>
    <t>Kokio</t>
  </si>
  <si>
    <t>Danziger Stra√üe 20, Berlin, 10435</t>
  </si>
  <si>
    <t>https://www.kokioberlin.com/</t>
  </si>
  <si>
    <t>info@kokioberlin.com</t>
  </si>
  <si>
    <t>instagram: https://www.instagram.com/kokioberlin/</t>
  </si>
  <si>
    <t>laibundselig</t>
  </si>
  <si>
    <t>Sredzkistra√üe 30</t>
  </si>
  <si>
    <t>https://www.laibundselig.de/</t>
  </si>
  <si>
    <t>reservierung@laibundselig.de</t>
  </si>
  <si>
    <t>+49 30 54462305</t>
  </si>
  <si>
    <t>Zula</t>
  </si>
  <si>
    <t>Husemannstra√üe 10, Berlin, 10435</t>
  </si>
  <si>
    <t>http://www.zulaberlin.com/</t>
  </si>
  <si>
    <t>info@zulaberlin.com</t>
  </si>
  <si>
    <t>instagram: https://www.instagram.com/zula_berlin/?hl=de, facebook: https://www.facebook.com/ZULA.Hummus.Berlin/</t>
  </si>
  <si>
    <t>Oderquelle</t>
  </si>
  <si>
    <t>https://www.oderquelle.de/</t>
  </si>
  <si>
    <t>info@oderquelle.de</t>
  </si>
  <si>
    <t>+49 30 44008080</t>
  </si>
  <si>
    <t>Kin Za</t>
  </si>
  <si>
    <t>Linienstra√üe 94, Berlin, 10115</t>
  </si>
  <si>
    <t>https://kinza.metro.bar/?lang=de</t>
  </si>
  <si>
    <t>iko008@googlemail.com</t>
  </si>
  <si>
    <t>instagram: https://www.instagram.com/kinza.berlin/reels/, facebook: https://www.facebook.com/berlin.kinza/?locale=de_DE</t>
  </si>
  <si>
    <t>l√™ l√™</t>
  </si>
  <si>
    <t>Sucre et Sel</t>
  </si>
  <si>
    <t>Torstra√üe 132, Berlin, 10119</t>
  </si>
  <si>
    <t>https://www.sucreetsel.de/</t>
  </si>
  <si>
    <t>info@sucreetsel.de</t>
  </si>
  <si>
    <t>+49 30 70031953</t>
  </si>
  <si>
    <t>facebook: https://www.facebook.com/sucreetselberlin, instagram: https://www.instagram.com/sucre_et_sel_berlin</t>
  </si>
  <si>
    <t>Mogg Delicatessen</t>
  </si>
  <si>
    <t>Auguststra√üe 11-13, Berlin, 10117</t>
  </si>
  <si>
    <t>https://www.moggmogg.com/</t>
  </si>
  <si>
    <t>info@moggmogg.com</t>
  </si>
  <si>
    <t>+49 30 330 060 770</t>
  </si>
  <si>
    <t>facebook: https://www.facebook.com/moggberlin, instagram: http://instagram.com/mogg</t>
  </si>
  <si>
    <t>Suppen Freunde</t>
  </si>
  <si>
    <t>Asia Song Hong</t>
  </si>
  <si>
    <t>Warschauer Stra√üe 25, Berlin, 10243</t>
  </si>
  <si>
    <t>Trattoria Portofino</t>
  </si>
  <si>
    <t>Gubener Stra√üe 48, Berlin, 10243</t>
  </si>
  <si>
    <t>http://www.portofino-trattoria.de</t>
  </si>
  <si>
    <t>info@portofino-trattoria.de</t>
  </si>
  <si>
    <t>+49 30 239 10 610</t>
  </si>
  <si>
    <t>facebook: https://www.facebook.com/trattoria.portofino.berlin/</t>
  </si>
  <si>
    <t>Batumi</t>
  </si>
  <si>
    <t>Gasteiner Stra√üe 11, Berlin, 10717</t>
  </si>
  <si>
    <t>https://batumi-berlin.de/</t>
  </si>
  <si>
    <t>bar@batumi-berlin.de</t>
  </si>
  <si>
    <t>Come-In</t>
  </si>
  <si>
    <t>Fritz-Wildung-Stra√üe 23, Berlin, 14199</t>
  </si>
  <si>
    <t>+49 30 823 41 47</t>
  </si>
  <si>
    <t>Tennis Casino</t>
  </si>
  <si>
    <t>Preussen-Casino</t>
  </si>
  <si>
    <t>Sternstunde</t>
  </si>
  <si>
    <t>Kreuznacher Stra√üe 29, Berlin, 14197</t>
  </si>
  <si>
    <t>http://sternstunde1900.de/</t>
  </si>
  <si>
    <t>sternstunde-stern1900@web.de</t>
  </si>
  <si>
    <t>Fortuna</t>
  </si>
  <si>
    <t>Johannisthaler Chaussee 183, Berlin, 12351</t>
  </si>
  <si>
    <t>Schah en Schah</t>
  </si>
  <si>
    <t>Wielandstra√üe 45, Berlin, 10625</t>
  </si>
  <si>
    <t>+49 30 556 258 79</t>
  </si>
  <si>
    <t>Vina</t>
  </si>
  <si>
    <t>MODU</t>
  </si>
  <si>
    <t>Saigon</t>
  </si>
  <si>
    <t>Kufsteiner Stra√üe 22, Berlin, 10825</t>
  </si>
  <si>
    <t>https://www.saigonrestaurant-berlin.de/</t>
  </si>
  <si>
    <t>+49 1522 1719999</t>
  </si>
  <si>
    <t>La Cantina Rosso</t>
  </si>
  <si>
    <t>Entrec√¥te</t>
  </si>
  <si>
    <t>Sch√ºtzenstra√üe 5, Berlin, 10117</t>
  </si>
  <si>
    <t>https://www.entrecote.de/</t>
  </si>
  <si>
    <t>+49 30 20165496</t>
  </si>
  <si>
    <t>Miyaki Sushi Lounge</t>
  </si>
  <si>
    <t>Raumerstra√üe 28/29, Berlin, 10437</t>
  </si>
  <si>
    <t>https://www.miyaki-sushi.de/berlin-prenzlauerberg/</t>
  </si>
  <si>
    <t>+49 30 47399460</t>
  </si>
  <si>
    <t>Trattoria Fellini</t>
  </si>
  <si>
    <t>http://www.trattoria-fellini.com/</t>
  </si>
  <si>
    <t>+49 30 78955727</t>
  </si>
  <si>
    <t>Feast</t>
  </si>
  <si>
    <t>Meierottostra√üe 1, Berlin, 10719</t>
  </si>
  <si>
    <t>https://www.feast-berlin.de</t>
  </si>
  <si>
    <t>+49 30 88 917 803</t>
  </si>
  <si>
    <t>Lima Lima</t>
  </si>
  <si>
    <t>Schl√ºterstra√üe 74, Berlin, 10625</t>
  </si>
  <si>
    <t>+49 30 31998384</t>
  </si>
  <si>
    <t>Vox im Grand Hyatt</t>
  </si>
  <si>
    <t>Le Petit Chef</t>
  </si>
  <si>
    <t>Antonello's Cevicheria &amp; Street Food</t>
  </si>
  <si>
    <t>Nostitzstra√üe 22, Berlin, 10961</t>
  </si>
  <si>
    <t>https://cevicheriastreetfood.de/</t>
  </si>
  <si>
    <t>antonellos@cevicheriastreetfood.de</t>
  </si>
  <si>
    <t>instagram: https://www.instagram.com/cevicheriastreetfoodberlin/, facebook: https://www.facebook.com/cevicheriastreetfood/</t>
  </si>
  <si>
    <t>Konoba BG</t>
  </si>
  <si>
    <t>Kaiserin-Augusta-Stra√üe 52, Berlin, 12103</t>
  </si>
  <si>
    <t>http://konoba-bg.de/</t>
  </si>
  <si>
    <t>+49 30 751 31 42</t>
  </si>
  <si>
    <t>Hachik≈ç</t>
  </si>
  <si>
    <t>Grunewaldstra√üe 10, Berlin, 10823</t>
  </si>
  <si>
    <t>https://finefingerfood.de/</t>
  </si>
  <si>
    <t>Deli-House</t>
  </si>
  <si>
    <t>N√ºrnberger Stra√üe 28, Berlin, 10789</t>
  </si>
  <si>
    <t>Miss Wu</t>
  </si>
  <si>
    <t>K√∂nigin-Luise-Stra√üe 71, Berlin, 14195</t>
  </si>
  <si>
    <t>http://www.misswu.de/</t>
  </si>
  <si>
    <t>Coreana</t>
  </si>
  <si>
    <t>Albrechtstra√üe 7, Berlin, 12165</t>
  </si>
  <si>
    <t>+49 30 51645010</t>
  </si>
  <si>
    <t>Don Peppino</t>
  </si>
  <si>
    <t>+49 30 79743585</t>
  </si>
  <si>
    <t>Villa Kulinaria</t>
  </si>
  <si>
    <t>Mierendorffplatz 15, Berlin, 10589</t>
  </si>
  <si>
    <t>https://www.villakulinaria.de/</t>
  </si>
  <si>
    <t>New Flame</t>
  </si>
  <si>
    <t>Casalot Catering</t>
  </si>
  <si>
    <t>Miu Sushi</t>
  </si>
  <si>
    <t>Unter den Eichen 97, Berlin, 12203</t>
  </si>
  <si>
    <t>https://miu-sushi.de</t>
  </si>
  <si>
    <t>+49 30 33930030</t>
  </si>
  <si>
    <t>Vipan</t>
  </si>
  <si>
    <t>Nikolsburger Platz 2, Berlin, 10717</t>
  </si>
  <si>
    <t>https://www.vipan.de/</t>
  </si>
  <si>
    <t>vipan@vipan.de</t>
  </si>
  <si>
    <t>+49 30 86008007</t>
  </si>
  <si>
    <t>instagram: http://www.instagram.com/vipan.de/, facebook: https://www.facebook.com/VIPAN-Indisches-Restaurant-Cafe-Bar-171065916377022</t>
  </si>
  <si>
    <t>Hy</t>
  </si>
  <si>
    <t>Donaustra√üe 94, Berlin, 12043</t>
  </si>
  <si>
    <t>+49 30 37340455</t>
  </si>
  <si>
    <t>Via Rastst√§tte</t>
  </si>
  <si>
    <t>Geneststra√üe 5, Berlin, 10829</t>
  </si>
  <si>
    <t>https://via-raststaette.de/</t>
  </si>
  <si>
    <t>Privacy@vimeo.com</t>
  </si>
  <si>
    <t>+49 30 7551214180</t>
  </si>
  <si>
    <t>facebook: http://www.facebook.com/via.unternehmensverbund, instagram: https://www.instagram.com/blumenfisch.design/</t>
  </si>
  <si>
    <t>C∆°m √Å</t>
  </si>
  <si>
    <t>https://com-a-berlin.de/</t>
  </si>
  <si>
    <t>post@com-a-berlin.de</t>
  </si>
  <si>
    <t>facebook: https://www.facebook.com/comakreuzberg/, instagram: https://www.instagram.com/com.a.berlin/</t>
  </si>
  <si>
    <t>Kantine am Friedrichshain</t>
  </si>
  <si>
    <t>Am Friedrichshain 22, Berlin, 10407</t>
  </si>
  <si>
    <t>http://www.kantine-am-friedrichshain.de/</t>
  </si>
  <si>
    <t>Werkstatt</t>
  </si>
  <si>
    <t>Berlin, 10829</t>
  </si>
  <si>
    <t>https://euref.de/entry/werkstatt/</t>
  </si>
  <si>
    <t>reservierungen@euref.de</t>
  </si>
  <si>
    <t>+49 30 264 767 44</t>
  </si>
  <si>
    <t>milja und sch√§fa</t>
  </si>
  <si>
    <t>Sonntagstra√üe 1, Berlin, 10245</t>
  </si>
  <si>
    <t>https://www.miljaundschaefa.com</t>
  </si>
  <si>
    <t>+49 30 52662094</t>
  </si>
  <si>
    <t>instagram: https://www.instagram.com/miljaundschaefa/, facebook: https://www.facebook.com/MiljaundSchaefa/</t>
  </si>
  <si>
    <t>Chupenga</t>
  </si>
  <si>
    <t>Anton-Wilhelm-Amo-Stra√üe 42, Berlin, 10117</t>
  </si>
  <si>
    <t>http://www.chupenga.de</t>
  </si>
  <si>
    <t>instagram: https://www.instagram.com/chupenga/</t>
  </si>
  <si>
    <t>Trattoria AMI</t>
  </si>
  <si>
    <t>Nachodstra√üe 6, Berlin, 10777</t>
  </si>
  <si>
    <t>https://www.trattoriaamici-berlin.de/</t>
  </si>
  <si>
    <t>Berlin Tantuni</t>
  </si>
  <si>
    <t>Hermannstra√üe 228, Berlin, 12049</t>
  </si>
  <si>
    <t>http://www.berlin-tantuni.de/</t>
  </si>
  <si>
    <t>info@berlin-tantuni.de</t>
  </si>
  <si>
    <t>instagram: https://www.instagram.com/berlintantuni/?igsh=ZmZ6Yzc1c3hsNHk3, tiktok: https://www.tiktok.com/@berlintantuni?_t=ZN-8sPGf3uUcw2&amp;_r=1</t>
  </si>
  <si>
    <t>Zur Gartensch√§nke</t>
  </si>
  <si>
    <t>Berlin, 10589</t>
  </si>
  <si>
    <t>Mp3 Bar</t>
  </si>
  <si>
    <t>Gr√ºnberger Stra√üe 28, Berlin, 10245</t>
  </si>
  <si>
    <t>+49 30 29352864</t>
  </si>
  <si>
    <t>Nguyen Kitchen</t>
  </si>
  <si>
    <t>Brunnenstra√üe 63, Berlin, 13355</t>
  </si>
  <si>
    <t>https://www.nguyenkitchen.info/</t>
  </si>
  <si>
    <t>nguyenkitchen17@gmail.com</t>
  </si>
  <si>
    <t>+49 30 4636069</t>
  </si>
  <si>
    <t>facebook: https://www.facebook.com/Nguyen-Kitchen-Berlin-640978836098507/</t>
  </si>
  <si>
    <t>Solti</t>
  </si>
  <si>
    <t>Roonstra√üe 16, Berlin, 13585</t>
  </si>
  <si>
    <t>http://soltirestaurant.de/</t>
  </si>
  <si>
    <t>Anthony Bacon - Burger-Restaurant</t>
  </si>
  <si>
    <t>Kladower Damm 366a, Berlin, 14089</t>
  </si>
  <si>
    <t>https://www.anthonybacon.de/</t>
  </si>
  <si>
    <t>+49 30 364 30 332</t>
  </si>
  <si>
    <t>instagram: https://www.instagram.com/anthonybaconfalkensee, facebook: https://www.facebook.com/anthonybaconfalkensee</t>
  </si>
  <si>
    <t>Kh√°nh Linh Qu√°n</t>
  </si>
  <si>
    <t>Neue Bahnhofstra√üe 8, 10245</t>
  </si>
  <si>
    <t>https://www.khanh-linh-quan-berlin.de</t>
  </si>
  <si>
    <t>+49 30 37446226</t>
  </si>
  <si>
    <t>facebook: https://www.facebook.com/KhanhLinhQuanBerlin, instagram: https://www.instagram.com/khanh_linh_quan_berlin</t>
  </si>
  <si>
    <t>Cr√™pestation</t>
  </si>
  <si>
    <t>Pappelallee 58, 10437</t>
  </si>
  <si>
    <t>https://www.crepestation.de</t>
  </si>
  <si>
    <t>+49 30 36447105</t>
  </si>
  <si>
    <t>facebook: https://www.facebook.com/crepestation.berlin</t>
  </si>
  <si>
    <t>LION Burger &amp; Steak</t>
  </si>
  <si>
    <t>Warschauer Stra√üe 82, Berlin, 10243</t>
  </si>
  <si>
    <t>https://www.lionburger.de</t>
  </si>
  <si>
    <t>lionburgerberlin@gmail.com</t>
  </si>
  <si>
    <t>+49 30 29047619</t>
  </si>
  <si>
    <t>instagram: https://www.instagram.com/lion.burger.steak/?hl=de, facebook: https://www.facebook.com/LionBurgerBerlin, tiktok: https://www.tiktok.com/@lion.burger.steak</t>
  </si>
  <si>
    <t>Chill &amp; Spice</t>
  </si>
  <si>
    <t>Rankestra√üe 9, Berlin, 10789</t>
  </si>
  <si>
    <t>Heimwerk</t>
  </si>
  <si>
    <t>Neue Promenade 6, Berlin, 10178</t>
  </si>
  <si>
    <t>https://www.heimwerk-restaurant.de/</t>
  </si>
  <si>
    <t>+49 30 318765000</t>
  </si>
  <si>
    <t>K√∂yl√ºoglu</t>
  </si>
  <si>
    <t>Croatia Grill</t>
  </si>
  <si>
    <t>Ritterlandweg 5, Berlin, 13409</t>
  </si>
  <si>
    <t>la fiamma</t>
  </si>
  <si>
    <t>Turmstra√üe 19, Berlin, 10559</t>
  </si>
  <si>
    <t>https://lafiamma-restaurant.de/moabit/</t>
  </si>
  <si>
    <t>+49 30 69813880</t>
  </si>
  <si>
    <t>Simit D√ºnyasi</t>
  </si>
  <si>
    <t>Osnabr√ºcker Stra√üe 31, Berlin, 10589</t>
  </si>
  <si>
    <t>Bistro Vital</t>
  </si>
  <si>
    <t>Jerusalemer Stra√üe 26</t>
  </si>
  <si>
    <t>Il Pane e le Rose</t>
  </si>
  <si>
    <t>Am Friedrichshain 6, Berlin, 10407</t>
  </si>
  <si>
    <t>https://ilpaneelerose.foodpearl.com/</t>
  </si>
  <si>
    <t>+49 30 4231916</t>
  </si>
  <si>
    <t>Cobui</t>
  </si>
  <si>
    <t>Friedrich-Wilhelm-Platz 4, Berlin, 12161</t>
  </si>
  <si>
    <t>https://cobuiskitchen.de/</t>
  </si>
  <si>
    <t>+49 30 85071478</t>
  </si>
  <si>
    <t>facebook: https://www.facebook.com/cobuis.kitchen, instagram: https://www.instagram.com/cobuis.kitchen/</t>
  </si>
  <si>
    <t>Wintergarten</t>
  </si>
  <si>
    <t>Tauentzienstra√üe 21-24, Berlin, 10789</t>
  </si>
  <si>
    <t>https://restaurant-wintergarten.com/</t>
  </si>
  <si>
    <t>+49 30 16818408</t>
  </si>
  <si>
    <t>instagram: https://www.instagram.com/wintergarten_im_kadewe/, facebook: https://www.facebook.com/restaurant.wintergarten.kadewe</t>
  </si>
  <si>
    <t>Da Dino</t>
  </si>
  <si>
    <t>The Garden</t>
  </si>
  <si>
    <t>Brunnenstra√üe 79, 13355</t>
  </si>
  <si>
    <t>Marechiaro</t>
  </si>
  <si>
    <t>Audre-Lorde-Stra√üe 23, Berlin, 10997</t>
  </si>
  <si>
    <t>+49 30 69568559</t>
  </si>
  <si>
    <t>Huong Qu√™</t>
  </si>
  <si>
    <t>Weinbergsweg 27</t>
  </si>
  <si>
    <t>Pizza del Quartiere</t>
  </si>
  <si>
    <t>Brunnenstra√üe 10, Berlin, 10119</t>
  </si>
  <si>
    <t>Restaurant Grenzfall</t>
  </si>
  <si>
    <t>https://hotel-grenzfall.de/gastronomie/restaurant-terrasse-berlin-mitte/</t>
  </si>
  <si>
    <t>erlebnis@hotel-grenzfall.de</t>
  </si>
  <si>
    <t>facebook: https://www.facebook.com/sharer.php?u=https%3A%2F%2Fhotel-grenzfall.de%2Fgastronomie%2Frestaurant-terrasse-berlin-mitte%2F, twitter: https://twitter.com/intent/tweet?text=Restaurant%20Grenzfall&amp;url=http://bit.ly/2FW5s1v&amp;via=HotelGrenzfall</t>
  </si>
  <si>
    <t>Restaurant &amp; Caf√© Haberland</t>
  </si>
  <si>
    <t>Bayerischer Platz 0, Berlin, 10779</t>
  </si>
  <si>
    <t>https://www.restaurant-haberland.de/</t>
  </si>
  <si>
    <t>+49 30 85993308</t>
  </si>
  <si>
    <t>Corsini</t>
  </si>
  <si>
    <t>https://www.corsini-deli.com/</t>
  </si>
  <si>
    <t>facebook: https://www.facebook.com/corsinideli, instagram: https://www.instagram.com/corsini_deli/</t>
  </si>
  <si>
    <t>Chekiang</t>
  </si>
  <si>
    <t>Kaiserin-Augusta-Allee 41, Berlin, 10589</t>
  </si>
  <si>
    <t>https://www.chekiang.de/</t>
  </si>
  <si>
    <t>HaLongBay</t>
  </si>
  <si>
    <t>Kaiserin-Augusta-Allee, Berlin, 10589</t>
  </si>
  <si>
    <t>LUA</t>
  </si>
  <si>
    <t>Schwedter Stra√üe 269, Berlin, 10119</t>
  </si>
  <si>
    <t>http://lua-berlin.de</t>
  </si>
  <si>
    <t>lua.restaurant.schwedterstr.269@gmail.com</t>
  </si>
  <si>
    <t>+49 30 55658551</t>
  </si>
  <si>
    <t>facebook: https://www.facebook.com/ninetysixdigital96</t>
  </si>
  <si>
    <t>Uwe Gl√§ser</t>
  </si>
  <si>
    <t>Panuozzo Napoletano</t>
  </si>
  <si>
    <t>PSP Racing Club</t>
  </si>
  <si>
    <t>https://pferdesportpark-berlin-karlshorst.de/gastronomie/</t>
  </si>
  <si>
    <t>gastro@psp-sportpark.de</t>
  </si>
  <si>
    <t>+49 30 50017125</t>
  </si>
  <si>
    <t>instagram: https://www.instagram.com/pferdesportpark/</t>
  </si>
  <si>
    <t>Lenders</t>
  </si>
  <si>
    <t>+49 30 91693540</t>
  </si>
  <si>
    <t>Lorenz Adlon Esszimer</t>
  </si>
  <si>
    <t>Unter den Linden 77, Berlin, 10117</t>
  </si>
  <si>
    <t>https://www.lorenzadlon-esszimmer.de/</t>
  </si>
  <si>
    <t>lorenz.adlon@kempinski.comKulinarische</t>
  </si>
  <si>
    <t>+49 30 22611960</t>
  </si>
  <si>
    <t>facebook: https://www.facebook.com/lorenzadlon.esszimmer/, instagram: https://www.instagram.com/lorenzadlonesszimmer/</t>
  </si>
  <si>
    <t>Restaurant Quarr√©</t>
  </si>
  <si>
    <t>http://restaurant-quarre.de</t>
  </si>
  <si>
    <t>marinella_berlin@yahoo.de</t>
  </si>
  <si>
    <t>facebook: https://www.facebook.com/policy.php/, instagram: https://instagram.com/hoteladlonkempinski</t>
  </si>
  <si>
    <t>Masaniello</t>
  </si>
  <si>
    <t>Hasenheide 20, Berlin, 10967</t>
  </si>
  <si>
    <t>https://befo.de/masaniello/</t>
  </si>
  <si>
    <t>+49 30 6926657</t>
  </si>
  <si>
    <t>Restauration Kachelsetzer</t>
  </si>
  <si>
    <t>Chemnitzer Stra√üe 198 - 200</t>
  </si>
  <si>
    <t>https://restauration-kachelsetzer.de/</t>
  </si>
  <si>
    <t>info@restauration-kachelsetzer.de</t>
  </si>
  <si>
    <t>+49 30 56553443</t>
  </si>
  <si>
    <t>facebook: https://www.facebook.com/Restauration-Kachelsetzer-147297038791888/, instagram: https://www.instagram.com/restauration_kachelsetzer/</t>
  </si>
  <si>
    <t>Pathos</t>
  </si>
  <si>
    <t>Hultschiner Damm 82, Berlin, 12623</t>
  </si>
  <si>
    <t>https://pathos-berlin.de</t>
  </si>
  <si>
    <t>info@pathos-berlin.de</t>
  </si>
  <si>
    <t>+49 30 56587476</t>
  </si>
  <si>
    <t>facebook: https://www.facebook.com/Pathosberlin/</t>
  </si>
  <si>
    <t>martas Kiezkantine</t>
  </si>
  <si>
    <t>Seydlitzstra√üe 20, 10557</t>
  </si>
  <si>
    <t>https://hbf-berlin.martas.org/kiezkantine/</t>
  </si>
  <si>
    <t>hbf-berlin@martas.org</t>
  </si>
  <si>
    <t>+49 30 69033-33</t>
  </si>
  <si>
    <t>facebook: https://www.facebook.com/martas.weils.gut.tut, instagram: https://www.instagram.com/martas.weils.gut.tut</t>
  </si>
  <si>
    <t>Julian &amp; Elisa</t>
  </si>
  <si>
    <t>Markgrafenstra√üe 41, Berlin, 10117</t>
  </si>
  <si>
    <t>https://julianelisa.com</t>
  </si>
  <si>
    <t>info@julianelisa.com</t>
  </si>
  <si>
    <t>+49 30 30648746</t>
  </si>
  <si>
    <t>Faro</t>
  </si>
  <si>
    <t>Schlesische Stra√üe 14, Berlin, 10997</t>
  </si>
  <si>
    <t>http://faroberlin.com/</t>
  </si>
  <si>
    <t>info@faroberlin.com</t>
  </si>
  <si>
    <t>+49 30 36992340</t>
  </si>
  <si>
    <t>Rigoletto</t>
  </si>
  <si>
    <t>Neuk√∂llner Stra√üe 235, Berlin, 12357</t>
  </si>
  <si>
    <t>https://risto-rigoletto.de/</t>
  </si>
  <si>
    <t>+49 30 6611024</t>
  </si>
  <si>
    <t>Karabach Holzkohlegrill House</t>
  </si>
  <si>
    <t>Hermannstra√üe 198, Berlin, 12049</t>
  </si>
  <si>
    <t>D√ºr√ºmc√º Baba</t>
  </si>
  <si>
    <t>Hermannstra√üe 58, Berlin, 12049</t>
  </si>
  <si>
    <t>Bistro Cena</t>
  </si>
  <si>
    <t>https://bistro-cena.de</t>
  </si>
  <si>
    <t>Bistro K√§fer</t>
  </si>
  <si>
    <t>https://bistro-kaefer.de</t>
  </si>
  <si>
    <t>Flavour Allee</t>
  </si>
  <si>
    <t>Ashiyana</t>
  </si>
  <si>
    <t>M√ºllerstra√üe 162A</t>
  </si>
  <si>
    <t>Bonfini</t>
  </si>
  <si>
    <t>Chausseestra√üe 15, Berlin, 10115</t>
  </si>
  <si>
    <t>https://www.bonfini.de/</t>
  </si>
  <si>
    <t>reservierung@bonfini.de</t>
  </si>
  <si>
    <t>instagram: https://www.instagram.com/ristorantebonfini/</t>
  </si>
  <si>
    <t>Mr. Vertigo</t>
  </si>
  <si>
    <t>http://www.mistervertigo.de/</t>
  </si>
  <si>
    <t>kontakt@mistervertigo.de</t>
  </si>
  <si>
    <t>+49 163 6010110</t>
  </si>
  <si>
    <t>facebook: https://www.facebook.com/mrvertigoberlin</t>
  </si>
  <si>
    <t>Moccachino</t>
  </si>
  <si>
    <t>M√ºllerstra√üe 44/45, Berlin, 13349</t>
  </si>
  <si>
    <t>Bistro Ribelle</t>
  </si>
  <si>
    <t>Reinhardtstra√üe 9, Berlin, 10117</t>
  </si>
  <si>
    <t>https://www.bistro-ribelle.de/</t>
  </si>
  <si>
    <t>627kontakt@bistro-ribelle.de</t>
  </si>
  <si>
    <t>+49 3084710627</t>
  </si>
  <si>
    <t>facebook: https://www.facebook.com/Bistro-Ribelle-899713810142844/, instagram: https://www.instagram.com/bistro_ribelle/?hl=de</t>
  </si>
  <si>
    <t>Pizzeria Alberto</t>
  </si>
  <si>
    <t>Behringstra√üe 9, Berlin, 12437</t>
  </si>
  <si>
    <t>Sabor Latino</t>
  </si>
  <si>
    <t>Badensche Stra√üe 35, Berlin, 10715</t>
  </si>
  <si>
    <t>https://www.saborlatino.berlin/</t>
  </si>
  <si>
    <t>+49 30 84315600</t>
  </si>
  <si>
    <t>facebook: https://www.facebook.com/SaborLatinoBerlin/?ref=bookmarks, instagram: http://instagram.com/saborlatinoberlin</t>
  </si>
  <si>
    <t>ALATA Ramen</t>
  </si>
  <si>
    <t>Chausseestra√üe 110, Berlin, 10115</t>
  </si>
  <si>
    <t>Via Vai</t>
  </si>
  <si>
    <t>+49 30 3047741</t>
  </si>
  <si>
    <t>Don Giacomo</t>
  </si>
  <si>
    <t>Lil-Dagover-Gasse 1, 12627</t>
  </si>
  <si>
    <t>+49 30 54785478</t>
  </si>
  <si>
    <t>KreuzBurger</t>
  </si>
  <si>
    <t>Rosenthaler Stra√üe 71</t>
  </si>
  <si>
    <t>https://kreuzburger.de/</t>
  </si>
  <si>
    <t>+49 30 55499038</t>
  </si>
  <si>
    <t>facebook: https://www.facebook.com/kreuzburger/, instagram: https://www.instagram.com/Kreuzburger_de/</t>
  </si>
  <si>
    <t>Dirty Rose</t>
  </si>
  <si>
    <t>Sushi 93</t>
  </si>
  <si>
    <t>Sonnenallee 98</t>
  </si>
  <si>
    <t>Feed the pony</t>
  </si>
  <si>
    <t>Schillerpromenade 37</t>
  </si>
  <si>
    <t>https://feedthepony.de/</t>
  </si>
  <si>
    <t>kitchen@feedthepony.de</t>
  </si>
  <si>
    <t>instagram: http://instagram.com/feed_thepony</t>
  </si>
  <si>
    <t>La Stella Nera</t>
  </si>
  <si>
    <t>Leykestra√üe 18, Berlin, 12053</t>
  </si>
  <si>
    <t>https://linktr.ee/lastellaneraberlin</t>
  </si>
  <si>
    <t>+49 30 23949708</t>
  </si>
  <si>
    <t>Pizzeria da Izzi</t>
  </si>
  <si>
    <t>Sonnenallee 142</t>
  </si>
  <si>
    <t>http://www.pizzeria-da-izzi.de/</t>
  </si>
  <si>
    <t>Eat ÂêÉ</t>
  </si>
  <si>
    <t>Jamie Oliver Kitchen Berlin</t>
  </si>
  <si>
    <t>Friedrichstra√üe 136</t>
  </si>
  <si>
    <t>https://www.jamieoliverkitchen.de/en/jamie-oliver-kitchen-berlin/</t>
  </si>
  <si>
    <t>info@jamieoliverkitchen.de</t>
  </si>
  <si>
    <t>facebook: https://www.facebook.com/jamieoliverkitchengermany/, instagram: https://www.instagram.com/jamieoliverkitchengermany/</t>
  </si>
  <si>
    <t>Wei√üe Bude</t>
  </si>
  <si>
    <t>Alt-Moabit 52, Berlin, 10555</t>
  </si>
  <si>
    <t>Si Remy</t>
  </si>
  <si>
    <t>Samariterstra√üe 35, 10247</t>
  </si>
  <si>
    <t>Caspian</t>
  </si>
  <si>
    <t>Bistro Medina</t>
  </si>
  <si>
    <t>Charlottenstra√üe 19, Berlin, 10117</t>
  </si>
  <si>
    <t>Aphrodite</t>
  </si>
  <si>
    <t>Konrad-Wolf-Stra√üe 27, Berlin, 13055</t>
  </si>
  <si>
    <t>Come V√† V√†</t>
  </si>
  <si>
    <t>Danziger Stra√üe 144, Berlin, 10407</t>
  </si>
  <si>
    <t>https://www.comevava-berlin.de/</t>
  </si>
  <si>
    <t>+49 30 45305005</t>
  </si>
  <si>
    <t>Common</t>
  </si>
  <si>
    <t>Karl-Marx-Stra√üe 176, Berlin, 12043</t>
  </si>
  <si>
    <t>Eins44</t>
  </si>
  <si>
    <t>https://www.eins44.com/</t>
  </si>
  <si>
    <t>info@eins44.com</t>
  </si>
  <si>
    <t>+49 30 62981212</t>
  </si>
  <si>
    <t>TorEins</t>
  </si>
  <si>
    <t>M√∂ckernstra√üe 26, Berlin, 10963</t>
  </si>
  <si>
    <t>https://toreins.de/</t>
  </si>
  <si>
    <t>+49 172 3054400</t>
  </si>
  <si>
    <t>Mitarbeiterrestaurant</t>
  </si>
  <si>
    <t>Sch√∂nwalder Allee, Berlin, 13587</t>
  </si>
  <si>
    <t>Olio Sale Pepe</t>
  </si>
  <si>
    <t>Willmanndamm 15, Berlin, 10827</t>
  </si>
  <si>
    <t>https://www.olio-sale-pepe.de</t>
  </si>
  <si>
    <t>No Bananas</t>
  </si>
  <si>
    <t>Lychener Stra√üe 46, Berlin, 10437</t>
  </si>
  <si>
    <t>https://nobananasberlin.de</t>
  </si>
  <si>
    <t>+49 163 3483088</t>
  </si>
  <si>
    <t>Ky≈ç Grill</t>
  </si>
  <si>
    <t>Krossener Stra√üe 14, Berlin, 10245</t>
  </si>
  <si>
    <t>Crispy Food</t>
  </si>
  <si>
    <t>Don Pasquale</t>
  </si>
  <si>
    <t>Triftstra√üe 38, Berlin, 13353</t>
  </si>
  <si>
    <t>Et D√ºnyasi</t>
  </si>
  <si>
    <t>Gerichtstra√üe 46, Berlin, 13347</t>
  </si>
  <si>
    <t>https://ehli-kebap.de/</t>
  </si>
  <si>
    <t>info@ehli-kebap.de</t>
  </si>
  <si>
    <t>+49 30 98455364</t>
  </si>
  <si>
    <t>facebook: https://www.facebook.com/ehlikebapberlin/, instagram: https://www.instagram.com/ehlikebapberlin/</t>
  </si>
  <si>
    <t>Tom‚Äôn‚ÄôJerry</t>
  </si>
  <si>
    <t>Proskauer Stra√üe 13, 10247</t>
  </si>
  <si>
    <t>https://tom-n-jerry-berlin.de/</t>
  </si>
  <si>
    <t>+49 30 91494141</t>
  </si>
  <si>
    <t>Luzii</t>
  </si>
  <si>
    <t>Rosa-Luxemburg-Stra√üe 9-11, Berlin, 10178</t>
  </si>
  <si>
    <t>Salone Market</t>
  </si>
  <si>
    <t>Genter Stra√üe 66, Berlin, 13353</t>
  </si>
  <si>
    <t>https://salonemarket.de</t>
  </si>
  <si>
    <t>mail@salonemarket.de</t>
  </si>
  <si>
    <t>+49 30 68810000</t>
  </si>
  <si>
    <t>Le Petit Royal</t>
  </si>
  <si>
    <t>Grolmanstra√üe 59, Berlin, 10623</t>
  </si>
  <si>
    <t>Hikari</t>
  </si>
  <si>
    <t>Machnower Stra√üe 15, 14165</t>
  </si>
  <si>
    <t>http://www.hikari-sushi.de</t>
  </si>
  <si>
    <t>info@hikari-sushi.de</t>
  </si>
  <si>
    <t>+49 3055149438</t>
  </si>
  <si>
    <t>Jam FINE ASIA DINING</t>
  </si>
  <si>
    <t>Medebacher Weg 24, Berlin, 13507</t>
  </si>
  <si>
    <t>Lezzis Nussr√∂sterei</t>
  </si>
  <si>
    <t>Residenzstra√üe 43, Berlin, 13409</t>
  </si>
  <si>
    <t>Trattoria Su e Gi√π</t>
  </si>
  <si>
    <t>https://www.su-e-giu.de/</t>
  </si>
  <si>
    <t>+49 30 12076177</t>
  </si>
  <si>
    <t>Volkskammer</t>
  </si>
  <si>
    <t>Stra√üe der Pariser Kommune 18 b, Berlin, 10243</t>
  </si>
  <si>
    <t>https://www.volkskammer.de/</t>
  </si>
  <si>
    <t>aurickguenther@web.de</t>
  </si>
  <si>
    <t>+49 30 20687549</t>
  </si>
  <si>
    <t>Stefano</t>
  </si>
  <si>
    <t>Lichtenrader Damm 46, Berlin, 12305</t>
  </si>
  <si>
    <t>https://stefano.eatbu.com/</t>
  </si>
  <si>
    <t>nino68@live.de</t>
  </si>
  <si>
    <t>+49 30 7426914</t>
  </si>
  <si>
    <t>facebook: https://www.facebook.com/pages/Eiscaf%C3%A9-Stefano/158495874179682</t>
  </si>
  <si>
    <t>Jainikos</t>
  </si>
  <si>
    <t>Friedrichshagener Hofk√ºche</t>
  </si>
  <si>
    <t>Scharnweberstra√üe 2</t>
  </si>
  <si>
    <t>Currywala</t>
  </si>
  <si>
    <t>Wildenbruchstra√üe 88, 12045</t>
  </si>
  <si>
    <t>https://www.currywala-indian-restaurant.de/</t>
  </si>
  <si>
    <t>+49 176 84214903</t>
  </si>
  <si>
    <t>Gilgamesch</t>
  </si>
  <si>
    <t>Greifswalder Stra√üe 194, Berlin, 10405</t>
  </si>
  <si>
    <t>http://restaurant-gilgamesch.de/</t>
  </si>
  <si>
    <t>info@restaurant-gilgamesch.de</t>
  </si>
  <si>
    <t>+49 30 44324702</t>
  </si>
  <si>
    <t>KING WOK</t>
  </si>
  <si>
    <t>M√§rkische Allee 176-178, Berlin, 12681</t>
  </si>
  <si>
    <t>Zorro Sushi</t>
  </si>
  <si>
    <t>M√§rkische Aue</t>
  </si>
  <si>
    <t>+49 30 55007170</t>
  </si>
  <si>
    <t>Ban Noodel</t>
  </si>
  <si>
    <t>Restaurant Portofino</t>
  </si>
  <si>
    <t>https://www.restaurant-portofino.de/</t>
  </si>
  <si>
    <t>Marea</t>
  </si>
  <si>
    <t>Leipziger Platz 10, Berlin, 10117</t>
  </si>
  <si>
    <t>https://marea-berlin.de/</t>
  </si>
  <si>
    <t>info@marea-berlin.de</t>
  </si>
  <si>
    <t>facebook: https://www.facebook.com/potzdamerplatzrakhra/, instagram: https://www.instagram.com/marearistoranteberlin/</t>
  </si>
  <si>
    <t>Jungbluth</t>
  </si>
  <si>
    <t>Lepsiusstra√üe 63, Berlin, 12163</t>
  </si>
  <si>
    <t>https://www.jungbluth-restaurant.de/</t>
  </si>
  <si>
    <t>info@jungbluth-restaurant.de</t>
  </si>
  <si>
    <t>+49 30 79789605</t>
  </si>
  <si>
    <t>facebook: https://www.facebook.com/JungbluthRestaurant/?locale=de_DE, instagram: https://www.instagram.com/jungbluth_restaurant/</t>
  </si>
  <si>
    <t>Kashana ‚Äì Indische Spezialit√§ten</t>
  </si>
  <si>
    <t>Wilhelmstra√üe 35, Berlin, 13593</t>
  </si>
  <si>
    <t>https://kashana-restaurant.de</t>
  </si>
  <si>
    <t>info@kashana-restaurant.de</t>
  </si>
  <si>
    <t>+49 30 20096967</t>
  </si>
  <si>
    <t>Alcatraz</t>
  </si>
  <si>
    <t>Bundesplatz 6, Berlin, 10715</t>
  </si>
  <si>
    <t>http://www.alcatraz-berlin.de</t>
  </si>
  <si>
    <t>info@alcatraz-berlin.de</t>
  </si>
  <si>
    <t>+49 30 8534654</t>
  </si>
  <si>
    <t>CantaMaggio</t>
  </si>
  <si>
    <t>Laubacher Stra√üe 28, Berlin, 14197</t>
  </si>
  <si>
    <t>Coda</t>
  </si>
  <si>
    <t>Friedelstra√üe 47, Berlin, 12047</t>
  </si>
  <si>
    <t>http://www.coda-berlin.com</t>
  </si>
  <si>
    <t>+49 30 91496396</t>
  </si>
  <si>
    <t>instagram: https://instagram.com/codaberlin/, facebook: https://facebook.com/codaberlin</t>
  </si>
  <si>
    <t>WaWa</t>
  </si>
  <si>
    <t>https://www.wawaberlin.com/</t>
  </si>
  <si>
    <t>wawaberlin@gmail.com</t>
  </si>
  <si>
    <t>+49 30 65774230</t>
  </si>
  <si>
    <t>instagram: https://instagram.com/wawa_berlin, facebook: http://www.facebook.com/wawaberlin</t>
  </si>
  <si>
    <t>Ong Cat</t>
  </si>
  <si>
    <t>Martin-Luther-Stra√üe 97, Berlin, 10825</t>
  </si>
  <si>
    <t>https://ongcat.com/</t>
  </si>
  <si>
    <t>Dai An</t>
  </si>
  <si>
    <t>+49 30 25292278</t>
  </si>
  <si>
    <t>Cha For Tee</t>
  </si>
  <si>
    <t>Friesenstra√üe 18, Berlin, 10965</t>
  </si>
  <si>
    <t>LA Kalbi Haus</t>
  </si>
  <si>
    <t>Tauroggener Stra√üe 7, Berlin, 10589</t>
  </si>
  <si>
    <t>+49 30 33006562</t>
  </si>
  <si>
    <t>Gasthaus M√ºggelheim</t>
  </si>
  <si>
    <t>Alt-M√ºggelheim 15</t>
  </si>
  <si>
    <t>http://www.gasthaus-mueggelheim.de/</t>
  </si>
  <si>
    <t>sylwia.ivanov@icloud.com</t>
  </si>
  <si>
    <t>Osmans T√∂chter</t>
  </si>
  <si>
    <t>https://osmanstoechter.de</t>
  </si>
  <si>
    <t>presse@osmanstoechter.de</t>
  </si>
  <si>
    <t>+49 172 2744662</t>
  </si>
  <si>
    <t>instagram: https://www.instagram.com/osmanstoechter/?hl=de</t>
  </si>
  <si>
    <t>Lebensmittel in Mitte</t>
  </si>
  <si>
    <t>Rochstra√üe 2, Berlin, 10178</t>
  </si>
  <si>
    <t>+49 30 27596130</t>
  </si>
  <si>
    <t>Alimentari e Vini</t>
  </si>
  <si>
    <t>http://www.alimentari.de</t>
  </si>
  <si>
    <t>+49 30 398 35088</t>
  </si>
  <si>
    <t>44 CH'KN Korean Fried Chicken</t>
  </si>
  <si>
    <t>Sch√∂nhauser Allee 74, 10437</t>
  </si>
  <si>
    <t>Roseneck</t>
  </si>
  <si>
    <t>http://roseneckrestaurant.npage.de/</t>
  </si>
  <si>
    <t>Vivo</t>
  </si>
  <si>
    <t>Sonnenallee 67, Berlin, 12045</t>
  </si>
  <si>
    <t>+49 30 37474324</t>
  </si>
  <si>
    <t>Burger H√ºtte</t>
  </si>
  <si>
    <t>Mariendorfer Damm 61, Berlin, 12109</t>
  </si>
  <si>
    <t>https://burger-huette-bln.de/</t>
  </si>
  <si>
    <t>+49 30 92277111</t>
  </si>
  <si>
    <t>Hamy Sophie</t>
  </si>
  <si>
    <t>Wilmersdorfer Stra√üe 41, Berlin, 10627</t>
  </si>
  <si>
    <t>H√ºner</t>
  </si>
  <si>
    <t>Wilmersdorfer Stra√üe 43, Berlin, 10627</t>
  </si>
  <si>
    <t>Bollenpiepe Restaurant</t>
  </si>
  <si>
    <t>Kr√§uterplatz 3, Berlin, 13158</t>
  </si>
  <si>
    <t>https://bollenpiepe.de</t>
  </si>
  <si>
    <t>+49 30 88928183</t>
  </si>
  <si>
    <t>Feinberg's</t>
  </si>
  <si>
    <t>Fuggerstra√üe 35, Berlin, 10777</t>
  </si>
  <si>
    <t>https://www.feinbergs.de/</t>
  </si>
  <si>
    <t>info@feinbergs.de</t>
  </si>
  <si>
    <t>+49 30 91553462</t>
  </si>
  <si>
    <t>instagram: https://www.instagram.com/restaurantfeinbergs, facebook: https://www.facebook.com/feinbergs, linkedin: https://www.linkedin.com/in/leo-carnein-52a590161/, tiktok: https://www.tiktok.com/@restaurantfeinbergs</t>
  </si>
  <si>
    <t>Il Colosseo</t>
  </si>
  <si>
    <t>Gr√ºnauer Stra√üe 17, Berlin, 12557</t>
  </si>
  <si>
    <t>https://www.ilcolosseo-koep.de/</t>
  </si>
  <si>
    <t>info@ilcolosseo-koep.deWebseite</t>
  </si>
  <si>
    <t>+49 30 65805940</t>
  </si>
  <si>
    <t>facebook: https://www.facebook.com/ILColosseoberlin/, instagram: https://www.instagram.com/il_colosseo_de</t>
  </si>
  <si>
    <t>Schaukelpferd</t>
  </si>
  <si>
    <t>Sch√∂nholzer Weg 13, Berlin, 13158</t>
  </si>
  <si>
    <t>http://www.restaurant-schaukelpferd.de/</t>
  </si>
  <si>
    <t>Xin Ch√†o</t>
  </si>
  <si>
    <t>scent</t>
  </si>
  <si>
    <t>https://www.cosmo-hotel.de/en/restaurant</t>
  </si>
  <si>
    <t>facebook: https://www.facebook.com/cosmohotelberlin/, instagram: https://www.instagram.com/cosmo_hotel_berlin/</t>
  </si>
  <si>
    <t>Chuwoo</t>
  </si>
  <si>
    <t>Adiyaman √áiƒük√∂ftecisi</t>
  </si>
  <si>
    <t>https://berlin-cigkoefte.de</t>
  </si>
  <si>
    <t>Touline 92 Orient Fresh Food</t>
  </si>
  <si>
    <t>Kienitzer Stra√üe 92, Berlin, 12049</t>
  </si>
  <si>
    <t>Sigiriya</t>
  </si>
  <si>
    <t>Gr√ºnberger Stra√üe 66, Berlin, 10245</t>
  </si>
  <si>
    <t>http://www.restaurant-sigiriya.de/</t>
  </si>
  <si>
    <t>sigiriya.berlin@gmail.com</t>
  </si>
  <si>
    <t>+49 30 29044208</t>
  </si>
  <si>
    <t>facebook: https://www.facebook.com/sigiriya.berlin/, instagram: https://www.instagram.com/restaurantsigiriya/</t>
  </si>
  <si>
    <t>Fes Turkish BBQ</t>
  </si>
  <si>
    <t>Hasenheide 58, Berlin</t>
  </si>
  <si>
    <t>Doyum Restaurant</t>
  </si>
  <si>
    <t>Admiralstra√üe 36, Berlin</t>
  </si>
  <si>
    <t>http://www.doyum-restaurant.de/#home-slider</t>
  </si>
  <si>
    <t>info@doyum-restaurant.de</t>
  </si>
  <si>
    <t>Barcelona</t>
  </si>
  <si>
    <t>Friedrichstra√üe 211, Berlin, 10969</t>
  </si>
  <si>
    <t>http://www.barcelona.berlin</t>
  </si>
  <si>
    <t>+49 30 7022 8336</t>
  </si>
  <si>
    <t>facebook: https://www.facebook.com/BarceLonaBerlin/</t>
  </si>
  <si>
    <t>Mira Fr√ºhst√ºcksparadies</t>
  </si>
  <si>
    <t>Hermannstra√üe 156, Berlin, 12051</t>
  </si>
  <si>
    <t>https://www.hmmmira.de/</t>
  </si>
  <si>
    <t>+49 30 55591780</t>
  </si>
  <si>
    <t>A Casa</t>
  </si>
  <si>
    <t>https://pizzeriaacasa.de/</t>
  </si>
  <si>
    <t>info@pizzeriaacasa.de</t>
  </si>
  <si>
    <t>instagram: https://www.instagram.com/pizzeria.acasa/, tiktok: https://www.tiktok.com/@pizzeria.acasa</t>
  </si>
  <si>
    <t>Taftan</t>
  </si>
  <si>
    <t>Beusselstra√üe 77, Berlin, 10553</t>
  </si>
  <si>
    <t>Lei's K√ºche</t>
  </si>
  <si>
    <t>Seestra√üe 41, Berlin, 13353</t>
  </si>
  <si>
    <t>T√¥nis</t>
  </si>
  <si>
    <t>Huttenstra√üe 68, Berlin, 10553</t>
  </si>
  <si>
    <t>+49 30 34357754</t>
  </si>
  <si>
    <t>De Noantri</t>
  </si>
  <si>
    <t>Kiefholzstra√üe 1, Berlin, 12435</t>
  </si>
  <si>
    <t>https://denoantri.com/</t>
  </si>
  <si>
    <t>+49 30 28436778</t>
  </si>
  <si>
    <t>Eicheneck</t>
  </si>
  <si>
    <t>Mahlsdorfer Stra√üe 68, Berlin, 12555</t>
  </si>
  <si>
    <t>https://www.eicheneck-berlin.de</t>
  </si>
  <si>
    <t>UhrKontaktEicheneck@gmx.de</t>
  </si>
  <si>
    <t>+49 30 6571169</t>
  </si>
  <si>
    <t>instagram: https://www.instagram.com/eicheneck_koepenick/</t>
  </si>
  <si>
    <t>Bruderherz</t>
  </si>
  <si>
    <t>Leonhardtstra√üe 6, Berlin, 14057</t>
  </si>
  <si>
    <t>https://www.bruderherz-restaurant.de/</t>
  </si>
  <si>
    <t>+49 30 33 85 20 77</t>
  </si>
  <si>
    <t>Bentokado</t>
  </si>
  <si>
    <t>Eberswalder Stra√üe 5, Berlin, 10437</t>
  </si>
  <si>
    <t>https://www.bentokado.com/</t>
  </si>
  <si>
    <t>bentokado.restaurant@gmail.comImpressum</t>
  </si>
  <si>
    <t>instagram: https://www.instagram.com/bento.kado/, tiktok: https://www.tiktok.com/@bentokado, facebook: https://www.facebook.com/wix, twitter: https://www.twitter.com/wix</t>
  </si>
  <si>
    <t>Mare &amp; Monti Ristorante/Cafe</t>
  </si>
  <si>
    <t>Tuans H√ºtte</t>
  </si>
  <si>
    <t>https://www.maothai.de/#tuans_huette</t>
  </si>
  <si>
    <t>+49 30 283 69 40</t>
  </si>
  <si>
    <t>Osteria Angelini</t>
  </si>
  <si>
    <t>Schlo√üstra√üe 54, Berlin, 12165</t>
  </si>
  <si>
    <t>https://osteria-angelini.de/</t>
  </si>
  <si>
    <t>info@osteria-angelini.de/</t>
  </si>
  <si>
    <t>+49 30 6840 3047</t>
  </si>
  <si>
    <t>facebook: https://www.facebook.com/Osteria.angelini, instagram: https://www.instagram.com/osteriaangelini/</t>
  </si>
  <si>
    <t>Hummus &amp; Friends</t>
  </si>
  <si>
    <t>Oranienburger Stra√üe 27, Berlin, 10117</t>
  </si>
  <si>
    <t>http://hummus-and-friends.com/</t>
  </si>
  <si>
    <t>+49 30 55471454</t>
  </si>
  <si>
    <t>facebook: https://www.facebook.com/pages/Hummus-Friends/503278769836984</t>
  </si>
  <si>
    <t>Al Sham Snacks</t>
  </si>
  <si>
    <t>+49 176 32357430</t>
  </si>
  <si>
    <t>Spindler</t>
  </si>
  <si>
    <t>Paul-Lincke-Ufer 43, Berlin, 10999</t>
  </si>
  <si>
    <t>https://www.spindler-berlin.net/</t>
  </si>
  <si>
    <t>eat@spindler-berlin.com</t>
  </si>
  <si>
    <t>+4930 69598880</t>
  </si>
  <si>
    <t>facebook: https://www.facebook.com/spindler.berlin, instagram: https://www.instagram.com/explore/locations/369990856/</t>
  </si>
  <si>
    <t>Saigon Cuisine</t>
  </si>
  <si>
    <t>https://saigon-cuisine.eatbu.com/</t>
  </si>
  <si>
    <t>info@saigon-cuisine.de</t>
  </si>
  <si>
    <t>+49 30 31806581</t>
  </si>
  <si>
    <t>Schwiliko Restaurant</t>
  </si>
  <si>
    <t>Schlesische Stra√üe 29, 10997</t>
  </si>
  <si>
    <t>http://www.schwiliko-berlin.de</t>
  </si>
  <si>
    <t>info@schwiliko-berlin.de</t>
  </si>
  <si>
    <t>+49 30 616 235 88</t>
  </si>
  <si>
    <t>Houdini</t>
  </si>
  <si>
    <t>Lychener Stra√üe 35, Berlin, 10437</t>
  </si>
  <si>
    <t>http://www.houdini-berlin.de/</t>
  </si>
  <si>
    <t>+49 30 48495414</t>
  </si>
  <si>
    <t>facebook: https://www.facebook.com/pages/category/Restaurant/Houdini-Restaurant-Cocktailbar-297880147806668/, instagram: https://www.instagram.com/houdini.berlin/?hl=en</t>
  </si>
  <si>
    <t>Shah Jahan</t>
  </si>
  <si>
    <t>https://www.shahjahan-berlin.de/</t>
  </si>
  <si>
    <t>Babaliq</t>
  </si>
  <si>
    <t>Dr. Hummus</t>
  </si>
  <si>
    <t>Nante-Eck</t>
  </si>
  <si>
    <t>Unter den Linden 35, Berlin, 10117</t>
  </si>
  <si>
    <t>http://www.nante-eck.de/</t>
  </si>
  <si>
    <t>info@nante-eck.de</t>
  </si>
  <si>
    <t>+49 30 22487257</t>
  </si>
  <si>
    <t>Antichi Aromi</t>
  </si>
  <si>
    <t>Greifenhagener Stra√üe 38, Berlin, 10437</t>
  </si>
  <si>
    <t>https://www.antichi-aromi.de/</t>
  </si>
  <si>
    <t>info@antichi-aromi.de</t>
  </si>
  <si>
    <t>+49 30 84513261</t>
  </si>
  <si>
    <t>Rolls</t>
  </si>
  <si>
    <t>Prenzlauer Allee 176, Berlin, 10409</t>
  </si>
  <si>
    <t>https://www.rolls-berlin.de/</t>
  </si>
  <si>
    <t>facebook: https://www.facebook.com/pages/category/Asian-Restaurant/Rolls-Berlin-634238823870767/, instagram: https://www.instagram.com/rollsberlin/</t>
  </si>
  <si>
    <t>Burger Green</t>
  </si>
  <si>
    <t>Carrera 12 3-22, Cartago</t>
  </si>
  <si>
    <t>https://burgergreen.co/</t>
  </si>
  <si>
    <t>+57 312 8855546</t>
  </si>
  <si>
    <t>Panama</t>
  </si>
  <si>
    <t>Potsdamer Stra√üe 91, 10785</t>
  </si>
  <si>
    <t>https://oh-panama.com</t>
  </si>
  <si>
    <t>+49 30 983 208 435</t>
  </si>
  <si>
    <t>Dot Tea Bar</t>
  </si>
  <si>
    <t>Gleimstra√üe 27, Berlin, 10437</t>
  </si>
  <si>
    <t>Irma La Douce</t>
  </si>
  <si>
    <t>Potsdamer Stra√üe 102, Berlin, 10785</t>
  </si>
  <si>
    <t>https://www.irmaladouce.de/</t>
  </si>
  <si>
    <t>irma@irmaladouce.de</t>
  </si>
  <si>
    <t>+49 3023000555</t>
  </si>
  <si>
    <t>√úber den Tellerrand</t>
  </si>
  <si>
    <t>Ro√übachstra√üe 6, 10829</t>
  </si>
  <si>
    <t>https://ueberdentellerrand.org/</t>
  </si>
  <si>
    <t>team@ueberdentellerrand.org</t>
  </si>
  <si>
    <t>+49 1525 6145986</t>
  </si>
  <si>
    <t>facebook: https://www.facebook.com/ueberdentellerrandkochen/, instagram: https://www.instagram.com/ueber_den_tellerrand/</t>
  </si>
  <si>
    <t>Tu-Long</t>
  </si>
  <si>
    <t>Otto-Suhr-Allee 25, Berlin, 10585</t>
  </si>
  <si>
    <t>https://tulong.eatbu.com/?lang=de</t>
  </si>
  <si>
    <t>azubu.frost90@hotmail.com</t>
  </si>
  <si>
    <t>+49 30 38377797</t>
  </si>
  <si>
    <t>Defne</t>
  </si>
  <si>
    <t>Planufer 92c, Berlin, 10967</t>
  </si>
  <si>
    <t>KokoroK</t>
  </si>
  <si>
    <t>Sch√∂nleinstra√üe 35, Berlin, 10967</t>
  </si>
  <si>
    <t>Ryong</t>
  </si>
  <si>
    <t>Torstra√üe 59, Berlin, 10119</t>
  </si>
  <si>
    <t>http://ryong.de</t>
  </si>
  <si>
    <t>hallo@ryong.de</t>
  </si>
  <si>
    <t>+49 30 30307047</t>
  </si>
  <si>
    <t>facebook: https://www.facebook.com/ryong.tor/, instagram: https://www.instagram.com/ryong_torstrasse</t>
  </si>
  <si>
    <t>Loci Loft</t>
  </si>
  <si>
    <t>Oraniendamm 72, Berlin, 13469</t>
  </si>
  <si>
    <t>https://www.loci-loft.de/</t>
  </si>
  <si>
    <t>anfrage@lociloft.de</t>
  </si>
  <si>
    <t>C·ªë ƒê√¥ Hu·∫ø</t>
  </si>
  <si>
    <t>Windscheidstra√üe 12, Berlin, 10627</t>
  </si>
  <si>
    <t>Niko Niko Ramen</t>
  </si>
  <si>
    <t>Boxhagener Stra√üe 26, Berlin, 10245</t>
  </si>
  <si>
    <t>https://nikoniko-ramen.com</t>
  </si>
  <si>
    <t>+49 30 84426700</t>
  </si>
  <si>
    <t>facebook: https://www.facebook.com/NikoNikoRamenBerlin/, instagram: https://www.instagram.com/nikonikoramen/</t>
  </si>
  <si>
    <t>Beirut der 70er</t>
  </si>
  <si>
    <t>Gr√ºnberger Stra√üe 84, Berlin, 10245</t>
  </si>
  <si>
    <t>https://www.beirut-der-70er.de</t>
  </si>
  <si>
    <t>Ha Long Bay Restaurant</t>
  </si>
  <si>
    <t>Ruppiner Chaussee 331, Berlin, 13503</t>
  </si>
  <si>
    <t>+49 30 89407008</t>
  </si>
  <si>
    <t>Saigon Dragon</t>
  </si>
  <si>
    <t>Gr√ºnberger Stra√üe 35, 10245</t>
  </si>
  <si>
    <t>Hello Charge</t>
  </si>
  <si>
    <t>Chen's Beef Noodle House</t>
  </si>
  <si>
    <t>Karl-Marx-Stra√üe 78, Berlin, 12043</t>
  </si>
  <si>
    <t>https://chensbeefnoodlehouse.food/</t>
  </si>
  <si>
    <t>chensbeefnoodlehouse@gmail.com</t>
  </si>
  <si>
    <t>instagram: https://www.instagram.com/chens_beef_nood_adalbert/?igsh=Nm5ibHFldTQ1dWt4&amp;utm_source=qr</t>
  </si>
  <si>
    <t>Cl√§rchens Ballhaus</t>
  </si>
  <si>
    <t>Auguststra√üe 24, Berlin, 10117</t>
  </si>
  <si>
    <t>https://claerchensball.haus/</t>
  </si>
  <si>
    <t>reservations@claerchensball.haus</t>
  </si>
  <si>
    <t>+49 30 2829295</t>
  </si>
  <si>
    <t>instagram: https://www.instagram.com/claerchens_ballhaus</t>
  </si>
  <si>
    <t>Tay Par Burger</t>
  </si>
  <si>
    <t>Wilmersdorfer Stra√üe 144, Berlin, 10585</t>
  </si>
  <si>
    <t>http://www.taypar-burger.de</t>
  </si>
  <si>
    <t>info@taypar-burger.de</t>
  </si>
  <si>
    <t>+49 30 37476775</t>
  </si>
  <si>
    <t>Lotus</t>
  </si>
  <si>
    <t>Kantstra√üe 70, Berlin, 10627</t>
  </si>
  <si>
    <t>https://www.lotus-restaurant-berlin.de/</t>
  </si>
  <si>
    <t>info@lotus-restaurant-berlin.de</t>
  </si>
  <si>
    <t>+49 30 23948340</t>
  </si>
  <si>
    <t>ASAMI - XI</t>
  </si>
  <si>
    <t>Birkbuschstra√üe 11</t>
  </si>
  <si>
    <t>acht&amp;dreissig</t>
  </si>
  <si>
    <t>Oranienburger Stra√üe 38</t>
  </si>
  <si>
    <t>Ayo</t>
  </si>
  <si>
    <t>Kaiser-Wilhelm-Stra√üe 53, Berlin, 12247</t>
  </si>
  <si>
    <t>https://ayo-restaurant.de/</t>
  </si>
  <si>
    <t>+49 30 30873817</t>
  </si>
  <si>
    <t>La Pignata</t>
  </si>
  <si>
    <t>Emser Stra√üe 24, Berlin, 10719</t>
  </si>
  <si>
    <t>Stradivari</t>
  </si>
  <si>
    <t>Heidenauer Stra√üe 17, Berlin, 12627</t>
  </si>
  <si>
    <t>https://restaurant-stradivari.net/</t>
  </si>
  <si>
    <t>info@stradivari-berlin.de</t>
  </si>
  <si>
    <t>+49 30 61294371</t>
  </si>
  <si>
    <t>Happy Momo</t>
  </si>
  <si>
    <t>Neue Bahnhofstra√üe 3, Berlin, 10245</t>
  </si>
  <si>
    <t>https://happy-momo.eatbu.com/</t>
  </si>
  <si>
    <t>happy.momo.berlin@gmail.com</t>
  </si>
  <si>
    <t>+49 30 98448306</t>
  </si>
  <si>
    <t>facebook: https://www.facebook.com/pages/category/Restaurant/Happy-Momo-109199964243949/, instagram: https://www.instagram.com/pages/category/Restaurant/Happymomobln</t>
  </si>
  <si>
    <t>Der Blaue Fuchs</t>
  </si>
  <si>
    <t>Knaackstra√üe 43, Berlin, 10435</t>
  </si>
  <si>
    <t>https://m.facebook.com/RestaurantDerblaueFuchs/</t>
  </si>
  <si>
    <t>Maharani</t>
  </si>
  <si>
    <t>Baumschulenstra√üe 7, Berlin, 12437</t>
  </si>
  <si>
    <t>https://www.maharani-berlin.de/</t>
  </si>
  <si>
    <t>+49 30 23936118</t>
  </si>
  <si>
    <t>El Geco</t>
  </si>
  <si>
    <t>Gr√ºnauer Stra√üe 46, Berlin, 12524</t>
  </si>
  <si>
    <t>+49 3067824056</t>
  </si>
  <si>
    <t>QB Vegan</t>
  </si>
  <si>
    <t>Hobrechtstra√üe 11, Berlin, 12047</t>
  </si>
  <si>
    <t>+49 30 74075267</t>
  </si>
  <si>
    <t>Quarantuno</t>
  </si>
  <si>
    <t>Beckerstra√üe 12, Berlin, 12157</t>
  </si>
  <si>
    <t>https://www.quarantuno-berlin.de/</t>
  </si>
  <si>
    <t>41.quarantuno.berlino@gmail.com</t>
  </si>
  <si>
    <t>+49 30 21959447</t>
  </si>
  <si>
    <t>ver.di Kantine</t>
  </si>
  <si>
    <t>B·∫£o Nhung 1993</t>
  </si>
  <si>
    <t>Uhlandstra√üe 144, Berlin, 10719</t>
  </si>
  <si>
    <t>https://www.baonhung1993.com</t>
  </si>
  <si>
    <t>baonhung.restaurant@gmail.com</t>
  </si>
  <si>
    <t>+49 30 88677886</t>
  </si>
  <si>
    <t>instagram: https://www.instagram.com/baonhung.1993/?hl=en</t>
  </si>
  <si>
    <t>Chopstix</t>
  </si>
  <si>
    <t>Holy Flat!</t>
  </si>
  <si>
    <t>Lenaustra√üe 10, Berlin, 12047</t>
  </si>
  <si>
    <t>https://www.holy-flat.de/</t>
  </si>
  <si>
    <t>+49 30 27490979</t>
  </si>
  <si>
    <t>Nouvo Paladino</t>
  </si>
  <si>
    <t>https://www.nuovo-paladino.de/</t>
  </si>
  <si>
    <t>1990 Vegan Living</t>
  </si>
  <si>
    <t>Krossener Stra√üe 19, Berlin, 10245</t>
  </si>
  <si>
    <t>https://www.restaurant-1990.de/</t>
  </si>
  <si>
    <t>info@restaurant1990.de</t>
  </si>
  <si>
    <t>+49 30 85614761</t>
  </si>
  <si>
    <t>facebook: https://www.facebook.com/restaurant1990/, instagram: https://www.instagram.com/1990veganliving/</t>
  </si>
  <si>
    <t>Hikari Sushi</t>
  </si>
  <si>
    <t>D√ºppelstra√üe 34, Berlin, 12163</t>
  </si>
  <si>
    <t>mokka</t>
  </si>
  <si>
    <t>Dortmunder Stra√üe 9, Berlin, 10555</t>
  </si>
  <si>
    <t>https://mokka.online/</t>
  </si>
  <si>
    <t>email@mokka.online</t>
  </si>
  <si>
    <t>+49 30 39876259</t>
  </si>
  <si>
    <t>Ajwa</t>
  </si>
  <si>
    <t>Bochumer Stra√üe 5, Berlin, 10555</t>
  </si>
  <si>
    <t>http://www.ajwa-restaurant.de/</t>
  </si>
  <si>
    <t>kontakt@ajwa-restaurant.de</t>
  </si>
  <si>
    <t>+49 30 39740915</t>
  </si>
  <si>
    <t>Z88 Gastronomie</t>
  </si>
  <si>
    <t>Sven-Hedin-Stra√üe 85, Berlin, 14163</t>
  </si>
  <si>
    <t>https://www.zehlendorf88.de/Gastronomie.html</t>
  </si>
  <si>
    <t>VEREINSKANTINE.Z88@web.de</t>
  </si>
  <si>
    <t>+49 178 4555333</t>
  </si>
  <si>
    <t>Snaubar</t>
  </si>
  <si>
    <t>Mola</t>
  </si>
  <si>
    <t>Wittenbergplatz 3a, Berlin, 10789</t>
  </si>
  <si>
    <t>http://www.restaurant-mola.de/</t>
  </si>
  <si>
    <t>info@restaurant-mola.de</t>
  </si>
  <si>
    <t>facebook: https://www.facebook.com/MOLA.Berlin/</t>
  </si>
  <si>
    <t>Chicago Steakhouse</t>
  </si>
  <si>
    <t>Wittenbergplatz 3, Berlin, 10789</t>
  </si>
  <si>
    <t>Gastst√§tte Schulz</t>
  </si>
  <si>
    <t>Pl√∂nzeile 21, Berlin, 12459</t>
  </si>
  <si>
    <t>Hoa Lan</t>
  </si>
  <si>
    <t>Baumschulenstra√üe 21, Berlin, 12437</t>
  </si>
  <si>
    <t>https://hoa-lan.de</t>
  </si>
  <si>
    <t>+49 30 32679983</t>
  </si>
  <si>
    <t>The Tree - Noodle House</t>
  </si>
  <si>
    <t>Brunnenstra√üe 167, Berlin, 10119</t>
  </si>
  <si>
    <t>+49 30 67961848</t>
  </si>
  <si>
    <t>Pepita</t>
  </si>
  <si>
    <t>Regina-Jonas-Stra√üe 4, Berlin, 10999</t>
  </si>
  <si>
    <t>+49 30 61656223</t>
  </si>
  <si>
    <t>Banh Xeo Saigon</t>
  </si>
  <si>
    <t>Greifswalder Stra√üe 41, Berlin, 10405</t>
  </si>
  <si>
    <t>https://banhxeosaigon.de</t>
  </si>
  <si>
    <t>info@banhxeosaigon.de</t>
  </si>
  <si>
    <t>+49 30 74392987</t>
  </si>
  <si>
    <t>facebook: https://www.facebook.com/BanhXeoSaigon/?eid=ARClDmid_l6OQNU76Z5w3t7nBRHpL-cM-0UZ-jWjMg8_FOh2lF9s-ftZf0qUGnsnuarbRMFaOnnayEpS, instagram: http://instagram.com/about/legal/privacy/, twitter: https://twitter.com/personalization</t>
  </si>
  <si>
    <t>Naija Foodie</t>
  </si>
  <si>
    <t>Baumschulenstra√üe 88, Berlin, 12437</t>
  </si>
  <si>
    <t>Trattoria Viktoria</t>
  </si>
  <si>
    <t>Viktoriastra√üe 11, Berlin, 12203</t>
  </si>
  <si>
    <t>+49 30 88621200</t>
  </si>
  <si>
    <t>Sphere Tim Raue</t>
  </si>
  <si>
    <t>https://tv-turm.de/sphere-tim-raue/</t>
  </si>
  <si>
    <t>instagram: https://www.instagram.com/berliner_fernsehturm/, tiktok: https://www.tiktok.com/@berlinerfernsehturm, facebook: https://www.facebook.com/BerlinerFernsehturm, linkedin: https://www.linkedin.com/company/37021400/</t>
  </si>
  <si>
    <t>Haroun</t>
  </si>
  <si>
    <t>Neue Bahnhofstra√üe 28, Berlin, 10245</t>
  </si>
  <si>
    <t>+49 17653346852</t>
  </si>
  <si>
    <t>Umaii-Sushi</t>
  </si>
  <si>
    <t>Charlottenstra√üe 7, Berlin, 12557</t>
  </si>
  <si>
    <t>https://www.umaiisushi.de</t>
  </si>
  <si>
    <t>Das Pi</t>
  </si>
  <si>
    <t>Siegfried-Aufh√§user-Platz 39B</t>
  </si>
  <si>
    <t>https://www.das-pi-berlin.de/</t>
  </si>
  <si>
    <t>+49 30 68056016</t>
  </si>
  <si>
    <t>RE</t>
  </si>
  <si>
    <t>Pho-Viet</t>
  </si>
  <si>
    <t>+49 30 47989237</t>
  </si>
  <si>
    <t>Brasserie</t>
  </si>
  <si>
    <t>Alt-Tegel 16, Berlin, 13507</t>
  </si>
  <si>
    <t>https://www.brasserie-alt-tegel.de/</t>
  </si>
  <si>
    <t>Funa Sushi</t>
  </si>
  <si>
    <t>Br√ºckenstra√üe 27, Berlin, 12439</t>
  </si>
  <si>
    <t>https://www.funa-sushi-niederschoeneweide.de/</t>
  </si>
  <si>
    <t>+49 30 63418380</t>
  </si>
  <si>
    <t>Burger Vision</t>
  </si>
  <si>
    <t>Sch√∂nhauser Allee 186a</t>
  </si>
  <si>
    <t>https://burgervision.de/</t>
  </si>
  <si>
    <t>Maslinovo</t>
  </si>
  <si>
    <t>https://www.restaurant-maslinovo.de/</t>
  </si>
  <si>
    <t>Dalchini</t>
  </si>
  <si>
    <t>Baumeisterstra√üe 1, Berlin, 12159</t>
  </si>
  <si>
    <t>https://dalchini-restaurant.de/</t>
  </si>
  <si>
    <t>+49 30 85731787</t>
  </si>
  <si>
    <t>Asien Farmhouse</t>
  </si>
  <si>
    <t>Pannierstra√üe 54, Berlin, 12047</t>
  </si>
  <si>
    <t>https://www.asien-farmhouse.de/</t>
  </si>
  <si>
    <t>+49 30 61299905</t>
  </si>
  <si>
    <t>Hafenrestaurant Da Peppe</t>
  </si>
  <si>
    <t>Scharfe Lanke 103, Berlin, 13595</t>
  </si>
  <si>
    <t>http://hafenrestaurant-dapeppe.de/</t>
  </si>
  <si>
    <t>info@hafenrestaurant-dapeppe.de</t>
  </si>
  <si>
    <t>facebook: http://facebook.com/hafenrestaurantdapeppe, instagram: http://instagram.com/hafenrestaurant.da.peppe</t>
  </si>
  <si>
    <t>Bistro am Germaniabogen</t>
  </si>
  <si>
    <t>Germaniastra√üe 18-20, Berlin, 12099</t>
  </si>
  <si>
    <t>http://bistroamgermaniabogen.de</t>
  </si>
  <si>
    <t>+49 30 743 069 92</t>
  </si>
  <si>
    <t>Benne Berlin</t>
  </si>
  <si>
    <t>L√ºtzowstra√üe 81, Berlin, 10785</t>
  </si>
  <si>
    <t>Zur Glocke</t>
  </si>
  <si>
    <t>B√∂lschestra√üe 31, Berlin, 12587</t>
  </si>
  <si>
    <t>https://www.zur-glocke-friedrichshagen.de/</t>
  </si>
  <si>
    <t>sfr@zur-glocke-friedrichshagen.de</t>
  </si>
  <si>
    <t>+49 30 85617997</t>
  </si>
  <si>
    <t>instagram: https://www.instagram.com/zurglocke/</t>
  </si>
  <si>
    <t>Kantine Volksb√ºhne</t>
  </si>
  <si>
    <t>Linienstra√üe 227, Berlin</t>
  </si>
  <si>
    <t>https://www.koeche-kollektiv.de/de/kantine</t>
  </si>
  <si>
    <t>event@koeche-kollektiv.de</t>
  </si>
  <si>
    <t>+49 174 9688339</t>
  </si>
  <si>
    <t>The Grand</t>
  </si>
  <si>
    <t>Hirtenstra√üe 4, Berlin, 10178</t>
  </si>
  <si>
    <t>https://the-grand-berlin.com/</t>
  </si>
  <si>
    <t>+49 30 2789099555</t>
  </si>
  <si>
    <t>instagram: https://www.instagram.com/thegrandberlin/, facebook: https://www.facebook.com/thegrandberlin/?locale=de_DE</t>
  </si>
  <si>
    <t>Bab &amp; Kimchi</t>
  </si>
  <si>
    <t>Sch√∂neberger Stra√üe 10, Berlin, 12163</t>
  </si>
  <si>
    <t>http://babkimchi.foodpearl.com/</t>
  </si>
  <si>
    <t>+49 30 54771133</t>
  </si>
  <si>
    <t>Gotcha</t>
  </si>
  <si>
    <t>Simon-Dach-Stra√üe 6, Berlin, 10245</t>
  </si>
  <si>
    <t>Wurscht &amp; Knolle</t>
  </si>
  <si>
    <t>Simon-Dach-Stra√üe 7, Berlin, 10245</t>
  </si>
  <si>
    <t>Munzur Fish &amp; Beef Club</t>
  </si>
  <si>
    <t>Neuk√∂llner Stra√üe 201, Berlin</t>
  </si>
  <si>
    <t>Standard Pizza West</t>
  </si>
  <si>
    <t>Schl√ºterstra√üe 63, Berlin, 10625</t>
  </si>
  <si>
    <t>Neu Delhi</t>
  </si>
  <si>
    <t>Sch√∂nholzer Stra√üe 8, Berlin, 13187</t>
  </si>
  <si>
    <t>+49 30 40047039</t>
  </si>
  <si>
    <t>Caf√© Mimosa</t>
  </si>
  <si>
    <t>Richardstra√üe 103, Berlin, 12043</t>
  </si>
  <si>
    <t>minimosaberlin.de@gmail.com</t>
  </si>
  <si>
    <t>+49 17682362945</t>
  </si>
  <si>
    <t>Hirsch &amp; Eber</t>
  </si>
  <si>
    <t>Kollwitzstra√üe 87, Berlin, 10435</t>
  </si>
  <si>
    <t>https://www.hirschundeber.com/</t>
  </si>
  <si>
    <t>mail@hirschundeber.com</t>
  </si>
  <si>
    <t>facebook: https://www.facebook.com/HirschundEber, instagram: https://www.instagram.com/hirschundeber/</t>
  </si>
  <si>
    <t>A M√† 34</t>
  </si>
  <si>
    <t>Razzak</t>
  </si>
  <si>
    <t>Wollankstra√üe 3, Berlin, 13187</t>
  </si>
  <si>
    <t>+49 30 48490337</t>
  </si>
  <si>
    <t>Kathmandu Mandala</t>
  </si>
  <si>
    <t>Wilmersdorfer Stra√üe 163, Berlin, 10585</t>
  </si>
  <si>
    <t>SALE E PANE</t>
  </si>
  <si>
    <t>Markelstra√üe 52, Berlin, 12163</t>
  </si>
  <si>
    <t>http://www.salepane.berlin</t>
  </si>
  <si>
    <t>+49 30 79747911</t>
  </si>
  <si>
    <t>Bistro Mainhattan</t>
  </si>
  <si>
    <t>In den Ministerg√§rten 5, Berlin, 10117</t>
  </si>
  <si>
    <t>https://staatskanzlei.hessen.de/berlin-europa/hessen-berlin/hessische-spezialitaeten-mitten-berlin</t>
  </si>
  <si>
    <t>Caf√© CousCous</t>
  </si>
  <si>
    <t>Friedrichstra√üe 115, Berlin, 10117</t>
  </si>
  <si>
    <t>https://cafe-couscous.de/</t>
  </si>
  <si>
    <t>facebook: https://www.facebook.com/Couscousberlin</t>
  </si>
  <si>
    <t>Mizu Ramen</t>
  </si>
  <si>
    <t>eat green</t>
  </si>
  <si>
    <t>Rudower Chaussee 5b, Berlin, 12489</t>
  </si>
  <si>
    <t>https://eatgreen.live-website.com</t>
  </si>
  <si>
    <t>info@eat-green.berlin</t>
  </si>
  <si>
    <t>+49 30 37462180</t>
  </si>
  <si>
    <t>Olympia</t>
  </si>
  <si>
    <t>Rudower Chaussee 5a, Berlin, 12489</t>
  </si>
  <si>
    <t>https://olympia-berlinadlershof.de</t>
  </si>
  <si>
    <t>info@olympia-berlinadlershof.de</t>
  </si>
  <si>
    <t>+49 30 96609242</t>
  </si>
  <si>
    <t>facebook: https://www.facebook.com/Greekfoodolympia/, instagram: https://www.instagram.com/greekfoodolympia/</t>
  </si>
  <si>
    <t>Caf√© Madame</t>
  </si>
  <si>
    <t>Mehringplatz 10, Berlin, 10969</t>
  </si>
  <si>
    <t>https://madame.berlin/</t>
  </si>
  <si>
    <t>facebook: https://www.facebook.com/kulturammehringplatz/, instagram: https://www.instagram.com/p/CrAubx0I3xU/</t>
  </si>
  <si>
    <t>M√ºggelturm-Baude</t>
  </si>
  <si>
    <t>Stra√üe zum M√ºggelturm 1, Berlin, 12559</t>
  </si>
  <si>
    <t>https://www.m√ºggelturm.berlin/</t>
  </si>
  <si>
    <t>vermietung@ugmg.eu</t>
  </si>
  <si>
    <t>+49 179 297602</t>
  </si>
  <si>
    <t>Chaikhana</t>
  </si>
  <si>
    <t>Wichertstra√üe 63, Berlin, 10439</t>
  </si>
  <si>
    <t>https://www.chaikhana-berlin.de</t>
  </si>
  <si>
    <t>+49 176 32109663</t>
  </si>
  <si>
    <t>Kreuzberger Weltlaterne</t>
  </si>
  <si>
    <t>Regina-Jonas-Stra√üe 37, Berlin, 10999</t>
  </si>
  <si>
    <t>https://www.kreuzberger-weltlaterne.com</t>
  </si>
  <si>
    <t>gatidis@kabelmail.de</t>
  </si>
  <si>
    <t>+49 30 6149151</t>
  </si>
  <si>
    <t>instagram: https://instagram.com/kreuzberger.weltlaterne?igshid=hkf99yx47z7d</t>
  </si>
  <si>
    <t>Mama Cook</t>
  </si>
  <si>
    <t>Hedemannstra√üe 10, Berlin, 10969</t>
  </si>
  <si>
    <t>http://www.mama-cook.de</t>
  </si>
  <si>
    <t>info@mama-cook.de</t>
  </si>
  <si>
    <t>facebook: https://www.facebook.com/Mama-Cook-2443465342546530/, instagram: https://instagram.com/mamacook_berlin?igshid=YmMyMTA2M2Y=</t>
  </si>
  <si>
    <t>Nhat-Nguyet Quan</t>
  </si>
  <si>
    <t>Hufelandstra√üe 26, Berlin, 10407</t>
  </si>
  <si>
    <t>http://nhatnguyetquan.de</t>
  </si>
  <si>
    <t>Pho Moc</t>
  </si>
  <si>
    <t>Sonntagstra√üe 30, Berlin, 10245</t>
  </si>
  <si>
    <t>Crazy Bastard Kitchen</t>
  </si>
  <si>
    <t>Weserstra√üe 168, 12045</t>
  </si>
  <si>
    <t>https://www.crazybkitchen.com/</t>
  </si>
  <si>
    <t>mail@crazybkitchen.com</t>
  </si>
  <si>
    <t>facebook: http://www.facebook.com/wix, twitter: http://www.twitter.com/wix</t>
  </si>
  <si>
    <t>Lindengarten</t>
  </si>
  <si>
    <t>Paracelsusstra√üe 9, Berlin, 13187</t>
  </si>
  <si>
    <t>die Horn</t>
  </si>
  <si>
    <t>Hornstra√üe 4, Berlin, 10963</t>
  </si>
  <si>
    <t>+49 30 21753082</t>
  </si>
  <si>
    <t>Asia Gondel</t>
  </si>
  <si>
    <t>Br√ºckenstra√üe 1B, Berlin, 10179</t>
  </si>
  <si>
    <t>https://www.asiagondelberlin.de/</t>
  </si>
  <si>
    <t>893 Ry≈çtei Japanese Restaurant</t>
  </si>
  <si>
    <t>Kantstra√üe 135</t>
  </si>
  <si>
    <t>Miss Hue</t>
  </si>
  <si>
    <t>Knaackstra√üe 24, 10405</t>
  </si>
  <si>
    <t>http://www.misshue.de</t>
  </si>
  <si>
    <t>+49 30 52687570</t>
  </si>
  <si>
    <t>Gastst√§tte Barnimquell</t>
  </si>
  <si>
    <t>Zingster Stra√üe 23, Berlin, 13051</t>
  </si>
  <si>
    <t>Jaipur</t>
  </si>
  <si>
    <t>W√ºhlischstra√üe 41, Berlin, 10245</t>
  </si>
  <si>
    <t>Hum</t>
  </si>
  <si>
    <t>Raumerstra√üe 38, Berlin, 10437</t>
  </si>
  <si>
    <t>https://www.hum-vegan.de/</t>
  </si>
  <si>
    <t>+49 30 89750778</t>
  </si>
  <si>
    <t>Atma</t>
  </si>
  <si>
    <t>R√§uschstra√üe 57a, Berlin, 13509</t>
  </si>
  <si>
    <t>https://www.atma-berlin.de</t>
  </si>
  <si>
    <t>Gasthaus Hahn's M√ºhle</t>
  </si>
  <si>
    <t>Hahns M√ºhle 12, Berlin, 12587</t>
  </si>
  <si>
    <t>http://www.hahnsmuehle.de</t>
  </si>
  <si>
    <t>pfcookingmachine@googlemail.com</t>
  </si>
  <si>
    <t>instagram: https://www.instagram.com/goenns_slowfood/</t>
  </si>
  <si>
    <t>Nem &amp; More</t>
  </si>
  <si>
    <t>Br√ºckenstra√üe 3, Berlin, 10179</t>
  </si>
  <si>
    <t>https://www.riceandmore.de/</t>
  </si>
  <si>
    <t>+49 30 20831559</t>
  </si>
  <si>
    <t>HessenWinkel</t>
  </si>
  <si>
    <t>http://www.daemeritzseehotel.de</t>
  </si>
  <si>
    <t>instagram: https://www.instagram.com/h24hotels/, facebook: https://www.facebook.com/h24hotels/, tiktok: https://www.tiktok.com/@h24hotels</t>
  </si>
  <si>
    <t>babbo bar</t>
  </si>
  <si>
    <t>Donaustra√üe 103, Berlin, 12043</t>
  </si>
  <si>
    <t>https://www.babbo-bar.com/</t>
  </si>
  <si>
    <t>babbobar@gmx.de</t>
  </si>
  <si>
    <t>facebook: https://www.facebook.com/Babbo-Bar-235709430119185</t>
  </si>
  <si>
    <t>Geh√∂rt zu "Taverna Olive"</t>
  </si>
  <si>
    <t>Gr√ºnberger Stra√üe 33, Berlin, 10245</t>
  </si>
  <si>
    <t>Pasta &amp; Passione</t>
  </si>
  <si>
    <t>Kastanienallee 94, 10435</t>
  </si>
  <si>
    <t>Steak Schmiede</t>
  </si>
  <si>
    <t>M√ºggelseedamm 171A</t>
  </si>
  <si>
    <t>http://steakschmiede.com/</t>
  </si>
  <si>
    <t>+49 30 92122992</t>
  </si>
  <si>
    <t>Mom's Kitchen</t>
  </si>
  <si>
    <t>Arirang</t>
  </si>
  <si>
    <t>Uhlandstra√üe 194, Berlin, 10623</t>
  </si>
  <si>
    <t>+49 30 45021248</t>
  </si>
  <si>
    <t>Il Gatto/Waldkater</t>
  </si>
  <si>
    <t>Adlergestell 575, Berlin, 12527</t>
  </si>
  <si>
    <t>https://il-gatto.berlin/</t>
  </si>
  <si>
    <t>+49 30 26580933</t>
  </si>
  <si>
    <t>Steakhouse Gaucho</t>
  </si>
  <si>
    <t>M√ºllerstra√üe 83b</t>
  </si>
  <si>
    <t>Korean Food Stories</t>
  </si>
  <si>
    <t>Prenzlauer Allee 217</t>
  </si>
  <si>
    <t>https://koreanfoodstories.com/</t>
  </si>
  <si>
    <t>info@koreanfoodstories.com</t>
  </si>
  <si>
    <t>+49 15736375002</t>
  </si>
  <si>
    <t>facebook: https://www.facebook.com/koreanfoodstories, instagram: https://www.instagram.com/koreanfoodstories/, tiktok: https://www.tiktok.com/@koreanfoodstories?_t=8kpn0KuBNRJ&amp;_r=1</t>
  </si>
  <si>
    <t>Reinhard B√§r</t>
  </si>
  <si>
    <t>Am Hamburger Bahnhof 4, Berlin, 10557</t>
  </si>
  <si>
    <t>https://reinhard-baer.berlin/</t>
  </si>
  <si>
    <t>info@reinhard-baer.berlin</t>
  </si>
  <si>
    <t>+49 30 92038237</t>
  </si>
  <si>
    <t>facebook: https://www.facebook.com/ReinhardBaer.Restaurant/</t>
  </si>
  <si>
    <t>Giardino Verde</t>
  </si>
  <si>
    <t>Karloff</t>
  </si>
  <si>
    <t>https://www.karloff-berlin.de/</t>
  </si>
  <si>
    <t>b@karloff-berlin.de</t>
  </si>
  <si>
    <t>+49 178 1445664</t>
  </si>
  <si>
    <t>unsicht-Bar</t>
  </si>
  <si>
    <t>Saarbr√ºcker Stra√üe 36-38, Berlin, 10405</t>
  </si>
  <si>
    <t>https://www.unsicht-bar.de</t>
  </si>
  <si>
    <t>Bierstube Zur Elf</t>
  </si>
  <si>
    <t>Fredericiastra√üe 11, Berlin, 14050</t>
  </si>
  <si>
    <t>Ch·ª£ D√¥ng</t>
  </si>
  <si>
    <t>Lenbachstra√üe 1, Berlin, 10245</t>
  </si>
  <si>
    <t>http://cho-dong.de/</t>
  </si>
  <si>
    <t>info@cho-dong.de</t>
  </si>
  <si>
    <t>+49 30 29048884</t>
  </si>
  <si>
    <t>DuftReis</t>
  </si>
  <si>
    <t>Joachim-Friedrich-Stra√üe 32, Berlin, 10711</t>
  </si>
  <si>
    <t>http://www.duftreis-restaurant.de/</t>
  </si>
  <si>
    <t>+49 30 3129042</t>
  </si>
  <si>
    <t>Shisomen</t>
  </si>
  <si>
    <t>Gertrud-Kolmar-Stra√üe 4, Berlin, 10117</t>
  </si>
  <si>
    <t>https://www.shisomen.de/</t>
  </si>
  <si>
    <t>kontakt@shisomen.de</t>
  </si>
  <si>
    <t>instagram: https://www.instagram.com/shisomen.berlin/</t>
  </si>
  <si>
    <t>Vereinshaus Bahn-Landwirtschaft Charlottenburg</t>
  </si>
  <si>
    <t>http://blw-charlottenburg.de/</t>
  </si>
  <si>
    <t>Tenur</t>
  </si>
  <si>
    <t>Reichenberger Stra√üe 147, Berlin, 10999</t>
  </si>
  <si>
    <t>http://tenur.de/</t>
  </si>
  <si>
    <t>kontakt@tenur.de</t>
  </si>
  <si>
    <t>+49 30 67954280</t>
  </si>
  <si>
    <t>facebook: https://www.facebook.com/tenurberlin/, instagram: https://www.instagram.com/tenur.berlin/</t>
  </si>
  <si>
    <t>Royal Gourmet Chinarestaurant</t>
  </si>
  <si>
    <t>Mohriner Allee 50, Berlin, 12347</t>
  </si>
  <si>
    <t>https://www.royalgourmet.de/</t>
  </si>
  <si>
    <t>+49 30 70172328</t>
  </si>
  <si>
    <t>Any Sushi</t>
  </si>
  <si>
    <t>Berlin Turnpike 224, Berlin, 06037</t>
  </si>
  <si>
    <t>https://www.fancysushiberlin.com/</t>
  </si>
  <si>
    <t>+1 860-929-9903</t>
  </si>
  <si>
    <t>facebook: https://www.facebook.com/profile.php?id=61560526557802</t>
  </si>
  <si>
    <t>Schmidt Z &amp; KO.</t>
  </si>
  <si>
    <t>Rheinstra√üe 45/46, Berlin, 12161</t>
  </si>
  <si>
    <t>https://www.schmidt-z-ko.de/</t>
  </si>
  <si>
    <t>info@schmidt-z-ko.de</t>
  </si>
  <si>
    <t>facebook: https://www.facebook.com/schmidtzundko, instagram: https://www.instagram.com/schmidtz_ko/</t>
  </si>
  <si>
    <t>Kochkunst</t>
  </si>
  <si>
    <t>Neuendorfer Stra√üe 25</t>
  </si>
  <si>
    <t>Salamat</t>
  </si>
  <si>
    <t>Gartenstra√üe 1, 10115</t>
  </si>
  <si>
    <t>https://www.salamat-berlin.de/</t>
  </si>
  <si>
    <t>salamat.berlin@gmail.com</t>
  </si>
  <si>
    <t>+49 30 28884994</t>
  </si>
  <si>
    <t>instagram: https://www.instagram.com/restaurant.salamat/</t>
  </si>
  <si>
    <t>Orkide</t>
  </si>
  <si>
    <t>Kaiserdamm 4, Berlin, 14057</t>
  </si>
  <si>
    <t>Chan</t>
  </si>
  <si>
    <t>Paul-Lincke-Ufer 42</t>
  </si>
  <si>
    <t>Layla</t>
  </si>
  <si>
    <t>Hallesche Stra√üe 10</t>
  </si>
  <si>
    <t>https://www.layla-restaurant.com/</t>
  </si>
  <si>
    <t>hello@layla-restaurant.com</t>
  </si>
  <si>
    <t>+49 151 22 56 36 54</t>
  </si>
  <si>
    <t>Big Stuff Smoked BBQ</t>
  </si>
  <si>
    <t>Mani in Pasta</t>
  </si>
  <si>
    <t>https://maniinpasta.de/</t>
  </si>
  <si>
    <t>Marina Blu</t>
  </si>
  <si>
    <t>Weinbergsweg 8a, Berlin, 10119</t>
  </si>
  <si>
    <t>http://www.marinablu.de/</t>
  </si>
  <si>
    <t>Con Tho</t>
  </si>
  <si>
    <t>Hasenheide 16, Berlin, 10967</t>
  </si>
  <si>
    <t>http://con-tho-restaurant.de/</t>
  </si>
  <si>
    <t>info@con-tho.de</t>
  </si>
  <si>
    <t>+49 30 22456122</t>
  </si>
  <si>
    <t>Senegambia</t>
  </si>
  <si>
    <t>Reichenberger Stra√üe 72a</t>
  </si>
  <si>
    <t>+49 30 60031568</t>
  </si>
  <si>
    <t>Capriole</t>
  </si>
  <si>
    <t>Reis und Nudeln</t>
  </si>
  <si>
    <t>Boxhagener Stra√üe 121, 10245</t>
  </si>
  <si>
    <t>Rossi</t>
  </si>
  <si>
    <t>Lehrter Stra√üe 66, Berlin, 10557</t>
  </si>
  <si>
    <t>https://hotel-rossi.de</t>
  </si>
  <si>
    <t>restaurant@hotel-rossi.de</t>
  </si>
  <si>
    <t>+49 30 330993 805</t>
  </si>
  <si>
    <t>+84 Vietnamese Vegan Kitchen</t>
  </si>
  <si>
    <t>Habersaathstra√üe 52, Berlin, 10115</t>
  </si>
  <si>
    <t>https://www.plus84-berlin.com/</t>
  </si>
  <si>
    <t>+49 30 40751791</t>
  </si>
  <si>
    <t>Prince of Punjab</t>
  </si>
  <si>
    <t>Sigmaringer Stra√üe 36, Berlin, 10713</t>
  </si>
  <si>
    <t>http://www.restaurant-bahadur.de</t>
  </si>
  <si>
    <t>info@restaurant-bahadur.de</t>
  </si>
  <si>
    <t>instagram: https://www.instagram.com/restaurantbahadur/, facebook: http://facebook.com/restaurantbahadur</t>
  </si>
  <si>
    <t>Khinkali House</t>
  </si>
  <si>
    <t>Simon-Dach-Stra√üe 14, Berlin, 10245</t>
  </si>
  <si>
    <t>Taj India Haus</t>
  </si>
  <si>
    <t>Der Balken</t>
  </si>
  <si>
    <t>Zur Spitze</t>
  </si>
  <si>
    <t>The Knast Restaurant</t>
  </si>
  <si>
    <t>S√∂htstra√üe 7</t>
  </si>
  <si>
    <t>https://theknast.de/</t>
  </si>
  <si>
    <t>info@theknast.de</t>
  </si>
  <si>
    <t>+49 30 279099060</t>
  </si>
  <si>
    <t>facebook: https://www.facebook.com/TheKnast.SOEHT7, instagram: https://www.instagram.com/the_knast/</t>
  </si>
  <si>
    <t>Naninka Cebiche Picanteria &amp; Pisco Bar</t>
  </si>
  <si>
    <t>http://cebiche-berlin.de</t>
  </si>
  <si>
    <t>info@cebiche-berlin.de</t>
  </si>
  <si>
    <t>+49 1578 4286610</t>
  </si>
  <si>
    <t>Caf√© Amiti√©</t>
  </si>
  <si>
    <t>Potsdamer Stra√üe 151</t>
  </si>
  <si>
    <t>https://restaurant-amitie.de/</t>
  </si>
  <si>
    <t>info@restaurant-amitie.de</t>
  </si>
  <si>
    <t>+49 30 85623077</t>
  </si>
  <si>
    <t>Orient Falafel</t>
  </si>
  <si>
    <t>Graefestra√üe 65 A</t>
  </si>
  <si>
    <t>+49 30 62901134</t>
  </si>
  <si>
    <t>Chotto</t>
  </si>
  <si>
    <t>Kollwitzstra√üe 84, Berlin, 10435</t>
  </si>
  <si>
    <t>http://hallochotto.weebly.com</t>
  </si>
  <si>
    <t>facebook: https://www.facebook.com/chottoberlin/, instagram: https://www.instagram.com/chottoberlin/</t>
  </si>
  <si>
    <t>wolmold</t>
  </si>
  <si>
    <t>Vietnam. Restaurant Vinh Loc</t>
  </si>
  <si>
    <t>https://www.vinh-loc-restaurant.de/</t>
  </si>
  <si>
    <t>info@vinh-loc-restaurant.de</t>
  </si>
  <si>
    <t>+49 30 33936787</t>
  </si>
  <si>
    <t>Cubo</t>
  </si>
  <si>
    <t>Eisenacher Stra√üe 59, Berlin, 10823</t>
  </si>
  <si>
    <t>http://cubo-restaurant.de</t>
  </si>
  <si>
    <t>+49 30 23561304</t>
  </si>
  <si>
    <t>facebook: https://www.facebook.com/CUBORestaurant/, instagram: https://www.instagram.com/cubo.sushibar/</t>
  </si>
  <si>
    <t>Chip Inn</t>
  </si>
  <si>
    <t>Sparnecker Weg 100, Berlin, 14089</t>
  </si>
  <si>
    <t>http://www.golfclubgatow.de/home/club/gastronomie/restaurant.html</t>
  </si>
  <si>
    <t>restaurant@golfclubgatow.de</t>
  </si>
  <si>
    <t>facebook: https://www.facebook.com/golfclubgatow/?fref=ts, instagram: https://www.instagram.com/berlinergolfclubgatow/</t>
  </si>
  <si>
    <t>Nea Pizza 1889</t>
  </si>
  <si>
    <t>Chausseestra√üe 49, Berlin, 10115</t>
  </si>
  <si>
    <t>https://www.neapizza1889.de/</t>
  </si>
  <si>
    <t>info@neapizza1889.de</t>
  </si>
  <si>
    <t>+49 30 28687691</t>
  </si>
  <si>
    <t>instagram: https://www.instagram.com/nea_1889_</t>
  </si>
  <si>
    <t>Pizza la Pizza</t>
  </si>
  <si>
    <t>Berliner Stra√üe 112, Berlin, 13189</t>
  </si>
  <si>
    <t>pizzalapizza@yahoo.com</t>
  </si>
  <si>
    <t>+49 30 27018812</t>
  </si>
  <si>
    <t>Cesarra</t>
  </si>
  <si>
    <t>Ex Yu</t>
  </si>
  <si>
    <t>Donaustra√üe 131, Berlin, 12043</t>
  </si>
  <si>
    <t>Restaurant HOLI's</t>
  </si>
  <si>
    <t>W√∂nnichstra√üe 69</t>
  </si>
  <si>
    <t>https://restaurant-holis.de</t>
  </si>
  <si>
    <t>info@holi-berlin.de</t>
  </si>
  <si>
    <t>+49 30 51062660</t>
  </si>
  <si>
    <t>Lawrence</t>
  </si>
  <si>
    <t>Oranienburger Stra√üe 69, 10117</t>
  </si>
  <si>
    <t>https://www.lawrence.berlin/</t>
  </si>
  <si>
    <t>info@lawrence.berlin</t>
  </si>
  <si>
    <t>facebook: https://www.facebook.com/lawrence.berlin.mitte, instagram: https://www.instagram.com/lawrence.berlin.mitte/</t>
  </si>
  <si>
    <t>Subhero</t>
  </si>
  <si>
    <t>Revaler Stra√üe 11, Berlin, 10245</t>
  </si>
  <si>
    <t>https://www.subhero-berlin.de/</t>
  </si>
  <si>
    <t>Dream Vegan-Vietnamese Restaurant</t>
  </si>
  <si>
    <t>Neue Bahnhofstra√üe 7a, 10245</t>
  </si>
  <si>
    <t>https://www.dreamveganberlin.com</t>
  </si>
  <si>
    <t>+ 49 30 28090396</t>
  </si>
  <si>
    <t>PizzAngelo</t>
  </si>
  <si>
    <t>Supersonico</t>
  </si>
  <si>
    <t>Bernauer Stra√üe 71-72</t>
  </si>
  <si>
    <t>https://www.supersonico.berlin</t>
  </si>
  <si>
    <t>+49 46799360</t>
  </si>
  <si>
    <t>Vindu</t>
  </si>
  <si>
    <t>Monumentenstra√üe 26, Berlin, 10965</t>
  </si>
  <si>
    <t>https://www.vindu.berlin/</t>
  </si>
  <si>
    <t>info@vindu.berlin</t>
  </si>
  <si>
    <t>+49 30 89654057</t>
  </si>
  <si>
    <t>Trattoria Salute</t>
  </si>
  <si>
    <t>Homemade TS Burger</t>
  </si>
  <si>
    <t>Carl-Schurz-Stra√üe 64</t>
  </si>
  <si>
    <t>Pizzeria Casa Mia</t>
  </si>
  <si>
    <t>Kernhofer Stra√üe 12, Berlin, 10317</t>
  </si>
  <si>
    <t>+49 30 23360297</t>
  </si>
  <si>
    <t>Tapas Espa√±a</t>
  </si>
  <si>
    <t>Rheinstra√üe 32, Berlin, 12161</t>
  </si>
  <si>
    <t>https://www.tapas-espana.de/</t>
  </si>
  <si>
    <t>info@tapas-espana.de</t>
  </si>
  <si>
    <t>+49 30 8529422</t>
  </si>
  <si>
    <t>facebook: https://www.facebook.com/sharer.php?u=https%3A%2F%2Fwww.tapas-espana.de%2F</t>
  </si>
  <si>
    <t>Arethussa</t>
  </si>
  <si>
    <t>Pannierstra√üe 55, Berlin, 12047</t>
  </si>
  <si>
    <t>arethussa.restaurant@gmail.com</t>
  </si>
  <si>
    <t>+49 30 53027624</t>
  </si>
  <si>
    <t>Restorani Tbilisi</t>
  </si>
  <si>
    <t>Sch√∂nflie√üer Stra√üe 15, Berlin, 10439</t>
  </si>
  <si>
    <t>http://www.restorani-tbilisi.de</t>
  </si>
  <si>
    <t>kontakt@restorani-tbilisi.de</t>
  </si>
  <si>
    <t>+49 30 23927015</t>
  </si>
  <si>
    <t>facebook: https://www.facebook.com/Restorani-Tbilisi-488730137954651/</t>
  </si>
  <si>
    <t>Funky Fisch</t>
  </si>
  <si>
    <t>Kantstra√üe 135-136</t>
  </si>
  <si>
    <t>http://funky-fisch.de/</t>
  </si>
  <si>
    <t>info@funky-fisch.de</t>
  </si>
  <si>
    <t>facebook: https://www.facebook.com/funkyfisch/, instagram: https://www.instagram.com/funkyfisch_official/</t>
  </si>
  <si>
    <t>Pizza Koons</t>
  </si>
  <si>
    <t>Ebertystra√üe 4, Berlin, 10249</t>
  </si>
  <si>
    <t>https://www.pizza-koons.de/</t>
  </si>
  <si>
    <t>Steakhouse Fratelli da Giovanni 1978</t>
  </si>
  <si>
    <t>Alt-Friedrichsfelde 87, Berlin, 10315</t>
  </si>
  <si>
    <t>https://steakhouse-giovanni.com/</t>
  </si>
  <si>
    <t>Ranush</t>
  </si>
  <si>
    <t>Wilhelmstra√üe 41A, Berlin, 10963</t>
  </si>
  <si>
    <t>La Buca Pizzorante</t>
  </si>
  <si>
    <t>https://labucaberlin.de/</t>
  </si>
  <si>
    <t>info@labucaberlin.de</t>
  </si>
  <si>
    <t>+49 30 50946919</t>
  </si>
  <si>
    <t>facebook: https://facebook.com/la.buca.12, instagram: https://www.instagram.com/labucaberlin</t>
  </si>
  <si>
    <t>Volk</t>
  </si>
  <si>
    <t>Brunnenstra√üe 183</t>
  </si>
  <si>
    <t>Banh Mi Stable</t>
  </si>
  <si>
    <t>Schendelgasse 9, Berlin, 10119</t>
  </si>
  <si>
    <t>http://banhmistable.com/</t>
  </si>
  <si>
    <t>Wirtshaus Malchow</t>
  </si>
  <si>
    <t>http://www.fleischer-malchow.de</t>
  </si>
  <si>
    <t>+49 30 91205352</t>
  </si>
  <si>
    <t>Trattoria Rathaus Piazza</t>
  </si>
  <si>
    <t>Otto-Suhr-Allee 94, Berlin, 10585</t>
  </si>
  <si>
    <t>+49 30 34806995</t>
  </si>
  <si>
    <t>110 Grill</t>
  </si>
  <si>
    <t>Highland Commons East 60, Berlin, 01503</t>
  </si>
  <si>
    <t>friedrich</t>
  </si>
  <si>
    <t>Da Piadina</t>
  </si>
  <si>
    <t>Mariannenplatz 23, Berlin, 10997</t>
  </si>
  <si>
    <t>+49 30 28425313</t>
  </si>
  <si>
    <t>Portofino</t>
  </si>
  <si>
    <t>http://www.portofino-spandau.de/</t>
  </si>
  <si>
    <t>+49 30 3329296</t>
  </si>
  <si>
    <t>Viettonic</t>
  </si>
  <si>
    <t>Kottbusser Stra√üe 19, 10999</t>
  </si>
  <si>
    <t>http://www.viettonicrestaurant.de/</t>
  </si>
  <si>
    <t>+49 30 3314698</t>
  </si>
  <si>
    <t>ZAMAZiNGO</t>
  </si>
  <si>
    <t>Pichelsdorfer Stra√üe 118, Berlin, 13595</t>
  </si>
  <si>
    <t>Lunchtime</t>
  </si>
  <si>
    <t>J√§gerstra√üe 34, Berlin, 10117</t>
  </si>
  <si>
    <t>Piazza Grande</t>
  </si>
  <si>
    <t>Prinzregentenstra√üe 1, Berlin, 10717</t>
  </si>
  <si>
    <t>https://piazza-grande-berlin.de/</t>
  </si>
  <si>
    <t>info@piazza-grande-berlin.de</t>
  </si>
  <si>
    <t>+49 30 21919995</t>
  </si>
  <si>
    <t>facebook: https://www.facebook.com/people/Piazza-Grande/100071918228788/, instagram: https://www.instagram.com/piazza_grande1</t>
  </si>
  <si>
    <t>Lalibela Taste of Ethiopia</t>
  </si>
  <si>
    <t>Soldiner Stra√üe 41, Berlin, 13359</t>
  </si>
  <si>
    <t>https://www.lalibelawedding.de/</t>
  </si>
  <si>
    <t>+49 3056556839</t>
  </si>
  <si>
    <t>Sushi T- Phu</t>
  </si>
  <si>
    <t>Berliner Stra√üe 5, Berlin, 10715</t>
  </si>
  <si>
    <t>https://www.sushitphu.de/contact</t>
  </si>
  <si>
    <t>+49 30 85105755</t>
  </si>
  <si>
    <t>Afro Mixx</t>
  </si>
  <si>
    <t>Bellermannstra√üe 98, Berlin, 13357</t>
  </si>
  <si>
    <t>Akkawy</t>
  </si>
  <si>
    <t>Kopernikusstra√üe 8, Berlin, 10245</t>
  </si>
  <si>
    <t>+49 30 27598000</t>
  </si>
  <si>
    <t>Huy Long Asia Food &amp; Sushi</t>
  </si>
  <si>
    <t>Fritz-Reuter-Allee 182B, Berlin, 12359</t>
  </si>
  <si>
    <t>+49 162 5130153</t>
  </si>
  <si>
    <t>Como en casa</t>
  </si>
  <si>
    <t>Stubenrauchstra√üe 59, Berlin, 12161</t>
  </si>
  <si>
    <t>+49 30 67800599</t>
  </si>
  <si>
    <t>La Lucha</t>
  </si>
  <si>
    <t>Paul-Lincke-Ufer 39-41, Berlin, 10999</t>
  </si>
  <si>
    <t>Borsig-B</t>
  </si>
  <si>
    <t>Am Borsigturm 5, Berlin, 13507</t>
  </si>
  <si>
    <t>Momiji</t>
  </si>
  <si>
    <t>Bleibtreustra√üe 52, Berlin, 10623</t>
  </si>
  <si>
    <t>https://www.mo-mi-ji.com/</t>
  </si>
  <si>
    <t>instagram: https://instagram.com/momijiberlin/, facebook: https://facebook.com/momijiberlin/</t>
  </si>
  <si>
    <t>Fleischerei</t>
  </si>
  <si>
    <t>Sch√∂nhauser Allee 8, Berlin</t>
  </si>
  <si>
    <t>Hof-Caf√©</t>
  </si>
  <si>
    <t>Oranienburger Stra√üe 203</t>
  </si>
  <si>
    <t>https://www.restauranthof-cafe.de/</t>
  </si>
  <si>
    <t>info@restauranthof-cafe.de</t>
  </si>
  <si>
    <t>facebook: https://www.facebook.com/Restaurant-Hof-Cafe-895184187306192/</t>
  </si>
  <si>
    <t>An Nam</t>
  </si>
  <si>
    <t>Da Antonio</t>
  </si>
  <si>
    <t>Bismarckstra√üe 60, Berlin, 10627</t>
  </si>
  <si>
    <t>https://www.restaurant-da-antonio.de</t>
  </si>
  <si>
    <t>info@restaurant-da-antonio.de</t>
  </si>
  <si>
    <t>+49 30 20917232</t>
  </si>
  <si>
    <t>Artiki</t>
  </si>
  <si>
    <t>Richard-von-Weizs√§cker-Platz 1-2, Berlin, 10827</t>
  </si>
  <si>
    <t>Kimchi Heim</t>
  </si>
  <si>
    <t>Takumi ‚Äò9 Sapporo</t>
  </si>
  <si>
    <t>Chausseestra√üe 124, Berlin, 10115</t>
  </si>
  <si>
    <t>https://www.takuminineberlin.de/takumi-9-sapporo-mitte</t>
  </si>
  <si>
    <t>Brasserie Colette Tim Raue</t>
  </si>
  <si>
    <t>Passauer Stra√üe 5-7, Berlin, 10789</t>
  </si>
  <si>
    <t>https://brasseriecolette.de/berlin</t>
  </si>
  <si>
    <t>berlin@brasseriecolette.de</t>
  </si>
  <si>
    <t>+49 30 219 92 174</t>
  </si>
  <si>
    <t>facebook: https://www.facebook.com/brasseriecoletteberlin, instagram: https://www.instagram.com/brasseriecolette/</t>
  </si>
  <si>
    <t>Mirika</t>
  </si>
  <si>
    <t>Prinzenstra√üe 103, 10969</t>
  </si>
  <si>
    <t>https://www.mirikaberlin.com</t>
  </si>
  <si>
    <t>+49 30 61654090</t>
  </si>
  <si>
    <t>Plov Berlin Plove Berlin</t>
  </si>
  <si>
    <t>Schivelbeiner Stra√üe 8, Berlin, 10439</t>
  </si>
  <si>
    <t>Chipperfield Kantine</t>
  </si>
  <si>
    <t>Joachimstra√üe 11, Berlin, 10119</t>
  </si>
  <si>
    <t>https://kantine-berlinmitte.de</t>
  </si>
  <si>
    <t>Hoongy</t>
  </si>
  <si>
    <t>Chausseestra√üe 5</t>
  </si>
  <si>
    <t>Emira</t>
  </si>
  <si>
    <t>Sch√∂nhauser Allee 72a, Berlin, 10437</t>
  </si>
  <si>
    <t>info@emira-restaurant.de</t>
  </si>
  <si>
    <t>+49 30 55476295</t>
  </si>
  <si>
    <t>Morgenland</t>
  </si>
  <si>
    <t>Skalitzer Stra√üe 35, Berlin, 10999</t>
  </si>
  <si>
    <t>http://www.morgenland-berlin.de/</t>
  </si>
  <si>
    <t>kontakt@morgenland-berlin.de</t>
  </si>
  <si>
    <t>+49 30 6113291</t>
  </si>
  <si>
    <t>Dreams</t>
  </si>
  <si>
    <t>Wiener Stra√üe 69, Berlin, 10999</t>
  </si>
  <si>
    <t>https://www.dreams-berlin.de/</t>
  </si>
  <si>
    <t>+49 30 62976400</t>
  </si>
  <si>
    <t>Gotxa</t>
  </si>
  <si>
    <t>KARAM</t>
  </si>
  <si>
    <t>Dave B.</t>
  </si>
  <si>
    <t>Otto-Suhr-Allee 6-16, Berlin, 10585</t>
  </si>
  <si>
    <t>https://dave-b.com/</t>
  </si>
  <si>
    <t>59berlin1@dave-b.com</t>
  </si>
  <si>
    <t>Biertulpe</t>
  </si>
  <si>
    <t>Marzahner Promenade 12, Berlin, 12679</t>
  </si>
  <si>
    <t>+49 30 9357771</t>
  </si>
  <si>
    <t>Sons of Mana Poke Bowls</t>
  </si>
  <si>
    <t>Chausseestra√üe 19, Berlin, 10115</t>
  </si>
  <si>
    <t>http://sonsofmana.de/</t>
  </si>
  <si>
    <t>Cookies Cream</t>
  </si>
  <si>
    <t>Behrenstra√üe 55, Berlin, 10117</t>
  </si>
  <si>
    <t>https://www.cookiescream.com/</t>
  </si>
  <si>
    <t>cream@cookiescream.com</t>
  </si>
  <si>
    <t>+49 30 680730448</t>
  </si>
  <si>
    <t>instagram: https://www.instagram.com/cookiescreamberlin/</t>
  </si>
  <si>
    <t>All Seasons - Chinesisches Erlebnisrestaurant</t>
  </si>
  <si>
    <t>Am Juliusturm 53, Berlin, 13599</t>
  </si>
  <si>
    <t>http://www.theallseasons.de/</t>
  </si>
  <si>
    <t>Il Cardellino</t>
  </si>
  <si>
    <t>Steglitzer Damm 9, Berlin, 12169</t>
  </si>
  <si>
    <t>https://www.il-cardellino.de/menu</t>
  </si>
  <si>
    <t>+49 30 79786262</t>
  </si>
  <si>
    <t>Punta Cana</t>
  </si>
  <si>
    <t>Pulcinella</t>
  </si>
  <si>
    <t>https://www.trattoria-pulcinella.de/</t>
  </si>
  <si>
    <t>kontakt@trattoria-pulcinella.de</t>
  </si>
  <si>
    <t>+49 30 40551919</t>
  </si>
  <si>
    <t>facebook: https://www.facebook.com/pages/Pulcinella/1342998062391984</t>
  </si>
  <si>
    <t>Creasian</t>
  </si>
  <si>
    <t>Gro√üe Hamburger Stra√üe 20, Berlin, 10115</t>
  </si>
  <si>
    <t>http://www.creasian.berlin/</t>
  </si>
  <si>
    <t>Vini e Salumi</t>
  </si>
  <si>
    <t>Akazienstra√üe 14, Berlin, 10823</t>
  </si>
  <si>
    <t>Sakura Garten</t>
  </si>
  <si>
    <t>Alt-Marzahn 70, 12685</t>
  </si>
  <si>
    <t>https://sakuragarten.de/</t>
  </si>
  <si>
    <t>info.sakuragarten@gmail.com</t>
  </si>
  <si>
    <t>+49 30 53029182</t>
  </si>
  <si>
    <t>Thanh Long</t>
  </si>
  <si>
    <t>+49 30 44718734</t>
  </si>
  <si>
    <t>Fatoush Sch√∂neberg</t>
  </si>
  <si>
    <t>Welserstra√üe 27, 10777</t>
  </si>
  <si>
    <t>https://www.fatoush.de/</t>
  </si>
  <si>
    <t>info@fatoush.de</t>
  </si>
  <si>
    <t>+49 30 54437412</t>
  </si>
  <si>
    <t>Ronin</t>
  </si>
  <si>
    <t>Rosa-Luxemburg-Stra√üe 5, Berlin, 10178</t>
  </si>
  <si>
    <t>Zhong Hua</t>
  </si>
  <si>
    <t>Lindenstra√üe 29a, Berlin, 10969</t>
  </si>
  <si>
    <t>https://www.zhong-hua.de/</t>
  </si>
  <si>
    <t>+49 30 2511615</t>
  </si>
  <si>
    <t>Nuovo Firenze</t>
  </si>
  <si>
    <t>Invalidenstra√üe 6</t>
  </si>
  <si>
    <t>https://www.nuovo-firenze.de/</t>
  </si>
  <si>
    <t>facebook: https://www.facebook.com/ristorantenuovofirenze/, instagram: https://www.instagram.com/explore/locations/111777807163841/ristorante-nuovo-firenze/</t>
  </si>
  <si>
    <t>Pad Thai</t>
  </si>
  <si>
    <t>Cicerostra√üe 49a, Berlin, 10709</t>
  </si>
  <si>
    <t>Rocoto</t>
  </si>
  <si>
    <t>Winterfeldtstra√üe 17, Berlin, 10781</t>
  </si>
  <si>
    <t>http://www.rocotoberlin.de/</t>
  </si>
  <si>
    <t>info@rocotoberlin.de</t>
  </si>
  <si>
    <t>+49 30 25320502</t>
  </si>
  <si>
    <t>instagram: https://www.instagram.com/rocotoberlin/?igshid=1uuaf3dkaiemc, facebook: https://www.facebook.com/rocotoberlin/</t>
  </si>
  <si>
    <t>Marafina</t>
  </si>
  <si>
    <t>W√ºhlischstra√üe 17, Berlin, 10245</t>
  </si>
  <si>
    <t>Las Miras</t>
  </si>
  <si>
    <t>Sonnenschein Caf√© &amp; Restaurant</t>
  </si>
  <si>
    <t>Schmargendorfer Stra√üe 33, Berlin, 12159</t>
  </si>
  <si>
    <t>https://www.cafe-sonnenschein-berlin.de/</t>
  </si>
  <si>
    <t>+49 176 72463531</t>
  </si>
  <si>
    <t>Mama Vegan</t>
  </si>
  <si>
    <t>Tempelhofer Damm 122, Berlin, 12099</t>
  </si>
  <si>
    <t>https://www.mamavegan-restaurant.de/</t>
  </si>
  <si>
    <t>mama.vegan.berlin@gmail.com</t>
  </si>
  <si>
    <t>+49 30 55616847</t>
  </si>
  <si>
    <t>Koempul</t>
  </si>
  <si>
    <t>Lychener Stra√üe 6, Berlin, 10437</t>
  </si>
  <si>
    <t>https://koempul.com/</t>
  </si>
  <si>
    <t>+49 176 55668641</t>
  </si>
  <si>
    <t>instagram: https://www.instagram.com/koempulrestaurant/?hl=en</t>
  </si>
  <si>
    <t>Huong Sen</t>
  </si>
  <si>
    <t>Markgrafenstra√üe 57, Berlin, 10117</t>
  </si>
  <si>
    <t>https://www.huongsen.de/</t>
  </si>
  <si>
    <t>+49 30 20654909</t>
  </si>
  <si>
    <t>Mundo</t>
  </si>
  <si>
    <t>Alt-Mariendorf 32, Berlin, 12107</t>
  </si>
  <si>
    <t>https://mundo.berlin/alt-mariendorf/de/</t>
  </si>
  <si>
    <t>+49 30 74079740</t>
  </si>
  <si>
    <t>Brauhaus Spandau</t>
  </si>
  <si>
    <t>Neuendorfer Stra√üe 1, Berlin, 13585</t>
  </si>
  <si>
    <t>https://www.brauhaus-spandau.de/</t>
  </si>
  <si>
    <t>info@brauhaus-spandau.de</t>
  </si>
  <si>
    <t>+49 30 3539070</t>
  </si>
  <si>
    <t>facebook: https://www.facebook.com/BrauhausSpandau/, instagram: https://www.instagram.com/brauhausspandau/</t>
  </si>
  <si>
    <t>Ma≈Çy KsiƒÖ≈ºƒô</t>
  </si>
  <si>
    <t>http://polnische-lebensmittel.berlin/cafe-und-bistro/</t>
  </si>
  <si>
    <t>Osterberger</t>
  </si>
  <si>
    <t>Elisabethkirchstra√üe 2, Berlin, 10115</t>
  </si>
  <si>
    <t>https://www.osterberger.de/</t>
  </si>
  <si>
    <t>office@osterberger.de</t>
  </si>
  <si>
    <t>+49 30 26565661</t>
  </si>
  <si>
    <t>facebook: https://www.facebook.com/Osterberger_Mitte-100965801525844/?modal=admin_todo_tour, instagram: https://instagram.com/osterberger_mitte</t>
  </si>
  <si>
    <t>Nina</t>
  </si>
  <si>
    <t>Breite Stra√üe 20, Berlin, 13187</t>
  </si>
  <si>
    <t>√ñsterelli</t>
  </si>
  <si>
    <t>Blizzeria Pizza &amp; Burger &amp; Mehr</t>
  </si>
  <si>
    <t>Leibnizstra√üe 17, Berlin, 10625</t>
  </si>
  <si>
    <t>Samakki Talad Thai</t>
  </si>
  <si>
    <t>Kaiser-Friedrich-Stra√üe 41, Berlin, 10627</t>
  </si>
  <si>
    <t>Yo Pho!</t>
  </si>
  <si>
    <t>Falckensteinstra√üe 42, Berlin, 10997</t>
  </si>
  <si>
    <t>+49 30 37446704</t>
  </si>
  <si>
    <t>Tex Mexico</t>
  </si>
  <si>
    <t>Gloria</t>
  </si>
  <si>
    <t>G√∂rlitzer Stra√üe 42, Berlin, 10997</t>
  </si>
  <si>
    <t>http://www.gloriaberlin.de/</t>
  </si>
  <si>
    <t>info@gloriaberlin.de</t>
  </si>
  <si>
    <t>Heimweh</t>
  </si>
  <si>
    <t>Touray</t>
  </si>
  <si>
    <t>Lenaustra√üe 5, 12047</t>
  </si>
  <si>
    <t>Club del Burro</t>
  </si>
  <si>
    <t>http://www.club-del-burro.berlin</t>
  </si>
  <si>
    <t>info@clubdelburro.berlin</t>
  </si>
  <si>
    <t>+49 30 76906888</t>
  </si>
  <si>
    <t>Babikyu</t>
  </si>
  <si>
    <t>Bergmannstra√üe 1, 10961</t>
  </si>
  <si>
    <t>https://babikyu.website/</t>
  </si>
  <si>
    <t>+49 174 8143355</t>
  </si>
  <si>
    <t>facebook: https://www.facebook.com/babikyuberlin/?locale=vi_VN, instagram: https://www.instagram.com/explore/locations/1221015887940327/babikyu/</t>
  </si>
  <si>
    <t>Quynh Anh</t>
  </si>
  <si>
    <t>Laubacher Stra√üe 42, Berlin, 14197</t>
  </si>
  <si>
    <t>+49 30 89748794</t>
  </si>
  <si>
    <t>La Fontana</t>
  </si>
  <si>
    <t>http://la-fontana-berlin.de/</t>
  </si>
  <si>
    <t>info@la-fontana-berlin.de</t>
  </si>
  <si>
    <t>+49 30 2619231</t>
  </si>
  <si>
    <t>Gambin√≥s by Amano</t>
  </si>
  <si>
    <t>Heidestra√üe 62, Berlin, 10557</t>
  </si>
  <si>
    <t>https://www.amanogroup.com/en/restaurants/berlin-central-station-pizzeria-gambinos-by-amano</t>
  </si>
  <si>
    <t>inquiriesreserve@amanogroup.com</t>
  </si>
  <si>
    <t>+49 152 32180907</t>
  </si>
  <si>
    <t>instagram: https://www.instagram.com/amanohappenings/, tiktok: https://www.tiktok.com/@amanogroup, facebook: https://www.facebook.com/amanogroup?fref=ts, linkedin: https://www.linkedin.com/company/amanogroup/</t>
  </si>
  <si>
    <t>Mandy</t>
  </si>
  <si>
    <t>Rheinstra√üe 67, Berlin, 12159</t>
  </si>
  <si>
    <t>Lucien's Manor</t>
  </si>
  <si>
    <t>West White Horse Pike 81, West Berlin, 08091</t>
  </si>
  <si>
    <t>Cortador Steakhaus</t>
  </si>
  <si>
    <t>Tegeler Weg 10, Berlin, 10589</t>
  </si>
  <si>
    <t>https://www.steakhauscortador-berlin.de/</t>
  </si>
  <si>
    <t>+49 30 34094244</t>
  </si>
  <si>
    <t>Makkabi Club</t>
  </si>
  <si>
    <t>Harbigstra√üe 40, Berlin, 14055</t>
  </si>
  <si>
    <t>Mehas</t>
  </si>
  <si>
    <t>Hermannstra√üe 54, 12049</t>
  </si>
  <si>
    <t>Lebanon Foodie</t>
  </si>
  <si>
    <t>Bergmannstra√üe 27, Berlin, 10961</t>
  </si>
  <si>
    <t>+49 30 64 16 55 90</t>
  </si>
  <si>
    <t>Chainone</t>
  </si>
  <si>
    <t>Gotzkowskystra√üe 24, Berlin, 10555</t>
  </si>
  <si>
    <t>Roji - Taste of Japan</t>
  </si>
  <si>
    <t>https://www.roji-berlin.de/</t>
  </si>
  <si>
    <t>Bangkok Treffpunkt</t>
  </si>
  <si>
    <t>Prenzlauer Allee 46, Berlin, 10405</t>
  </si>
  <si>
    <t>https://bangkok-treffpunkt.de/</t>
  </si>
  <si>
    <t>phuongthao_102@yahoo.de</t>
  </si>
  <si>
    <t>+49 30 443 94 05</t>
  </si>
  <si>
    <t>facebook: https://www.facebook.com/Bangkok-Treffpunkt-145743352135853/?fref=ts</t>
  </si>
  <si>
    <t>Alpha House</t>
  </si>
  <si>
    <t>Kurf√ºrstenstra√üe 79, Berlin, 10787</t>
  </si>
  <si>
    <t>Mijo</t>
  </si>
  <si>
    <t>Stargarder Stra√üe 24, Berlin, 10437</t>
  </si>
  <si>
    <t>+49 176 97738883</t>
  </si>
  <si>
    <t>Mama V√¢n</t>
  </si>
  <si>
    <t>Karl-Liebknecht-Stra√üe 15, Berlin, 10178</t>
  </si>
  <si>
    <t>http://www.mamavan.de/</t>
  </si>
  <si>
    <t>facebook: https://www.facebook.com/mamavanberlin/, instagram: https://www.instagram.com/mamavanberlin/</t>
  </si>
  <si>
    <t>Nam Dinh Quan</t>
  </si>
  <si>
    <t>El Reda Grill</t>
  </si>
  <si>
    <t>Huttenstra√üe 2</t>
  </si>
  <si>
    <t>El Sol</t>
  </si>
  <si>
    <t>The Big Dog Berlin</t>
  </si>
  <si>
    <t>Ebertstra√üe 3</t>
  </si>
  <si>
    <t>https://www.thebigdog.de/</t>
  </si>
  <si>
    <t>Dao Nguyen Bistro</t>
  </si>
  <si>
    <t>Kaiserin-Augusta-Allee 88, Berlin, 10589</t>
  </si>
  <si>
    <t>https://dao-nguyen-berlin.de/15755</t>
  </si>
  <si>
    <t>Lang Xua</t>
  </si>
  <si>
    <t>Esa Noa</t>
  </si>
  <si>
    <t>Helmholtzstra√üe 24, Berlin, 10587</t>
  </si>
  <si>
    <t>https://www.esanoa-berlin.de/</t>
  </si>
  <si>
    <t>+49 30 49958347</t>
  </si>
  <si>
    <t>Angkor Borey</t>
  </si>
  <si>
    <t>Gro√übeerenstra√üe 26</t>
  </si>
  <si>
    <t>https://kambodschanisches-restaurant-berlin.de</t>
  </si>
  <si>
    <t>+49 176 91392737</t>
  </si>
  <si>
    <t>Dong Xuan</t>
  </si>
  <si>
    <t>Katerschmaus</t>
  </si>
  <si>
    <t>Holzmarktstra√üe 25, Berlin, 10243</t>
  </si>
  <si>
    <t>https://www.katerschmaus.de</t>
  </si>
  <si>
    <t>instagram: http://instagram.com/katerschmaus, facebook: https://www.facebook.com/people/Katerschmaus/100047608253445/</t>
  </si>
  <si>
    <t>Lino's Barbecue</t>
  </si>
  <si>
    <t>Malplaquetstra√üe 43, Berlin, 13347</t>
  </si>
  <si>
    <t>https://www.linosbbq.com/</t>
  </si>
  <si>
    <t>contact@linosbbq.com</t>
  </si>
  <si>
    <t>+49 30 55602977</t>
  </si>
  <si>
    <t>instagram: https://www.instagram.com/linosbarbecue, tiktok: https://www.tiktok.com/@linos.barbecue</t>
  </si>
  <si>
    <t>Nammi</t>
  </si>
  <si>
    <t>Oberhofer Weg 12</t>
  </si>
  <si>
    <t>Sonnendeck</t>
  </si>
  <si>
    <t>Edisonstra√üe 63, Berlin, 12459</t>
  </si>
  <si>
    <t>https://www.sonnendeck.berlin/</t>
  </si>
  <si>
    <t>info@sonnendeck.berlin</t>
  </si>
  <si>
    <t>OM MANI</t>
  </si>
  <si>
    <t>Am Studio 1A, Berlin, 12489</t>
  </si>
  <si>
    <t>Vegan Vibes</t>
  </si>
  <si>
    <t>Niederbarnimstra√üe 16</t>
  </si>
  <si>
    <t>Orania</t>
  </si>
  <si>
    <t>Little Italy</t>
  </si>
  <si>
    <t>Vegan Land</t>
  </si>
  <si>
    <t>https://www.veganland24.de/filialen/veganland-berlin</t>
  </si>
  <si>
    <t>+49 176 32764333</t>
  </si>
  <si>
    <t>Trattoria Peretti</t>
  </si>
  <si>
    <t>Karl-Liebknecht-Stra√üe 5, Berlin, 10178</t>
  </si>
  <si>
    <t>http://www.peretti-berlin.com/</t>
  </si>
  <si>
    <t>Mom's Creation</t>
  </si>
  <si>
    <t>Proskauer Stra√üe 1, Berlin, 10247</t>
  </si>
  <si>
    <t>https://moms-restaurant.de</t>
  </si>
  <si>
    <t>info@moms-restaurant.de</t>
  </si>
  <si>
    <t>+44 30 28604479</t>
  </si>
  <si>
    <t>Kantinella</t>
  </si>
  <si>
    <t>Mishba</t>
  </si>
  <si>
    <t>https://www.mishba.de/</t>
  </si>
  <si>
    <t>Phuong Dong</t>
  </si>
  <si>
    <t>Breite Stra√üe 20, Berlin, 13597</t>
  </si>
  <si>
    <t>+49 30 31161596</t>
  </si>
  <si>
    <t>Capvin</t>
  </si>
  <si>
    <t>Rosenthaler Stra√üe 36, Berlin, 10178</t>
  </si>
  <si>
    <t>https://www.capvin.de/</t>
  </si>
  <si>
    <t>berlin@capvin.de</t>
  </si>
  <si>
    <t>instagram: https://www.instagram.com/capvinpizza</t>
  </si>
  <si>
    <t>MiHiQ</t>
  </si>
  <si>
    <t>Cafe Eins27</t>
  </si>
  <si>
    <t>Schlesische Stra√üe 27, Berlin, 10997</t>
  </si>
  <si>
    <t>Minh Huy</t>
  </si>
  <si>
    <t>Moltkestra√üe 30, Berlin, 12203</t>
  </si>
  <si>
    <t>https://www.minhhuy-restaurant.de/</t>
  </si>
  <si>
    <t>+49 30 84316882</t>
  </si>
  <si>
    <t>Vino e basilico</t>
  </si>
  <si>
    <t>Turtle Pizza</t>
  </si>
  <si>
    <t>Kottbusser Damm 88, Berlin, 10967</t>
  </si>
  <si>
    <t>mastersplinter@turtle-pizza.de</t>
  </si>
  <si>
    <t>+49 176 23861569</t>
  </si>
  <si>
    <t>Macao</t>
  </si>
  <si>
    <t>Pizza Nostra</t>
  </si>
  <si>
    <t>Lychener Stra√üe 2, Berlin, 10437</t>
  </si>
  <si>
    <t>https://www.pizzanostra.de/</t>
  </si>
  <si>
    <t>+49 30 4171700</t>
  </si>
  <si>
    <t>A-Petit</t>
  </si>
  <si>
    <t>W√∂rther Stra√üe 25, Berlin, 10405</t>
  </si>
  <si>
    <t>http://www.a-petit.de</t>
  </si>
  <si>
    <t>contact@a-petit.de</t>
  </si>
  <si>
    <t>+49 30 91466366</t>
  </si>
  <si>
    <t>facebook: https://www.facebook.com/A.PetitBerlin, instagram: https://www.instagram.com/apetit_berlin/</t>
  </si>
  <si>
    <t>Ramazotti</t>
  </si>
  <si>
    <t>Piccola Perla</t>
  </si>
  <si>
    <t>Betty-Katz-Stra√üe 14, Berlin, 12163</t>
  </si>
  <si>
    <t>http://la-piccola-perla.de/</t>
  </si>
  <si>
    <t>+49 3091605446</t>
  </si>
  <si>
    <t>VEG'D</t>
  </si>
  <si>
    <t>Eberswalder Stra√üe 22, Berlin, 10437</t>
  </si>
  <si>
    <t>https://vegd.eu/</t>
  </si>
  <si>
    <t>instagram: https://www.instagram.com/vegd_burger/, tiktok: https://www.tiktok.com/@vegd_burger</t>
  </si>
  <si>
    <t>VERA</t>
  </si>
  <si>
    <t>Heynstra√üe 33, Berlin, 13187</t>
  </si>
  <si>
    <t>Viet Kitchen</t>
  </si>
  <si>
    <t>Taco Loco / Cantina Mexicana</t>
  </si>
  <si>
    <t>Reinhardtstra√üe 37, Berlin, 10117</t>
  </si>
  <si>
    <t>Bottega No. 6</t>
  </si>
  <si>
    <t>Richardstra√üe 6, Berlin, 12043</t>
  </si>
  <si>
    <t>https://bottega-n6.eatbu.com/</t>
  </si>
  <si>
    <t>Bottegan6@gmail.com</t>
  </si>
  <si>
    <t>Solo Pizza</t>
  </si>
  <si>
    <t>Wilhelmstra√üe 147, Berlin, 13595</t>
  </si>
  <si>
    <t>http://solopizza.berlin</t>
  </si>
  <si>
    <t>+49 30 36433888</t>
  </si>
  <si>
    <t>Tisk</t>
  </si>
  <si>
    <t>Neckarstra√üe 12, Berlin, 12053</t>
  </si>
  <si>
    <t>https://www.tisk-speisekneipe.de/</t>
  </si>
  <si>
    <t>+49 30 398200000</t>
  </si>
  <si>
    <t>Falafel in Berlin</t>
  </si>
  <si>
    <t>Krossener Stra√üe 11a</t>
  </si>
  <si>
    <t>Ky≈çto</t>
  </si>
  <si>
    <t>https://www.kyoto-kaulsdorf.de/</t>
  </si>
  <si>
    <t>info@kyoto-kaulsdorf.de</t>
  </si>
  <si>
    <t>+49 30 62933237</t>
  </si>
  <si>
    <t>Top Tep</t>
  </si>
  <si>
    <t>Kollwitzstra√üe 48, Berlin, 10405</t>
  </si>
  <si>
    <t>VND ‚Äì Viet Next Door</t>
  </si>
  <si>
    <t>Schillerstra√üe 73, Berlin, 10627</t>
  </si>
  <si>
    <t>Bravo Mario 17</t>
  </si>
  <si>
    <t>Wartburgstra√üe 17, Berlin, 10825</t>
  </si>
  <si>
    <t>https://bravomario17.com/</t>
  </si>
  <si>
    <t>+49 30 64087247</t>
  </si>
  <si>
    <t>instagram: https://www.instagram.com/bravomario17_berlin/?hl=de</t>
  </si>
  <si>
    <t>Naardoun</t>
  </si>
  <si>
    <t>Windscheidstra√üe 27</t>
  </si>
  <si>
    <t>https://www.naardoun.de/</t>
  </si>
  <si>
    <t>+49 30 91574548</t>
  </si>
  <si>
    <t>Schankhalle Pfefferberg</t>
  </si>
  <si>
    <t>Sch√∂nhauser Allee 176, Berlin, 10119</t>
  </si>
  <si>
    <t>https://schankhalle-pfefferberg.de/braugasthaus/</t>
  </si>
  <si>
    <t>reservierung@schankhalle-pfefferberg.de</t>
  </si>
  <si>
    <t>facebook: https://www.facebook.com/schankhalle.pfefferberg, instagram: https://www.instagram.com/schankhalle_pfefferberg</t>
  </si>
  <si>
    <t>Y√∂re G√∂zleme &amp; MantiEvi</t>
  </si>
  <si>
    <t>+49 30 49910310</t>
  </si>
  <si>
    <t>la fiamma Restaurant &amp; Fr√ºhst√ºckshaus</t>
  </si>
  <si>
    <t>Goji</t>
  </si>
  <si>
    <t>Motzstra√üe 58, Berlin, 10777</t>
  </si>
  <si>
    <t>http://goji-berlin.de/</t>
  </si>
  <si>
    <t>58600766mail@goji-berlin.de</t>
  </si>
  <si>
    <t>+49 30 586 007 66</t>
  </si>
  <si>
    <t>facebook: http://facebook.com/gojiberlin, instagram: http://instagram.com/gojiberlin</t>
  </si>
  <si>
    <t>La Cantine d'Augusta</t>
  </si>
  <si>
    <t>https://www.lacantinedaugusta.com/</t>
  </si>
  <si>
    <t>info@lacantinedaugusta.com</t>
  </si>
  <si>
    <t>+49 30 96597617</t>
  </si>
  <si>
    <t>facebook: https://www.facebook.com/lacantinedaugusta, instagram: https://www.instagram.com/augustaberlin/?hl=fr</t>
  </si>
  <si>
    <t>Simsim</t>
  </si>
  <si>
    <t>Husemannstra√üe 1, Berlin, 10435</t>
  </si>
  <si>
    <t>https://simsim-restaurant.de/</t>
  </si>
  <si>
    <t>info@simsim-restaurant.com</t>
  </si>
  <si>
    <t>+49 30 48491035</t>
  </si>
  <si>
    <t>facebook: https://www.facebook.com/simsimberlin, instagram: https://www.instagram.com/simsim_berlin/</t>
  </si>
  <si>
    <t>Schlemmer-St√ºbchen</t>
  </si>
  <si>
    <t>https://kantine-schlemmerstuebchen.de/</t>
  </si>
  <si>
    <t>Bowl Kitchen</t>
  </si>
  <si>
    <t>Storkower Stra√üe 139B, Berlin, 10407</t>
  </si>
  <si>
    <t>https://bowl-kitchen-berlin.de/</t>
  </si>
  <si>
    <t>info@bowl-kitchen-berlin.de</t>
  </si>
  <si>
    <t>+49 162 7898686</t>
  </si>
  <si>
    <t>facebook: https://www.facebook.com/Bowl-Kitchen-100862065921102</t>
  </si>
  <si>
    <t>D'Angelo</t>
  </si>
  <si>
    <t>Kolonnenstra√üe 5</t>
  </si>
  <si>
    <t>+49 30 78718558</t>
  </si>
  <si>
    <t>Ristorante Nabil</t>
  </si>
  <si>
    <t>Bl√ºcherstra√üe 31</t>
  </si>
  <si>
    <t>Poesia</t>
  </si>
  <si>
    <t>http://ristorante-poesia.de</t>
  </si>
  <si>
    <t>Maultaschen Manufaktur</t>
  </si>
  <si>
    <t>Yorckstra√üe 45, Berlin, 10965</t>
  </si>
  <si>
    <t>https://www.maultaschen-manufaktur.de/</t>
  </si>
  <si>
    <t>+49 30 76724666</t>
  </si>
  <si>
    <t>Pico Teo</t>
  </si>
  <si>
    <t>Suarezstra√üe 61, Berlin</t>
  </si>
  <si>
    <t>Donath &amp; Roch</t>
  </si>
  <si>
    <t>https://www.donathroch.de/</t>
  </si>
  <si>
    <t>+49 30 75567794</t>
  </si>
  <si>
    <t>Little Ethiopia</t>
  </si>
  <si>
    <t>Gneisenaustra√üe 63, 10961</t>
  </si>
  <si>
    <t>+49 178 5000918</t>
  </si>
  <si>
    <t>Evin - Pizza &amp; Pasta</t>
  </si>
  <si>
    <t>Kurf√ºrstenstra√üe 101-104, Berlin, 10787</t>
  </si>
  <si>
    <t>NaNum</t>
  </si>
  <si>
    <t>Lindenstra√üe 90, Berlin, 10969</t>
  </si>
  <si>
    <t>https://www.nanumberlin.com/</t>
  </si>
  <si>
    <t>nanumgaeste@mailbox.org</t>
  </si>
  <si>
    <t>instagram: http://instagram.com/nanumberlin</t>
  </si>
  <si>
    <t>Honiggelb Berlin</t>
  </si>
  <si>
    <t>Turmstra√üe 10, Berlin, 10559</t>
  </si>
  <si>
    <t>http://www.honiggelb.berlin/</t>
  </si>
  <si>
    <t>mail@honiggelb.berlin</t>
  </si>
  <si>
    <t>facebook: https://www.facebook.com/honiggelbberlin, instagram: https://www.instagram.com/honiggelbberlin/</t>
  </si>
  <si>
    <t>Lampang House</t>
  </si>
  <si>
    <t>Pestalozzistra√üe 45, 10627</t>
  </si>
  <si>
    <t>https://lampang-house-berlin.de/</t>
  </si>
  <si>
    <t>+49 30 85607429</t>
  </si>
  <si>
    <t>Aanjal</t>
  </si>
  <si>
    <t>Oranienburger Stra√üe 92, Berlin, 13437</t>
  </si>
  <si>
    <t>https://www.aanjal.com/</t>
  </si>
  <si>
    <t>+49 30 41706572</t>
  </si>
  <si>
    <t>Dopamine Bench</t>
  </si>
  <si>
    <t>Olivo Berlin</t>
  </si>
  <si>
    <t>Wagner-R√©geny-Stra√üe 12, Berlin, 12489</t>
  </si>
  <si>
    <t>https://www.olivo.berlin/</t>
  </si>
  <si>
    <t>UhrINFO@OLIVO.BERLINIMPRESSUMDATENSCHUTZ</t>
  </si>
  <si>
    <t>Mori Mori</t>
  </si>
  <si>
    <t>Oranienstra√üe 201, Berlin, 10999</t>
  </si>
  <si>
    <t>info@morimoriramen.de</t>
  </si>
  <si>
    <t>Wraps Wraps</t>
  </si>
  <si>
    <t>Pappelallee 9, Berlin, 10437</t>
  </si>
  <si>
    <t>ERGO Gourmet</t>
  </si>
  <si>
    <t>Shiori</t>
  </si>
  <si>
    <t>Max-Beer-Stra√üe 13, 10119</t>
  </si>
  <si>
    <t>https://shioriberlin.com/</t>
  </si>
  <si>
    <t>instagram: https://www.instagram.com/shioriberlin/, facebook: https://www.facebook.com/shioriberlin/</t>
  </si>
  <si>
    <t>Han BBQ</t>
  </si>
  <si>
    <t>Kantstra√üe 120/121, Berlin, 10625</t>
  </si>
  <si>
    <t>https://www.hanbbq.de/</t>
  </si>
  <si>
    <t>G√§rtnerei</t>
  </si>
  <si>
    <t>Torstra√üe 179, Berlin, 10115</t>
  </si>
  <si>
    <t>https://www.gaertnerei-berlin.com/</t>
  </si>
  <si>
    <t>info@gaertnerei-berlin.com</t>
  </si>
  <si>
    <t>+49 30 24631450</t>
  </si>
  <si>
    <t>facebook: https://www.facebook.com/gaertnereiberlin/, instagram: https://www.instagram.com/gaertnerei_berlin/</t>
  </si>
  <si>
    <t>Langhans-Grill</t>
  </si>
  <si>
    <t>Langhansstra√üe 30, Berlin, 13086</t>
  </si>
  <si>
    <t>https://langhans-grillhaus.eatbu.com</t>
  </si>
  <si>
    <t>cem_lg@outlook.com</t>
  </si>
  <si>
    <t>+49 17641254757</t>
  </si>
  <si>
    <t>El Zarape</t>
  </si>
  <si>
    <t>Gerichtstra√üe 60, Berlin, 13347</t>
  </si>
  <si>
    <t>Iimori Ramen</t>
  </si>
  <si>
    <t>+49 30 33905188</t>
  </si>
  <si>
    <t>Niziplioglu Baklavari</t>
  </si>
  <si>
    <t>Schwedenstra√üe 3b, Berlin, 13357</t>
  </si>
  <si>
    <t>Grillhaus Buhara</t>
  </si>
  <si>
    <t>Kazoku Berlin</t>
  </si>
  <si>
    <t>Wegenerstra√üe 6, Berlin, 10713</t>
  </si>
  <si>
    <t>https://kazokuberlin.de/</t>
  </si>
  <si>
    <t>info@kazokuberlin.de</t>
  </si>
  <si>
    <t>Bey Simit Haus</t>
  </si>
  <si>
    <t>Bismarckstra√üe 66, Berlin, 10627</t>
  </si>
  <si>
    <t>+49 30 38308989</t>
  </si>
  <si>
    <t>Madloba</t>
  </si>
  <si>
    <t>Lietzenburger Stra√üe 15, Berlin, 10789</t>
  </si>
  <si>
    <t>https://www.madloba-lounge.de/</t>
  </si>
  <si>
    <t>+49 30 49962210</t>
  </si>
  <si>
    <t>facebook: https://www.facebook.com/madlobalounge, instagram: https://www.instagram.com/madlobalounge/</t>
  </si>
  <si>
    <t>ReoXXL</t>
  </si>
  <si>
    <t>Mildred-Harnack-Stra√üe 11, Berlin, 10243</t>
  </si>
  <si>
    <t>Sausalitos</t>
  </si>
  <si>
    <t>Pizza e pasta</t>
  </si>
  <si>
    <t>Shibuya</t>
  </si>
  <si>
    <t>Gallery Rooftop Bar</t>
  </si>
  <si>
    <t>M√ºhlenstra√üe 19, Berlin, 10243</t>
  </si>
  <si>
    <t>https://www.gallery-rooftopbar.berlin</t>
  </si>
  <si>
    <t>events@gallery-rooftopbar.berlin</t>
  </si>
  <si>
    <t>+49 30 2977206 908</t>
  </si>
  <si>
    <t>facebook: https://www.facebook.com/galleryrooftopbar/, instagram: https://www.instagram.com/galleryrooftopbar/</t>
  </si>
  <si>
    <t>Hans im Gl√ºck</t>
  </si>
  <si>
    <t>Hedwig-Wachenheim-Stra√üe 12, Berlin, 10243</t>
  </si>
  <si>
    <t>https://hansimglueck-burgergrill.de/burger-restaurant/berlin-mercedes-platz/</t>
  </si>
  <si>
    <t>mercedes-platz@hansimglueck-burgergrill.de</t>
  </si>
  <si>
    <t>instagram: https://www.instagram.com/hans_im_glueck_burgergrill, facebook: https://www.facebook.com/hansimglueckburgergrill/, tiktok: https://www.tiktok.com/@hansimglueck.burgergrill</t>
  </si>
  <si>
    <t>Tony Roma's</t>
  </si>
  <si>
    <t>Fanous</t>
  </si>
  <si>
    <t>D√ºppelstra√üe 38, Berlin, 12163</t>
  </si>
  <si>
    <t>+49 30 26577200</t>
  </si>
  <si>
    <t>Taco &amp; Gringo</t>
  </si>
  <si>
    <t>Rosenthaler Stra√üe 63-64, Berlin, 10119</t>
  </si>
  <si>
    <t>vegup</t>
  </si>
  <si>
    <t>M√∂ckernstra√üe 48, Berlin, 10963</t>
  </si>
  <si>
    <t>info@veguprestaurant.de</t>
  </si>
  <si>
    <t>+49 30 959988789</t>
  </si>
  <si>
    <t>Mensa ASH</t>
  </si>
  <si>
    <t>Alice-Salomon-Platz, Berlin, 12627</t>
  </si>
  <si>
    <t>https://www.stw.berlin/mensen/einrichtungen/mensa-alice-salomon-hs-hellersdorf.html</t>
  </si>
  <si>
    <t>+49 30 939397721</t>
  </si>
  <si>
    <t>Ryu</t>
  </si>
  <si>
    <t>Zehlinder</t>
  </si>
  <si>
    <t>Teltower Damm 266, Berlin, 14167</t>
  </si>
  <si>
    <t>Frannz Ausschank-Salon-Club</t>
  </si>
  <si>
    <t>Sch√∂nhauser Allee 36, Berlin, 10435</t>
  </si>
  <si>
    <t>https://frannz.eu/essen-im-ausschank/</t>
  </si>
  <si>
    <t>info@frannz.de</t>
  </si>
  <si>
    <t>+49 30 726279360</t>
  </si>
  <si>
    <t>instagram: https://www.instagram.com/frannz_club/, facebook: https://www.facebook.com/frannz, twitter: https://twitter.com/FrannzClub</t>
  </si>
  <si>
    <t>Berfin Grill</t>
  </si>
  <si>
    <t>Prenzlauer Allee 172</t>
  </si>
  <si>
    <t>Weilands</t>
  </si>
  <si>
    <t>Eichhornstra√üe 3, Berlin, 10785</t>
  </si>
  <si>
    <t>https://www.weilands-wellfood.de/</t>
  </si>
  <si>
    <t>info@weilands-wellfood.de</t>
  </si>
  <si>
    <t>instagram: https://www.instagram.com/weilands_wellfood/</t>
  </si>
  <si>
    <t>Sch√∂ne &amp; das Biest</t>
  </si>
  <si>
    <t>Mainzer Stra√üe 20, Berlin, 10247</t>
  </si>
  <si>
    <t>Merz Bistro</t>
  </si>
  <si>
    <t>Wilhelmine-Gemberg-Weg 6, Berlin, 10179</t>
  </si>
  <si>
    <t>+49 30 28099556</t>
  </si>
  <si>
    <t>Lang Van</t>
  </si>
  <si>
    <t>M√∂llendorffstra√üe 48, Berlin, 10367</t>
  </si>
  <si>
    <t>+49 1525 726 1298</t>
  </si>
  <si>
    <t>Bar Brass</t>
  </si>
  <si>
    <t>Am Spreebord 9, Berlin, 10589</t>
  </si>
  <si>
    <t>https://www.barbrass.de</t>
  </si>
  <si>
    <t>mail@barbrass.de</t>
  </si>
  <si>
    <t>facebook: https://www.facebook.com/barbrass, instagram: https://www.instagram.com/bar_brass</t>
  </si>
  <si>
    <t>Ganzo bei Bruno</t>
  </si>
  <si>
    <t>Friedrich-Wilhelm-Stra√üe 67, Berlin, 12103</t>
  </si>
  <si>
    <t>Papa Thai</t>
  </si>
  <si>
    <t>Kaiserdamm 89, Berlin, 14057</t>
  </si>
  <si>
    <t>https://www.quandoo.de/en/place/dinos-fusion-grill-86350?aid=63</t>
  </si>
  <si>
    <t>facebook: https://www.facebook.com/quandoo.de, twitter: https://twitter.com/quandoo_portal, instagram: https://www.instagram.com/quandoo_de</t>
  </si>
  <si>
    <t>Bella Pizza</t>
  </si>
  <si>
    <t>La Felicita</t>
  </si>
  <si>
    <t>Lorenzstr. 72, Berlin, 12209</t>
  </si>
  <si>
    <t>https://www.llafelicita.de</t>
  </si>
  <si>
    <t>+49 173 4444980</t>
  </si>
  <si>
    <t>Patakha</t>
  </si>
  <si>
    <t>Urbanstra√üe 31, Berlin, 10967</t>
  </si>
  <si>
    <t>Unka K√∂fteburger</t>
  </si>
  <si>
    <t>Wrangelstra√üe 57</t>
  </si>
  <si>
    <t>Liu Chengdu Weidao</t>
  </si>
  <si>
    <t>Kronenstra√üe 72, Berlin, 10117</t>
  </si>
  <si>
    <t>https://chengduweidao.de/</t>
  </si>
  <si>
    <t>info@chengduweidao.de</t>
  </si>
  <si>
    <t>+49 178 6684572</t>
  </si>
  <si>
    <t>instagram: https://www.instagram.com/liuchengduweidao/?hl=de, tiktok: https://www.tiktok.com/@liuchengduweidao</t>
  </si>
  <si>
    <t>Dawat</t>
  </si>
  <si>
    <t>Celsiusstra√üe 56, Berlin, 12207</t>
  </si>
  <si>
    <t>http://www.dawat-indische-kueche.de/</t>
  </si>
  <si>
    <t>indienguy-berlin@gmx.de</t>
  </si>
  <si>
    <t>Taste of Samarkand</t>
  </si>
  <si>
    <t>Oranienstra√üe 187</t>
  </si>
  <si>
    <t>Ngon</t>
  </si>
  <si>
    <t>https://www.ngonberlin.de/</t>
  </si>
  <si>
    <t>info@ngonberlin.de</t>
  </si>
  <si>
    <t>+49 174 1923359</t>
  </si>
  <si>
    <t>facebook: https://www.facebook.com/ngonberlin/, instagram: https://www.instagram.com/ngonrestaurant.berlin/</t>
  </si>
  <si>
    <t>Fugger Imbiss</t>
  </si>
  <si>
    <t>Martin-Luther-Stra√üe 12, Berlin, 10777</t>
  </si>
  <si>
    <t>Yasmin</t>
  </si>
  <si>
    <t>Vietland</t>
  </si>
  <si>
    <t>Holteistra√üe 13, Berlin, 10245</t>
  </si>
  <si>
    <t>https://vietland.de/</t>
  </si>
  <si>
    <t>info@vietland.deTel</t>
  </si>
  <si>
    <t>Gogi Haus</t>
  </si>
  <si>
    <t>Skalitzer Stra√üe 81, Berlin, 10997</t>
  </si>
  <si>
    <t>Ursprung</t>
  </si>
  <si>
    <t>https://www.ursprung-berlin.com/</t>
  </si>
  <si>
    <t>instagram: https://www.instagram.com/ursprung_berlin/</t>
  </si>
  <si>
    <t>Domian</t>
  </si>
  <si>
    <t>Torweg 148, Berlin, 13591</t>
  </si>
  <si>
    <t>https://domian-grill-sushi.de/</t>
  </si>
  <si>
    <t>+49 30 28702075</t>
  </si>
  <si>
    <t>Paolo Pinkel</t>
  </si>
  <si>
    <t>Karl-Marx-Stra√üe 55, Berlin, 12043</t>
  </si>
  <si>
    <t>https://paolopinkel.berlin/</t>
  </si>
  <si>
    <t>hi@paolopinkel.berlin</t>
  </si>
  <si>
    <t>instagram: https://www.instagram.com/paolopinkelberlin/, facebook: https://www.facebook.com/paolopinkelberlin/</t>
  </si>
  <si>
    <t>Lucky Sushi</t>
  </si>
  <si>
    <t>Mariendorfer Damm 410, Berlin, 12107</t>
  </si>
  <si>
    <t>+49 30 74079389</t>
  </si>
  <si>
    <t>Mavericks</t>
  </si>
  <si>
    <t>Landsberger Allee 106, Berlin</t>
  </si>
  <si>
    <t>Hanabi</t>
  </si>
  <si>
    <t>Rudower Stra√üe 156A, Berlin, 12351</t>
  </si>
  <si>
    <t>http://hanabiweb.de/</t>
  </si>
  <si>
    <t>+49 30 6482 8301</t>
  </si>
  <si>
    <t>instagram: https://www.instagram.com/hanabijapanberlin/</t>
  </si>
  <si>
    <t>M√∂max-Restaurant</t>
  </si>
  <si>
    <t>Schnellerstra√üe 132-136, Berlin, 12439</t>
  </si>
  <si>
    <t>YiLa Nudel</t>
  </si>
  <si>
    <t>Liegnitzer Stra√üe 30, Berlin, 10999</t>
  </si>
  <si>
    <t>Lina &amp; Liana</t>
  </si>
  <si>
    <t>Regattastra√üe 36, Berlin, 12527</t>
  </si>
  <si>
    <t>Thai Lotus</t>
  </si>
  <si>
    <t>Hansastra√üe 69, Berlin, 13088</t>
  </si>
  <si>
    <t>Simply Asia</t>
  </si>
  <si>
    <t>B√∂lschestra√üe 121, Berlin, 12587</t>
  </si>
  <si>
    <t>http://www.simplyasia.de</t>
  </si>
  <si>
    <t>Kaffee Liebig</t>
  </si>
  <si>
    <t>Regattastra√üe 158, Berlin, 12527</t>
  </si>
  <si>
    <t>http://www.kaffee-liebig.de/</t>
  </si>
  <si>
    <t>info@kaffee-liebig.de</t>
  </si>
  <si>
    <t>+49 30 67820936</t>
  </si>
  <si>
    <t>Le Due Famiglie</t>
  </si>
  <si>
    <t>J√ºdenstra√üe 28, Berlin, 13597</t>
  </si>
  <si>
    <t>Cheers Kiez Pizza</t>
  </si>
  <si>
    <t>Choriner Stra√üe 37, Berlin, 10435</t>
  </si>
  <si>
    <t>https://www.cheerskiezpizza.com</t>
  </si>
  <si>
    <t>cheerspizza.berlin@gmail.comImpressumDatenschutz</t>
  </si>
  <si>
    <t>instagram: https://www.instagram.com/cheerskiezpizza/</t>
  </si>
  <si>
    <t>Kantine Malm√∂er Stra√üe</t>
  </si>
  <si>
    <t>https://www.bsr.de/betriebsgastronomie-25511.php?currRCLocation=079b0531-7a76-43de-a8cc-ac43d555342d&amp;view=list</t>
  </si>
  <si>
    <t>Porta Nova Berlin</t>
  </si>
  <si>
    <t>Steglitzer Damm 1, Berlin, 12169</t>
  </si>
  <si>
    <t>Phoenix China Restaurant</t>
  </si>
  <si>
    <t>Greifswalder Stra√üe 90, Berlin, 10409</t>
  </si>
  <si>
    <t>http://www.restaurant-phoenix.com/</t>
  </si>
  <si>
    <t>Hieu Ha</t>
  </si>
  <si>
    <t>Siemensstra√üe 40, Berlin, 12247</t>
  </si>
  <si>
    <t>https://hieuharestaurant.de/</t>
  </si>
  <si>
    <t>+49 30 41407768</t>
  </si>
  <si>
    <t>Kisso</t>
  </si>
  <si>
    <t>Rheinstra√üe 44, Berlin, 12161</t>
  </si>
  <si>
    <t>https://www.kisso-sushi.de/</t>
  </si>
  <si>
    <t>+49 30 85757885</t>
  </si>
  <si>
    <t>facebook: https://www.facebook.com/KISSOBERLIN/, instagram: http://instagram.com/kisso.restaurant</t>
  </si>
  <si>
    <t>Azzam</t>
  </si>
  <si>
    <t>Sonnenallee 54, Berlin, 12045</t>
  </si>
  <si>
    <t>restaurant-azzam@hotmail.com</t>
  </si>
  <si>
    <t>+49 30 30131541</t>
  </si>
  <si>
    <t>Ki Kuriya</t>
  </si>
  <si>
    <t>Hufelandstra√üe 14, Berlin, 10407</t>
  </si>
  <si>
    <t>http://ki-restaurant.berlin/</t>
  </si>
  <si>
    <t>Johann P.</t>
  </si>
  <si>
    <t>Meet Saigon</t>
  </si>
  <si>
    <t>Franz-Ehrlich-Stra√üe 5, Berlin, 12489</t>
  </si>
  <si>
    <t>https://www.meet-saigon.berlin/</t>
  </si>
  <si>
    <t>+49 30 25327967</t>
  </si>
  <si>
    <t>facebook: https://www.facebook.com/meetsaigon.restaurant</t>
  </si>
  <si>
    <t>Mezze Bar MontRaw</t>
  </si>
  <si>
    <t>Stra√üburger Stra√üe 33, Berlin, 10405</t>
  </si>
  <si>
    <t>Tre Amici</t>
  </si>
  <si>
    <t>Neptunstra√üe 30, Berlin, 13409</t>
  </si>
  <si>
    <t>+49 30 49913816</t>
  </si>
  <si>
    <t>May Noodles</t>
  </si>
  <si>
    <t>Boxhagener Stra√üe 50, Berlin, 10245</t>
  </si>
  <si>
    <t>https://www.maynoodles.de</t>
  </si>
  <si>
    <t>+49 162 2748920</t>
  </si>
  <si>
    <t>instagram: https://instagram.com/may__noodles</t>
  </si>
  <si>
    <t>Birkenhain</t>
  </si>
  <si>
    <t>Neue Bahnhofstra√üe 23, Berlin, 10245</t>
  </si>
  <si>
    <t>Maison Dang</t>
  </si>
  <si>
    <t>Tucholskystra√üe 34</t>
  </si>
  <si>
    <t>Rotbohnen</t>
  </si>
  <si>
    <t>Boxhagener Stra√üe 55, Berlin, 10245</t>
  </si>
  <si>
    <t>https://rotbohnen.de</t>
  </si>
  <si>
    <t>Prism</t>
  </si>
  <si>
    <t>Fritschestra√üe 48, Berlin, 10627</t>
  </si>
  <si>
    <t>https://www.prismberlin.de/</t>
  </si>
  <si>
    <t>reservierung@prismberlin.de</t>
  </si>
  <si>
    <t>+49 30 54710861</t>
  </si>
  <si>
    <t>Sushi For Life</t>
  </si>
  <si>
    <t>Bismarckstra√üe 69, Berlin, 10627</t>
  </si>
  <si>
    <t>M√©rida</t>
  </si>
  <si>
    <t>https://www.meridarestaurant.de/</t>
  </si>
  <si>
    <t>+49 30 30323268</t>
  </si>
  <si>
    <t>Chon Thong</t>
  </si>
  <si>
    <t>Kantstra√üe 53, Berlin, 10627</t>
  </si>
  <si>
    <t>https://www.chonthong.com/</t>
  </si>
  <si>
    <t>ChonThongberlin@gmail.comBack</t>
  </si>
  <si>
    <t>+49 30 45086703</t>
  </si>
  <si>
    <t>Balli Restaurant</t>
  </si>
  <si>
    <t>Sonnenallee 132, Berlin</t>
  </si>
  <si>
    <t>+49 30 6878764</t>
  </si>
  <si>
    <t>Guo Guo Xiang</t>
  </si>
  <si>
    <t>Breitenbachplatz 8, Berlin, 14195</t>
  </si>
  <si>
    <t>https://www.ggx-restaurant.de</t>
  </si>
  <si>
    <t>+49 30 4373 6698</t>
  </si>
  <si>
    <t>East Tokyo Restaurant</t>
  </si>
  <si>
    <t>Farmington Avenue 1135, Berlin, 06037</t>
  </si>
  <si>
    <t>https://www.easttokyoct.com/</t>
  </si>
  <si>
    <t>Futura Neapolitan Pizza</t>
  </si>
  <si>
    <t>B√§nschstra√üe 91, Berlin, 10247</t>
  </si>
  <si>
    <t>http://www.futurapizza.com/</t>
  </si>
  <si>
    <t>info@futurapizza.com</t>
  </si>
  <si>
    <t>+49 30 98394408</t>
  </si>
  <si>
    <t>facebook: https://www.facebook.com/futuraneapolitanpizza/, instagram: https://www.instagram.com/futuraneapolitanpizza/</t>
  </si>
  <si>
    <t>Le Quartier - Bistronomie</t>
  </si>
  <si>
    <t>Gotenstra√üe 51, Berlin, 10829</t>
  </si>
  <si>
    <t>https://le-quartier-bistronomie.de/</t>
  </si>
  <si>
    <t>facebook: https://www.facebook.com/profile.php?id=61556572667370, instagram: https://www.instagram.com/le.quartier.berlin?igsh=MW11a3BoZ2tjazU5eg%3D%3D&amp;utm_source=qr, linkedin: https://www.linkedin.com/company/le-quartier-bistronomie/%20</t>
  </si>
  <si>
    <t>Etzade</t>
  </si>
  <si>
    <t>Hermannstra√üe 120, Berlin, 12051</t>
  </si>
  <si>
    <t>Casa Italiana</t>
  </si>
  <si>
    <t>B√∂lschestra√üe 51, Berlin, 12587</t>
  </si>
  <si>
    <t>https://www.casa-italiana-berlin.de/</t>
  </si>
  <si>
    <t>+49 65666040</t>
  </si>
  <si>
    <t>Pasta Laden</t>
  </si>
  <si>
    <t>Langhansstra√üe 149, Berlin, 13086</t>
  </si>
  <si>
    <t>http://www.pastaladen.com/</t>
  </si>
  <si>
    <t>info@pastaladen.com</t>
  </si>
  <si>
    <t>+4930 96068050</t>
  </si>
  <si>
    <t>facebook: https://www.facebook.com/Pastaladen-1428121824074022/</t>
  </si>
  <si>
    <t>Cor√©en</t>
  </si>
  <si>
    <t>Sch√∂neberger Weltlaterne</t>
  </si>
  <si>
    <t>Motzstra√üe 59, Berlin, 10777</t>
  </si>
  <si>
    <t>http://www.schoeneberger-weltlaterne.de/</t>
  </si>
  <si>
    <t>schoeneberger_weltlaterne@yahoo.de</t>
  </si>
  <si>
    <t>+49 30 21969861</t>
  </si>
  <si>
    <t>facebook: https://www.facebook.com/schoenebergerweltlaterne/</t>
  </si>
  <si>
    <t>Lagalante</t>
  </si>
  <si>
    <t>Grunewaldstra√üe 82, Berlin, 10823</t>
  </si>
  <si>
    <t>http://www.lagalante-restaurant.de/</t>
  </si>
  <si>
    <t>info@lagalante-ristorante.de</t>
  </si>
  <si>
    <t>+49 30 98375296</t>
  </si>
  <si>
    <t>instagram: https://www.instagram.com/lagalante_ristorante/</t>
  </si>
  <si>
    <t>Arata</t>
  </si>
  <si>
    <t>Torstra√üe 223</t>
  </si>
  <si>
    <t>https://arata.eatbu.com/</t>
  </si>
  <si>
    <t>Phaeton</t>
  </si>
  <si>
    <t>Charlottenstra√üe 8, Berlin, 13156</t>
  </si>
  <si>
    <t>http://www.gr-restaurant-phaeton.de/</t>
  </si>
  <si>
    <t>nikos@gr-restaurant-phaeton.de</t>
  </si>
  <si>
    <t>+49 30 4762380</t>
  </si>
  <si>
    <t>Curry Meister</t>
  </si>
  <si>
    <t>Cargo Gastronomica</t>
  </si>
  <si>
    <t>Pilz Imbiss</t>
  </si>
  <si>
    <t>Wildenbruchstra√üe 87, Berlin, 12045</t>
  </si>
  <si>
    <t>Da Michelino</t>
  </si>
  <si>
    <t>Falkentaler Steig 128, Berlin, 13465</t>
  </si>
  <si>
    <t>Nguyen &amp; Friends</t>
  </si>
  <si>
    <t>Maybachufer 1, Berlin, 12047</t>
  </si>
  <si>
    <t>http://www.maky.berlin/</t>
  </si>
  <si>
    <t>+49 30 69533872</t>
  </si>
  <si>
    <t>Saigon Alley</t>
  </si>
  <si>
    <t>Leberstra√üe 6, Berlin, 10829</t>
  </si>
  <si>
    <t>https://www.saigon-alley.de/</t>
  </si>
  <si>
    <t>+49 30 84424795</t>
  </si>
  <si>
    <t>Ege Balik</t>
  </si>
  <si>
    <t>Hermannstra√üe 117, Berlin, 12051</t>
  </si>
  <si>
    <t>Manifattura del Gusto</t>
  </si>
  <si>
    <t>Rathenaustra√üe 23, Berlin, 12459</t>
  </si>
  <si>
    <t>https://manifatturadelgusto.de/</t>
  </si>
  <si>
    <t>lamanifatturadelgusto.berlin@gmail.com</t>
  </si>
  <si>
    <t>Plancha</t>
  </si>
  <si>
    <t>https://www.plancha-steakhaus-staaken.de/</t>
  </si>
  <si>
    <t>+49 30 36729237</t>
  </si>
  <si>
    <t>Allan's Breakfast Club</t>
  </si>
  <si>
    <t>Rykestra√üe 13, Berlin, 10405</t>
  </si>
  <si>
    <t>allanbourbon@live.com</t>
  </si>
  <si>
    <t>+49 30 23925134</t>
  </si>
  <si>
    <t>La Miro</t>
  </si>
  <si>
    <t>Altes Kiezkneipchen</t>
  </si>
  <si>
    <t>Yayla</t>
  </si>
  <si>
    <t>Perleberger Stra√üe 24, 10559</t>
  </si>
  <si>
    <t>Sk√•l</t>
  </si>
  <si>
    <t>Krumme Stra√üe 39, Berlin, 10627</t>
  </si>
  <si>
    <t>+49 30 39888551</t>
  </si>
  <si>
    <t>Nepomuk</t>
  </si>
  <si>
    <t>Grunewaldstra√üe 6, Berlin, 12165</t>
  </si>
  <si>
    <t>https://nepomuk.restaurant/</t>
  </si>
  <si>
    <t>bestellen@nepomuk.restaurant</t>
  </si>
  <si>
    <t>+49 30 55600882</t>
  </si>
  <si>
    <t>Rocket + Basil</t>
  </si>
  <si>
    <t>L√ºtzowstra√üe 22, Berlin, 10785</t>
  </si>
  <si>
    <t>https://www.rocketandbasil.com/</t>
  </si>
  <si>
    <t>hello@rocketandbasil.comp</t>
  </si>
  <si>
    <t>+49 176 61767845</t>
  </si>
  <si>
    <t>instagram: http://instagram.com/rocket_and_basil, facebook: https://www.facebook.com/RocketandBasil</t>
  </si>
  <si>
    <t>Kaibar</t>
  </si>
  <si>
    <t>Gro√üe Hamburger Stra√üe 32, Berlin, 10115</t>
  </si>
  <si>
    <t>La Trinacria</t>
  </si>
  <si>
    <t>Secret Garden - Vegan Sushi</t>
  </si>
  <si>
    <t>Warschauer Stra√üe 33, Berlin, 10243</t>
  </si>
  <si>
    <t>https://www.secretgardenberlin.com/</t>
  </si>
  <si>
    <t>facebook: http://www.facebook.com/Secret-Garden-Vegan-Sushi-367842860651770/, instagram: https://instagram.com/secretgarden_vegansushi</t>
  </si>
  <si>
    <t>Tagesbar</t>
  </si>
  <si>
    <t>Spilstra√üe 10, Berlin, 14195</t>
  </si>
  <si>
    <t>Grand Tang</t>
  </si>
  <si>
    <t>Prenzlauer Allee 204, Berlin, 10405</t>
  </si>
  <si>
    <t>Sto Steki</t>
  </si>
  <si>
    <t>Hasenheide 18, Berlin, 10967</t>
  </si>
  <si>
    <t>PieroGo</t>
  </si>
  <si>
    <t>K√∂nigstra√üe 4a</t>
  </si>
  <si>
    <t>https://www.pierogo-berlin.de/</t>
  </si>
  <si>
    <t>+49 1525 3803284</t>
  </si>
  <si>
    <t>Pizza Palast</t>
  </si>
  <si>
    <t>Joseph</t>
  </si>
  <si>
    <t>Friedrichstra√üe 113, Berlin, 10117</t>
  </si>
  <si>
    <t>https://www.amanogroup.de/en/eat-and-drink/joseph/</t>
  </si>
  <si>
    <t>info@josephberlin.de</t>
  </si>
  <si>
    <t>Gokan</t>
  </si>
  <si>
    <t>Leberstra√üe 9, Berlin, 10829</t>
  </si>
  <si>
    <t>https://www.gokanberlin.de/</t>
  </si>
  <si>
    <t>info@gokanberlin.de</t>
  </si>
  <si>
    <t>+49 30 6391119</t>
  </si>
  <si>
    <t>Trancina</t>
  </si>
  <si>
    <t>Stargarder Stra√üe 39, Berlin, 10437</t>
  </si>
  <si>
    <t>+49 30 98399166</t>
  </si>
  <si>
    <t>Swadesh</t>
  </si>
  <si>
    <t>Maa√üenstra√üe 5</t>
  </si>
  <si>
    <t>/see you/ CU</t>
  </si>
  <si>
    <t>Grimmstra√üe 21, Berlin, 10967</t>
  </si>
  <si>
    <t>https://curestaurant.de/</t>
  </si>
  <si>
    <t>instagram: https://www.instagram.com/cu.restaurant.berlin/</t>
  </si>
  <si>
    <t>Daily by Dallmayr</t>
  </si>
  <si>
    <t>Unter den Linden 21, Berlin, 10117</t>
  </si>
  <si>
    <t>Tiger Club</t>
  </si>
  <si>
    <t>Knesebeckstra√üe 99, Berlin, 10623</t>
  </si>
  <si>
    <t>https://tiger-club.eatbu.com/</t>
  </si>
  <si>
    <t>tiger-club@gmx.de</t>
  </si>
  <si>
    <t>+49 30 20077303</t>
  </si>
  <si>
    <t>Bavaria Berlin</t>
  </si>
  <si>
    <t>Hannah-Arendt-Stra√üe 3</t>
  </si>
  <si>
    <t>Waldesgrund</t>
  </si>
  <si>
    <t>https://www.kga-waldesgrund.de/</t>
  </si>
  <si>
    <t>instagram: https://www.instagram.com/kga_waldesgrund/, facebook: https://www.facebook.com/profile.php?id=100054468189822</t>
  </si>
  <si>
    <t>Seven Moons Thai Cuisine</t>
  </si>
  <si>
    <t>Farmington Avenue 1128, Berlin, 06037</t>
  </si>
  <si>
    <t>https://www.sevenmoons-berlinct.com/</t>
  </si>
  <si>
    <t>laoseng1@yahoo.com</t>
  </si>
  <si>
    <t>Pizzah√ºtte</t>
  </si>
  <si>
    <t>Kopenhagener Stra√üe 17, Berlin, 10437</t>
  </si>
  <si>
    <t>https://www.kohlenquelle.de/pizzah%C3%BCtte</t>
  </si>
  <si>
    <t>+49 30 55577584</t>
  </si>
  <si>
    <t>Stadtsalat</t>
  </si>
  <si>
    <t>Caf√© Nullpunkt</t>
  </si>
  <si>
    <t>Friedrichstra√üe 23b, Berlin, 10969</t>
  </si>
  <si>
    <t>https://cafenullpunkt.com/</t>
  </si>
  <si>
    <t>+49 30 84710923</t>
  </si>
  <si>
    <t>Cordoba</t>
  </si>
  <si>
    <t>Danckelmannstra√üe 1, Berlin, 14059</t>
  </si>
  <si>
    <t>http://www.cordobarestaurant.de</t>
  </si>
  <si>
    <t>33007028ajdari171@gmail.comSteakhouse</t>
  </si>
  <si>
    <t>+49 30 33007028</t>
  </si>
  <si>
    <t>Alma Mia</t>
  </si>
  <si>
    <t>https://alma-mia.com</t>
  </si>
  <si>
    <t>info@alma-mia.comSteuernummer</t>
  </si>
  <si>
    <t>facebook: https://www.facebook.com/login.php?skip_api_login=1&amp;api_key=966242223397117&amp;signed_next=1&amp;next=https%3A%2F%2Fwww.facebook.com%2Fsharer%2Fsharer.php%3Fu%3Dhttps%253A%252F%252Fwww.alma-mia.com%252FHOME_eng.html&amp;cancel_url=https%3A%2F%2Fwww.facebook.com%2Fdialog%2Fclose_window%2F%3Fapp_id%3D966242223397117%26connect%3D0%23_%3D_&amp;display=popup&amp;locale=de_DE, instagram: https://www.instagram.com/alma.mia.berlin/</t>
  </si>
  <si>
    <t>Ogam Cupbap</t>
  </si>
  <si>
    <t>Emser Stra√üe 40, Berlin, 12051</t>
  </si>
  <si>
    <t>Kismet</t>
  </si>
  <si>
    <t>Desi Delicacies</t>
  </si>
  <si>
    <t>Akazienstra√üe 24, Berlin, 10823</t>
  </si>
  <si>
    <t>Caf√© 4YOU</t>
  </si>
  <si>
    <t>Anton-Wilhelm-Amo-Stra√üe 12, Berlin, 10117</t>
  </si>
  <si>
    <t>http://www.cafe4you-berlin.de</t>
  </si>
  <si>
    <t>+49 30 48825509</t>
  </si>
  <si>
    <t>Viet Checkpoint</t>
  </si>
  <si>
    <t>Zimmerstra√üe 23, Berlin, 10969</t>
  </si>
  <si>
    <t>Holy Everest</t>
  </si>
  <si>
    <t>Gleimstra√üe 54</t>
  </si>
  <si>
    <t>https://holyeverest.de/</t>
  </si>
  <si>
    <t>reservierung@holyeverest.de</t>
  </si>
  <si>
    <t>+49 30 26300423</t>
  </si>
  <si>
    <t>Kebap with Attitude</t>
  </si>
  <si>
    <t>Gipsstra√üe 2, Berlin, 10119</t>
  </si>
  <si>
    <t>https://www.eatkwa.de/</t>
  </si>
  <si>
    <t>+49 30 35529966</t>
  </si>
  <si>
    <t>facebook: https://www.facebook.com/kebapwithattitude/, instagram: https://www.instagram.com/kebapwithattitude/, linkedin: https://www.linkedin.com/company/kebap-with-attitude, tiktok: https://www.tiktok.com/@kebapwithattitude, twitter: https://twitter.com/KebapWith</t>
  </si>
  <si>
    <t>Trarbacher Klause</t>
  </si>
  <si>
    <t>Trarbacher Stra√üe 2, Berlin, 13088</t>
  </si>
  <si>
    <t>http://www.trarbacher-klause.de/</t>
  </si>
  <si>
    <t>+49 30 92092353</t>
  </si>
  <si>
    <t>Miss Hanoi</t>
  </si>
  <si>
    <t>Oppelner Stra√üe 24, Berlin, 10997</t>
  </si>
  <si>
    <t>https://www.xuaquan.de/</t>
  </si>
  <si>
    <t>hello@xuaquan.de</t>
  </si>
  <si>
    <t>+49 30 54978886</t>
  </si>
  <si>
    <t>Goldene-Schnitzel</t>
  </si>
  <si>
    <t>Tamara-Danz-Stra√üe 11, Berlin, 10243</t>
  </si>
  <si>
    <t>https://www.eastsidemall.de/gastronomie/goldene-schnitzel/</t>
  </si>
  <si>
    <t>+49 30 26109000</t>
  </si>
  <si>
    <t>instagram: https://www.instagram.com/eastsidemall_berlin/, linkedin: https://www.linkedin.com/company/eastsidemall/</t>
  </si>
  <si>
    <t>Remi</t>
  </si>
  <si>
    <t>Torstra√üe 48, Berlin, 10119</t>
  </si>
  <si>
    <t>https://remi-berlin.de/</t>
  </si>
  <si>
    <t>info@remi-berlin.de</t>
  </si>
  <si>
    <t>instagram: https://www.instagram.com/p/DBiqn3zM-F5/</t>
  </si>
  <si>
    <t>Cu29</t>
  </si>
  <si>
    <t>Bodestra√üe 1-3, Berlin, 10178</t>
  </si>
  <si>
    <t>http://www.cu-berlin.de/</t>
  </si>
  <si>
    <t>+49 30 959985772</t>
  </si>
  <si>
    <t>instagram: https://www.instagram.com/_cu29_/, facebook: https://www.facebook.com/cu29berlin/</t>
  </si>
  <si>
    <t>Partenope #081</t>
  </si>
  <si>
    <t>Simon-Dach-Stra√üe 39, Berlin, 10245</t>
  </si>
  <si>
    <t>https://partenope081.com</t>
  </si>
  <si>
    <t>Restaurant Pho Dang Kladow</t>
  </si>
  <si>
    <t>Sakrower Landstra√üe 36, Berlin, 14089</t>
  </si>
  <si>
    <t>https://phodang-restaurant-kladow.de/</t>
  </si>
  <si>
    <t>mail@phodang.de</t>
  </si>
  <si>
    <t>+49 30 62201312</t>
  </si>
  <si>
    <t>Stumari</t>
  </si>
  <si>
    <t>Gustav-M√ºller-Stra√üe 1, Berlin, 10829</t>
  </si>
  <si>
    <t>http://stumari.de/</t>
  </si>
  <si>
    <t>info@stumari.de</t>
  </si>
  <si>
    <t>+49 30 55246600</t>
  </si>
  <si>
    <t>instagram: https://www.instagram.com/stumari_restaurant/</t>
  </si>
  <si>
    <t>Alaturka</t>
  </si>
  <si>
    <t>Reinickendorfer Stra√üe 109, Berlin, 13347</t>
  </si>
  <si>
    <t>Fatma &amp; Frieda</t>
  </si>
  <si>
    <t>Reuterstra√üe 75, Berlin, 12043</t>
  </si>
  <si>
    <t>Zentrale 31</t>
  </si>
  <si>
    <t>Karl-Marx-Allee 31, Berlin, 10178</t>
  </si>
  <si>
    <t>https://www.faktura-berlin.de/kantinen/zentral-31</t>
  </si>
  <si>
    <t>Papadam</t>
  </si>
  <si>
    <t>Tiato</t>
  </si>
  <si>
    <t>Potemkin</t>
  </si>
  <si>
    <t>Viktoria-Luise-Platz 5, Berlin, 10777</t>
  </si>
  <si>
    <t>Sons of Mana</t>
  </si>
  <si>
    <t>Friedrichstra√üe 67-70, Berlin, 10117</t>
  </si>
  <si>
    <t>https://www.sonsofmana-quartier-205.de/</t>
  </si>
  <si>
    <t>q205@sonsofmana.de</t>
  </si>
  <si>
    <t>+49 30 800988410</t>
  </si>
  <si>
    <t>Restaurant im Futurium</t>
  </si>
  <si>
    <t>Alexanderufer 2, 10117</t>
  </si>
  <si>
    <t>https://futurium.de/de/restaurant</t>
  </si>
  <si>
    <t>gastgeber@restaurant-im-futurium.de</t>
  </si>
  <si>
    <t>facebook: https://www.facebook.com/sharer.php?t=Restaurant im Futurium | Futurium&amp;u=https://futurium.de/de/restaurant, instagram: https://www.instagram.com/futuriumd</t>
  </si>
  <si>
    <t>The Catch</t>
  </si>
  <si>
    <t>Viti</t>
  </si>
  <si>
    <t>Wilhelmstra√üe 94, Berlin, 10117</t>
  </si>
  <si>
    <t>https://www.viti-restaurant.de/</t>
  </si>
  <si>
    <t>MinHoi Asian Food &amp; Sushi</t>
  </si>
  <si>
    <t>Vino e Cucina</t>
  </si>
  <si>
    <t>Kreuzbergstra√üe 77, Berlin, 10965</t>
  </si>
  <si>
    <t>https://vinoecucina.berlin/</t>
  </si>
  <si>
    <t>instagram: https://www.instagram.com/vinoecucinaberlin/, facebook: https://www.facebook.com/vinoecucinaberlin/</t>
  </si>
  <si>
    <t>DaLuca</t>
  </si>
  <si>
    <t>https://trattoria-daluca.de/</t>
  </si>
  <si>
    <t>info@trattoria-daluca.de</t>
  </si>
  <si>
    <t>+49 30 88704675</t>
  </si>
  <si>
    <t>Sunshine</t>
  </si>
  <si>
    <t>Falckensteinstra√üe 5, Berlin, 10997</t>
  </si>
  <si>
    <t>https://www.sunshine-vegan.com</t>
  </si>
  <si>
    <t>+49 30 61507600</t>
  </si>
  <si>
    <t>Mister Subs</t>
  </si>
  <si>
    <t>http://www.mister-subs.de</t>
  </si>
  <si>
    <t>edwinrusi@aol.com</t>
  </si>
  <si>
    <t>+49 30 6814095</t>
  </si>
  <si>
    <t>Ausspanne</t>
  </si>
  <si>
    <t>Kastanienallee 65, Berlin, 10119</t>
  </si>
  <si>
    <t>http://www.deutsches-restaurant.berlin/</t>
  </si>
  <si>
    <t>ausspanne@kastanienhof.berlin</t>
  </si>
  <si>
    <t>Kyo</t>
  </si>
  <si>
    <t>Kastanienallee 23, Berlin, 10435</t>
  </si>
  <si>
    <t>http://www.kyo-grill.de/</t>
  </si>
  <si>
    <t>Element Five</t>
  </si>
  <si>
    <t>Skalitzer Stra√üe 46b, Berlin, 10997</t>
  </si>
  <si>
    <t>A Cabana</t>
  </si>
  <si>
    <t>Hufelandstra√üe 15, 10407</t>
  </si>
  <si>
    <t>https://www.acabana.de/</t>
  </si>
  <si>
    <t>Cay Tre Quan</t>
  </si>
  <si>
    <t>Dong A</t>
  </si>
  <si>
    <t>Waidmannsluster Damm 168, Berlin, 13469</t>
  </si>
  <si>
    <t>https://donganh-restaurant.de</t>
  </si>
  <si>
    <t>Polnisches Bistro</t>
  </si>
  <si>
    <t>Tempelhofer Damm 198-200, Berlin, 12099</t>
  </si>
  <si>
    <t>https://polnisches-bistro-berlin.de</t>
  </si>
  <si>
    <t>Viet-Cocos</t>
  </si>
  <si>
    <t>Mariendorfer Damm 292-296, Berlin, 12107</t>
  </si>
  <si>
    <t>https://www.vietcocos.de</t>
  </si>
  <si>
    <t>Caf√© la Porte - die drei Engel</t>
  </si>
  <si>
    <t>Erich-Weinert-Stra√üe 129, Berlin, 10409</t>
  </si>
  <si>
    <t>Chungking Noodles</t>
  </si>
  <si>
    <t>Reichenberger Stra√üe 35</t>
  </si>
  <si>
    <t>Wildes Fr√§ulein</t>
  </si>
  <si>
    <t>Hilda-Geiringer-Weg 6, Berlin, 10557</t>
  </si>
  <si>
    <t>https://wildes-fraeulein.de/</t>
  </si>
  <si>
    <t>humboldhafen@wildes-fraeulein.de</t>
  </si>
  <si>
    <t>facebook: https://www.facebook.com/wildesfraeulein/?fref=ts</t>
  </si>
  <si>
    <t>Miracolo</t>
  </si>
  <si>
    <t>Il Monte</t>
  </si>
  <si>
    <t>Rudower Stra√üe 173, Berlin, 12351</t>
  </si>
  <si>
    <t>http://www.il-monte.de/</t>
  </si>
  <si>
    <t>ilponte2016@gmx.de</t>
  </si>
  <si>
    <t>+49 30 74075405</t>
  </si>
  <si>
    <t>China Restaurant Panda II</t>
  </si>
  <si>
    <t>https://www.china-restaurant-panda-ii-b.de/</t>
  </si>
  <si>
    <t>+49 30 66098230</t>
  </si>
  <si>
    <t>Malakeh</t>
  </si>
  <si>
    <t>Das Hoven</t>
  </si>
  <si>
    <t>Pfl√ºgerstra√üe 19, Berlin, 12047</t>
  </si>
  <si>
    <t>https://www.dashoven.de/</t>
  </si>
  <si>
    <t>kontakt@dashoven.de</t>
  </si>
  <si>
    <t>+49 30 61 290 221</t>
  </si>
  <si>
    <t>instagram: https://www.instagram.com/das_hoven/, facebook: https://www.facebook.com/DasHovenBerlin</t>
  </si>
  <si>
    <t>La Pizzetta</t>
  </si>
  <si>
    <t>Kolonnenstra√üe 18, Berlin, 10829</t>
  </si>
  <si>
    <t>https://www.lapizzettaberlin.de/</t>
  </si>
  <si>
    <t>+49 30 81821549</t>
  </si>
  <si>
    <t>+84 Asian Deli</t>
  </si>
  <si>
    <t>Habersaathstra√üe 52, 10115</t>
  </si>
  <si>
    <t>Saigon Food</t>
  </si>
  <si>
    <t>Nollendorfstra√üe 21a, Berlin, 10777</t>
  </si>
  <si>
    <t>+49 30 233 05858</t>
  </si>
  <si>
    <t>Zusshu</t>
  </si>
  <si>
    <t>Kalckreuthstra√üe 10</t>
  </si>
  <si>
    <t>https://zusshu.com/</t>
  </si>
  <si>
    <t>zusshu19@gmail.com</t>
  </si>
  <si>
    <t>facebook: https://www.facebook.com/zusshuberlin/, instagram: https://www.instagram.com/zusshuberlin/</t>
  </si>
  <si>
    <t>Kordofan</t>
  </si>
  <si>
    <t>Noi Due</t>
  </si>
  <si>
    <t>Hufelandstra√üe 21, Berlin, 10407</t>
  </si>
  <si>
    <t>La Smorfia¬†Pizzeria¬†Napoletana</t>
  </si>
  <si>
    <t>Teltower Damm 47, Berlin, 14167</t>
  </si>
  <si>
    <t>Dezi</t>
  </si>
  <si>
    <t>Pasteurstra√üe 18, Berlin, 10407</t>
  </si>
  <si>
    <t>http://dezi-berlin.de/</t>
  </si>
  <si>
    <t>info@dezi-berlin.de</t>
  </si>
  <si>
    <t>facebook: https://www.facebook.com/deziberlin/</t>
  </si>
  <si>
    <t>Pizzeria Mamma Rosa</t>
  </si>
  <si>
    <t>MIDAM Korean BBQ Grill</t>
  </si>
  <si>
    <t>Stuttgarter Platz 28, Berlin, 10627</t>
  </si>
  <si>
    <t>Zhang Liang</t>
  </si>
  <si>
    <t>Friedrichstra√üe 217, Berlin, 10969</t>
  </si>
  <si>
    <t>marmarita by fatoush</t>
  </si>
  <si>
    <t>St. Bart</t>
  </si>
  <si>
    <t>Graefestra√üe 71, Berlin, 10967</t>
  </si>
  <si>
    <t>https://stbartpub.com/</t>
  </si>
  <si>
    <t>info@stbartpub.com</t>
  </si>
  <si>
    <t>+49 30 40751175</t>
  </si>
  <si>
    <t>instagram: https://www.instagram.com/st.bart.pub</t>
  </si>
  <si>
    <t>Gr√ºnfisch</t>
  </si>
  <si>
    <t>Graefestra√üe 26A, Berlin, 10967</t>
  </si>
  <si>
    <t>http://gruenfisch.de/</t>
  </si>
  <si>
    <t>vu.pham@hotmail.de</t>
  </si>
  <si>
    <t>Italy Pizza</t>
  </si>
  <si>
    <t>Innsbrucker Platz 4, Berlin, 10827</t>
  </si>
  <si>
    <t>https://www.italypizza-berlin.de/</t>
  </si>
  <si>
    <t>+49 30 7828516</t>
  </si>
  <si>
    <t>Vamos Veganos</t>
  </si>
  <si>
    <t>Sch√∂nflie√üer Stra√üe 16, Berlin, 10439</t>
  </si>
  <si>
    <t>http://vamosveganos.com</t>
  </si>
  <si>
    <t>info@vamosveganos.de</t>
  </si>
  <si>
    <t>facebook: http://www.facebook.com/vamosveganos/, instagram: http://www.instagram.com/vamosveganos</t>
  </si>
  <si>
    <t>Burger Zimmer XIV</t>
  </si>
  <si>
    <t>Alsancak Simit Sarayi</t>
  </si>
  <si>
    <t>Bl√ºcherstra√üe 9, Berlin, 10961</t>
  </si>
  <si>
    <t>https://alsancak-simitsarayi.de/</t>
  </si>
  <si>
    <t>Mamma Monti</t>
  </si>
  <si>
    <t>Carmerstra√üe 11, Berlin, 10623</t>
  </si>
  <si>
    <t>https://www.mamma-monti.com/</t>
  </si>
  <si>
    <t>instagram: https://www.instagram.com/restorantemammamonti/</t>
  </si>
  <si>
    <t>Mehana Paradis</t>
  </si>
  <si>
    <t>Hertzbergstra√üe 28</t>
  </si>
  <si>
    <t>+49 30 40584777</t>
  </si>
  <si>
    <t>Dalmaticija Grill</t>
  </si>
  <si>
    <t>Burger Ch√©ri</t>
  </si>
  <si>
    <t>Takenori</t>
  </si>
  <si>
    <t>NNQ2</t>
  </si>
  <si>
    <t>Hansastra√üe 236, Berlin, 13051</t>
  </si>
  <si>
    <t>https://www.hansa-center-berlin.de/shops-4.html</t>
  </si>
  <si>
    <t>centermanagement@minden.edeka.de</t>
  </si>
  <si>
    <t>Hosteria del Monte Croce</t>
  </si>
  <si>
    <t>https://www.hostaria.de/</t>
  </si>
  <si>
    <t>info@hostaria.de</t>
  </si>
  <si>
    <t>instagram: https://www.instagram.com/hostaria_del_monte_croce/, facebook: https://www.facebook.com/Hostaria-del-Monte-Croce-103939546338256/</t>
  </si>
  <si>
    <t>Asia Thang Long</t>
  </si>
  <si>
    <t>Pho Viet Aroma</t>
  </si>
  <si>
    <t>Schillerpromenade 32, Berlin, 12049</t>
  </si>
  <si>
    <t>https://www.pho-viet-aroma.de/</t>
  </si>
  <si>
    <t>kontakt@pho-viet-aroma.de</t>
  </si>
  <si>
    <t>+49 30 67 95 52 49</t>
  </si>
  <si>
    <t>instagram: https://www.instagram.com/phovietaroma/, facebook: https://www.facebook.com/phovietaroma/</t>
  </si>
  <si>
    <t>The Meat</t>
  </si>
  <si>
    <t>Damaschkestra√üe 17, Berlin, 10711</t>
  </si>
  <si>
    <t>https://themeat.de/</t>
  </si>
  <si>
    <t>instagram: https://www.instagram.com/themeat.de, tiktok: https://www.tiktok.com/@themeatberlin, facebook: https://www.facebook.com/themeat.de</t>
  </si>
  <si>
    <t>Alagami Restaurant</t>
  </si>
  <si>
    <t>Sonnenallee 44</t>
  </si>
  <si>
    <t>Pho T√πng</t>
  </si>
  <si>
    <t>Sole</t>
  </si>
  <si>
    <t>Frankfurter Allee 7, Berlin, 10247</t>
  </si>
  <si>
    <t>https://sole-ristorante.eatbu.com/</t>
  </si>
  <si>
    <t>+49 30 40043915</t>
  </si>
  <si>
    <t>K√∂stliche Speise</t>
  </si>
  <si>
    <t>Bu Kon</t>
  </si>
  <si>
    <t>Dunckerstra√üe 80, Berlin, 10437</t>
  </si>
  <si>
    <t>https://bukonberlin.de/</t>
  </si>
  <si>
    <t>admin@bukonberlin.de</t>
  </si>
  <si>
    <t>facebook: https://www.facebook.com/Bu-Kon-246235035861467/</t>
  </si>
  <si>
    <t>F√∂rsters</t>
  </si>
  <si>
    <t>Dunckerstra√üe 2a, Berlin, 10437</t>
  </si>
  <si>
    <t>https://das-foersters.de/</t>
  </si>
  <si>
    <t>hello@das-foersters.de</t>
  </si>
  <si>
    <t>+49 30 98418942</t>
  </si>
  <si>
    <t>facebook: https://www.facebook.com/das.vegane.Restaurant/, instagram: https://www.instagram.com/das_foersters/</t>
  </si>
  <si>
    <t>La C√¥te</t>
  </si>
  <si>
    <t>Kienitzer Stra√üe 95, Berlin, 12049</t>
  </si>
  <si>
    <t>http://lacoteberlin.com/</t>
  </si>
  <si>
    <t>booking@lacoteberlin.com</t>
  </si>
  <si>
    <t>+49 30 30648638</t>
  </si>
  <si>
    <t>facebook: https://www.facebook.com/La-C%C3%B4te-116689753048575, instagram: https://www.instagram.com/lacoteberlin/</t>
  </si>
  <si>
    <t>Hai Do</t>
  </si>
  <si>
    <t>Lychener Stra√üe 24, Berlin, 10437</t>
  </si>
  <si>
    <t>chanchanchan</t>
  </si>
  <si>
    <t>Senefelderstra√üe 8a, Berlin, 10437</t>
  </si>
  <si>
    <t>https://chanchanchan.eatbu.com/</t>
  </si>
  <si>
    <t>daecheon@gmx.de</t>
  </si>
  <si>
    <t>+49 176 23505955</t>
  </si>
  <si>
    <t>Huha 1986</t>
  </si>
  <si>
    <t>Stargarder Stra√üe 22, Berlin, 10437</t>
  </si>
  <si>
    <t>Ita</t>
  </si>
  <si>
    <t>Lettestra√üe 9, Berlin, 10437</t>
  </si>
  <si>
    <t>https://www.ita-berlin.de/</t>
  </si>
  <si>
    <t>58hello@ita-berlin.de</t>
  </si>
  <si>
    <t>+49 30 64328158</t>
  </si>
  <si>
    <t>instagram: https://www.instagram.com/ita.bistro/?hl=de, facebook: https://www.facebook.com/people/ITA-Bistro/100090250366518/</t>
  </si>
  <si>
    <t>Rocca</t>
  </si>
  <si>
    <t>Gleimstra√üe 11, Berlin, 10437</t>
  </si>
  <si>
    <t>Asia-Snack Bonsai</t>
  </si>
  <si>
    <t>Obstallee 28-30, Berlin, 13593</t>
  </si>
  <si>
    <t>+49 30 364 99 35</t>
  </si>
  <si>
    <t>Cubandres</t>
  </si>
  <si>
    <t>Prenzlauer Allee 190, Berlin, 10405</t>
  </si>
  <si>
    <t>La Buvette Steakhouse</t>
  </si>
  <si>
    <t>Danziger Stra√üe 17, Berlin, 10435</t>
  </si>
  <si>
    <t>https://labuvette.berlin</t>
  </si>
  <si>
    <t>+49 30 94405363</t>
  </si>
  <si>
    <t>Cem grill</t>
  </si>
  <si>
    <t>Danziger Stra√üe 23, Berlin, 10435</t>
  </si>
  <si>
    <t>Big Window</t>
  </si>
  <si>
    <t>http://www.big-window.de</t>
  </si>
  <si>
    <t>Gegen√ºber</t>
  </si>
  <si>
    <t>Stra√ümannstra√üe 31, Berlin, 10249</t>
  </si>
  <si>
    <t>https://www.gegenueber-berlin.com/</t>
  </si>
  <si>
    <t>info.gegenueber@gmail.com</t>
  </si>
  <si>
    <t>+49 30 26074597</t>
  </si>
  <si>
    <t>facebook: https://www.facebook.com/people/Gegen√ºber/100063725401217/, instagram: https://www.instagram.com/gegenueberberlin</t>
  </si>
  <si>
    <t>St√§bchen Kultur</t>
  </si>
  <si>
    <t>Matternstra√üe 9, Berlin, 10249</t>
  </si>
  <si>
    <t>Falkengrill</t>
  </si>
  <si>
    <t>+49 30 3738883</t>
  </si>
  <si>
    <t>Koshary Cairo</t>
  </si>
  <si>
    <t>Falckensteinstra√üe 44A</t>
  </si>
  <si>
    <t>Buon Gusto</t>
  </si>
  <si>
    <t>Bucher Chaussee 5, Berlin, 13125</t>
  </si>
  <si>
    <t>https://www.buongusto-berlin.de/</t>
  </si>
  <si>
    <t>info@buongusto-berlin.de</t>
  </si>
  <si>
    <t>+49 30 81813515</t>
  </si>
  <si>
    <t>La Amistad</t>
  </si>
  <si>
    <t>Wei√üenburger Stra√üe 13a, Berlin, 13595</t>
  </si>
  <si>
    <t>http://www.laamistad.de/</t>
  </si>
  <si>
    <t>info@laamistad.de</t>
  </si>
  <si>
    <t>+49 30 36 99 29 28</t>
  </si>
  <si>
    <t>Le Moon China Restaurant</t>
  </si>
  <si>
    <t>Bundesplatz 12, Berlin, 10715</t>
  </si>
  <si>
    <t>https://lemoon.eatbu.com</t>
  </si>
  <si>
    <t>tayecn6@gmail.com</t>
  </si>
  <si>
    <t>Croatica</t>
  </si>
  <si>
    <t>Wilhelmstra√üe 54, Berlin, 13593</t>
  </si>
  <si>
    <t>Kumari</t>
  </si>
  <si>
    <t>Ahrweilerstra√üe 31, Berlin, 14197</t>
  </si>
  <si>
    <t>https://kumarinepal.com/</t>
  </si>
  <si>
    <t>+49 30 83200707</t>
  </si>
  <si>
    <t>Schmiede bei Pino</t>
  </si>
  <si>
    <t>https://euref.de/entry/schmiede/</t>
  </si>
  <si>
    <t>+49 30 78890782</t>
  </si>
  <si>
    <t>Gr√ºns</t>
  </si>
  <si>
    <t>https://euref.de/entry/gruens-restaurant/</t>
  </si>
  <si>
    <t>mail@locations.euref.de.</t>
  </si>
  <si>
    <t>+49 30 26476741</t>
  </si>
  <si>
    <t>The Cord</t>
  </si>
  <si>
    <t>https://thecord.de/</t>
  </si>
  <si>
    <t>+49 30 26476792</t>
  </si>
  <si>
    <t>instagram: https://www.instagram.com/thecord_restaurant/, facebook: https://www.facebook.com/thecordrestaurant</t>
  </si>
  <si>
    <t>oh madriz</t>
  </si>
  <si>
    <t>https://www.ohmadriz.com/</t>
  </si>
  <si>
    <t>+49 30 61623457</t>
  </si>
  <si>
    <t>El Almac√©n de Fausto</t>
  </si>
  <si>
    <t>Katzbachstra√üe 6, Berlin, 10965</t>
  </si>
  <si>
    <t>http://www.elalmacen.de/</t>
  </si>
  <si>
    <t>fausto@elalmacen.de</t>
  </si>
  <si>
    <t>+49 30 31955555</t>
  </si>
  <si>
    <t>Kabul Night</t>
  </si>
  <si>
    <t>M√ºllerstra√üe 129, Berlin, 13349</t>
  </si>
  <si>
    <t>Fratelli da Giovanni</t>
  </si>
  <si>
    <t>Ehrlichstra√üe 47, Berlin, 10318</t>
  </si>
  <si>
    <t>http://www.dadaniele.eu/</t>
  </si>
  <si>
    <t>dadaniele@dadaniele.eu</t>
  </si>
  <si>
    <t>+49 30 25208688</t>
  </si>
  <si>
    <t>Laris Love Food</t>
  </si>
  <si>
    <t>M√ºllerstra√üe 114, Berlin, 13349</t>
  </si>
  <si>
    <t>Scenario</t>
  </si>
  <si>
    <t>Bundesplatz 15, Berlin, 10715</t>
  </si>
  <si>
    <t>https://scenario-berlin.de/</t>
  </si>
  <si>
    <t>info@scenario-berlin.de</t>
  </si>
  <si>
    <t>Schust</t>
  </si>
  <si>
    <t>Eberswalder Stra√üe 34, Berlin, 10437</t>
  </si>
  <si>
    <t>https://www.restaurant-schust.de/</t>
  </si>
  <si>
    <t>schust-berlin@gmx.deKontakt</t>
  </si>
  <si>
    <t>+49 30 41714053</t>
  </si>
  <si>
    <t>Surin</t>
  </si>
  <si>
    <t>Handjerystra√üe 29, Berlin, 12159</t>
  </si>
  <si>
    <t>Choha</t>
  </si>
  <si>
    <t>Berliner Stra√üe 51, Berlin, 10713</t>
  </si>
  <si>
    <t>Hage Ramen</t>
  </si>
  <si>
    <t>Brandenburgische Stra√üe 77, Berlin, 10713</t>
  </si>
  <si>
    <t>https://hageramen.simplywebshop.de/menu</t>
  </si>
  <si>
    <t>+49 30 62931583</t>
  </si>
  <si>
    <t>83 kitchen</t>
  </si>
  <si>
    <t>Brandenburgische Stra√üe 83, Berlin, 10713</t>
  </si>
  <si>
    <t>Club-Restaurant im BYC</t>
  </si>
  <si>
    <t>Wannseebadweg 55, Berlin, 14129</t>
  </si>
  <si>
    <t>https://www.byc.berlin/club-restaurant/</t>
  </si>
  <si>
    <t>restaurant@byc.berlin</t>
  </si>
  <si>
    <t>+49 157 526 88 502</t>
  </si>
  <si>
    <t>facebook: https://www.facebook.com/BerlinerYachtClub, twitter: https://twitter.com/intent/tweet?source=https://www.byc.berlin/club-restaurant-eroeffnung/&amp;text=Clubrestaurant Er√∂ffnung:https://www.byc.berlin/club-restaurant-eroeffnung/, instagram: https://www.instagram.com/berlineryachtclub/</t>
  </si>
  <si>
    <t>Paris Grillhaus</t>
  </si>
  <si>
    <t>Utrechter Stra√üe 6</t>
  </si>
  <si>
    <t>Habel</t>
  </si>
  <si>
    <t>M√∂llers K√∂ttbullar</t>
  </si>
  <si>
    <t>K√∂penicker Stra√üe 190, Berlin, 10997</t>
  </si>
  <si>
    <t>http://www.koettbullar.com</t>
  </si>
  <si>
    <t>ilovemeatballs@koettbullar.com</t>
  </si>
  <si>
    <t>+49 30 69817979</t>
  </si>
  <si>
    <t>tiktok: https://www.tiktok.com/@moellerskoettbullar, instagram: https://www.instagram.com/moellerskoettbullar/, facebook: https://www.facebook.com/moellerskoettbullar</t>
  </si>
  <si>
    <t>Falkenseer Krug</t>
  </si>
  <si>
    <t>Feel Seoul Good</t>
  </si>
  <si>
    <t>Husemannstra√üe 2, Berlin, 10435</t>
  </si>
  <si>
    <t>https://feelseoulgood.de</t>
  </si>
  <si>
    <t>feelseoulgood@web.de</t>
  </si>
  <si>
    <t>facebook: https://www.facebook.com/feelseoulgoodberlin/, instagram: https://www.instagram.com/feelseoulgood_berlin/</t>
  </si>
  <si>
    <t>Gastst√§tte Kreuztal</t>
  </si>
  <si>
    <t>Kiefholzstra√üe 351, Berlin, 12435</t>
  </si>
  <si>
    <t>https://kga-kreuztal.berlin/Gaststaette/</t>
  </si>
  <si>
    <t>ralf.piater@gmail.com</t>
  </si>
  <si>
    <t>Kiezzeria</t>
  </si>
  <si>
    <t>Kink</t>
  </si>
  <si>
    <t>https://kink-berlin.de</t>
  </si>
  <si>
    <t>+49 30 41207344</t>
  </si>
  <si>
    <t>instagram: https://www.instagram.com/kink.bar.restaurant/, facebook: https://www.facebook.com/profile.php?id=61577615310257</t>
  </si>
  <si>
    <t>Jolie</t>
  </si>
  <si>
    <t>W√∂rther Stra√üe 35, Berlin, 10435</t>
  </si>
  <si>
    <t>https://jolie-berlin.com</t>
  </si>
  <si>
    <t>hello@jolie-berlin.com</t>
  </si>
  <si>
    <t>+49 173 1444588</t>
  </si>
  <si>
    <t>instagram: https://www.instagram.com/jolie.bistrot/</t>
  </si>
  <si>
    <t>Restaurant Dalmatino</t>
  </si>
  <si>
    <t>Sonnenallee 321, Berlin, 12057</t>
  </si>
  <si>
    <t>La Choza de la Anaconda</t>
  </si>
  <si>
    <t>Windscheidstra√üe 31, Berlin, 10627</t>
  </si>
  <si>
    <t>https://www.lachozadelaanaconda.de/</t>
  </si>
  <si>
    <t>+49 30 54710800</t>
  </si>
  <si>
    <t>facebook: https://www.facebook.com/lachozadelaanacondadeutschland?notif_id=1692807350709812&amp;notif_t=profile_plus_admin_invite&amp;ref=notif, instagram: https://www.instagram.com/lachozadelaanaconda.de/?igshid=MzMyNGUyNmU2YQ%3D%3D</t>
  </si>
  <si>
    <t>Heisser Wolf</t>
  </si>
  <si>
    <t>Frankfurter Allee 113-117, Berlin, 10365</t>
  </si>
  <si>
    <t>Binh Minh</t>
  </si>
  <si>
    <t>Riedemannweg 12, Berlin, 13627</t>
  </si>
  <si>
    <t>Zur Gartenlaube</t>
  </si>
  <si>
    <t>zurlaube@web.de</t>
  </si>
  <si>
    <t>al Nafetha Catering</t>
  </si>
  <si>
    <t>Unionstra√üe 3, Berlin, 10551</t>
  </si>
  <si>
    <t>https://www.alnafetha-catering.de</t>
  </si>
  <si>
    <t>kontakt@alnafetha-catering.de</t>
  </si>
  <si>
    <t>Animor</t>
  </si>
  <si>
    <t>http://www.animor-net.de/</t>
  </si>
  <si>
    <t>+49 30 43035388</t>
  </si>
  <si>
    <t>Noosh</t>
  </si>
  <si>
    <t>Viana Do Castello</t>
  </si>
  <si>
    <t>https://viana-do-castello.de/</t>
  </si>
  <si>
    <t>saed_samar-78@gmx.de</t>
  </si>
  <si>
    <t>+49 30 64328132</t>
  </si>
  <si>
    <t>facebook: https://www.facebook.com/profile.php?id=100054321528836</t>
  </si>
  <si>
    <t>Maide Manti</t>
  </si>
  <si>
    <t>Schulstra√üe 18</t>
  </si>
  <si>
    <t>https://maide-manti.de</t>
  </si>
  <si>
    <t>+49 30 64494731</t>
  </si>
  <si>
    <t>Dozo</t>
  </si>
  <si>
    <t>Leonhardtstra√üe 24, Berlin, 14057</t>
  </si>
  <si>
    <t>https://www.dozo-ramen.de</t>
  </si>
  <si>
    <t>info@dozo-ramen.de</t>
  </si>
  <si>
    <t>+49 30 5563 9896</t>
  </si>
  <si>
    <t>facebook: https://www.facebook.com/DozoBerlin/, instagram: https://www.instagram.com/dozo_berlin</t>
  </si>
  <si>
    <t>Gamarjoba</t>
  </si>
  <si>
    <t>Kantstra√üe 89, Berlin, 10627</t>
  </si>
  <si>
    <t>Verw√∂hn dein B√§uchlein</t>
  </si>
  <si>
    <t>Nazarethkirchstra√üe 53</t>
  </si>
  <si>
    <t>Soup Guerilla</t>
  </si>
  <si>
    <t>Schlesische Stra√üe 31, Berlin, 10997</t>
  </si>
  <si>
    <t>Emma &amp; Paul's Biergarten</t>
  </si>
  <si>
    <t>Imchenallee 42, Berlin, 14089</t>
  </si>
  <si>
    <t>https://emma-pauls-biergarten.com/</t>
  </si>
  <si>
    <t>info@emma-pauls-biergarten.com</t>
  </si>
  <si>
    <t>+49 30 36431119</t>
  </si>
  <si>
    <t>instagram: https://www.instagram.com/emmapaulsbiergarten, tiktok: https://www.tiktok.com/@emmapauls_biergarten?_t=ZN-8xkoWygZTAk&amp;_r=1</t>
  </si>
  <si>
    <t>1687 RESTAURANT &amp; CAF√â</t>
  </si>
  <si>
    <t>Mittelstra√üe 30, Berlin, 10117</t>
  </si>
  <si>
    <t>https://1687.berlin/</t>
  </si>
  <si>
    <t>info@1687.berlin</t>
  </si>
  <si>
    <t>+49 30 20630611</t>
  </si>
  <si>
    <t>facebook: https://www.facebook.com/1687.berlin/</t>
  </si>
  <si>
    <t>La Tia Rica</t>
  </si>
  <si>
    <t>https://www.latiarica.de/</t>
  </si>
  <si>
    <t>info@latiarica.de</t>
  </si>
  <si>
    <t>facebook: https://www.facebook.com/latiaricaBerlin, instagram: https://www.instagram.com/la.tia.rica.berlin/</t>
  </si>
  <si>
    <t>Urfa Tatlises</t>
  </si>
  <si>
    <t>Badstra√üe 65, Berlin, 13357</t>
  </si>
  <si>
    <t>Paulaner Wirtshaus</t>
  </si>
  <si>
    <t>Alte Potsdamer Stra√üe 1, Berlin, 10785</t>
  </si>
  <si>
    <t>https://www.paulaner-wirtshaus-berlinpotsdamerplatz.de</t>
  </si>
  <si>
    <t>restaurant@paulaner-wirtshaus-berlinpotsdamerplatz.de</t>
  </si>
  <si>
    <t>+49 30 29776727</t>
  </si>
  <si>
    <t>Flying Fish Sushi</t>
  </si>
  <si>
    <t>Eisenacher Stra√üe 67, Berlin, 10823</t>
  </si>
  <si>
    <t>http://www.flying-fish-sushi.de/</t>
  </si>
  <si>
    <t>chef@flying-fish-sushi.de</t>
  </si>
  <si>
    <t>Carlos Tapas Bar</t>
  </si>
  <si>
    <t>Eisenacher Stra√üe 69, Berlin, 10823</t>
  </si>
  <si>
    <t>Ratsstuben</t>
  </si>
  <si>
    <t>Freiherr-vom-Stein-Stra√üe 20, Berlin, 10825</t>
  </si>
  <si>
    <t>Sold out Burger</t>
  </si>
  <si>
    <t>+49 30 63371956</t>
  </si>
  <si>
    <t>Mantika Manti</t>
  </si>
  <si>
    <t>Reichenberger Stra√üe 176, Berlin, 10999</t>
  </si>
  <si>
    <t>+49 30 33948005</t>
  </si>
  <si>
    <t>Vedang</t>
  </si>
  <si>
    <t>Grunerstra√üe 20, Berlin, 10179</t>
  </si>
  <si>
    <t>https://vedang.de</t>
  </si>
  <si>
    <t>Pok√© Pelelina</t>
  </si>
  <si>
    <t>Graefestra√üe 75, Berlin, 10967</t>
  </si>
  <si>
    <t>https://www.pokepelelina.com/</t>
  </si>
  <si>
    <t>florian@pokepelelina.com</t>
  </si>
  <si>
    <t>+49 30 63910503</t>
  </si>
  <si>
    <t>instagram: https://www.instagram.com/pokepelelina/, facebook: https://www.facebook.com/pokepelelinaberlin/</t>
  </si>
  <si>
    <t>Asia Dream</t>
  </si>
  <si>
    <t>Prenzlauer Allee 89, Berlin, 10405</t>
  </si>
  <si>
    <t>Dal Tokki</t>
  </si>
  <si>
    <t>Prinzenallee 83, Berlin, 13357</t>
  </si>
  <si>
    <t>Ma-Makan</t>
  </si>
  <si>
    <t>Lausitzer Platz 12, 10997</t>
  </si>
  <si>
    <t>https://mamakanberlin.com</t>
  </si>
  <si>
    <t>Akcaabat K√∂fte</t>
  </si>
  <si>
    <t>Erkstra√üe 21, Berlin, 12043</t>
  </si>
  <si>
    <t>Mirami</t>
  </si>
  <si>
    <t>Kardamom</t>
  </si>
  <si>
    <t>Badensche Stra√üe 55, Berlin, 10825</t>
  </si>
  <si>
    <t>https://sites.google.com/view/kardamom</t>
  </si>
  <si>
    <t>+49 176 21379078</t>
  </si>
  <si>
    <t>Mr. Liu</t>
  </si>
  <si>
    <t>Bundesallee 45, Berlin, 10715</t>
  </si>
  <si>
    <t>https://www.mr-liu.de</t>
  </si>
  <si>
    <t>info@mr-liu.de</t>
  </si>
  <si>
    <t>+49 30 86393402</t>
  </si>
  <si>
    <t>facebook: https://www.facebook.com/Mr-Liu-Restaurant-108466487644407, instagram: https://www.instagram.com/mr.liu.restaurant</t>
  </si>
  <si>
    <t>Van Tat</t>
  </si>
  <si>
    <t>Wilhelmstra√üe 21-25, Berlin, 13593</t>
  </si>
  <si>
    <t>https://enjoylocal.de/store/vantatsushi</t>
  </si>
  <si>
    <t>Ambe</t>
  </si>
  <si>
    <t>Naugarder Stra√üe 40, Berlin, 10409</t>
  </si>
  <si>
    <t>https://menu.happz.de/l/ambe-berlin</t>
  </si>
  <si>
    <t>Heuriger Nu√übaumerin</t>
  </si>
  <si>
    <t>https://nussbaumerin.de/</t>
  </si>
  <si>
    <t>info@nussbaumerin.de</t>
  </si>
  <si>
    <t>+49 30 50178033</t>
  </si>
  <si>
    <t>facebook: https://www.facebook.com/nussbaumerin.de/, instagram: https://www.instagram.com/restaurant_nussbaumerin/?hl=de</t>
  </si>
  <si>
    <t>Wernicke</t>
  </si>
  <si>
    <t>La MaMa Noor</t>
  </si>
  <si>
    <t>Schnellerstra√üe 112, Berlin, 12439</t>
  </si>
  <si>
    <t>http://www.pizza-la-mama-noor.de</t>
  </si>
  <si>
    <t>ramantalwar92@yahoo.de</t>
  </si>
  <si>
    <t>+49 30 35050189</t>
  </si>
  <si>
    <t>Viet Food</t>
  </si>
  <si>
    <t>Berliner Allee 81, Berlin, 13088</t>
  </si>
  <si>
    <t>+49 30 71552526</t>
  </si>
  <si>
    <t>nau</t>
  </si>
  <si>
    <t>Ratskeller</t>
  </si>
  <si>
    <t>John-F.-Kennedy-Platz 1, Berlin, 10825</t>
  </si>
  <si>
    <t>https://gerresheim-berlin.de/rathaus-schoeneberg-ratskeller</t>
  </si>
  <si>
    <t>bestellung@brauerei-friedrichshagen.de</t>
  </si>
  <si>
    <t>+49 162 4533204</t>
  </si>
  <si>
    <t>90‚Äôs</t>
  </si>
  <si>
    <t>Jungstra√üe 29, Berlin, 10247</t>
  </si>
  <si>
    <t>https://90s-restaurant.de/</t>
  </si>
  <si>
    <t>info@90s-restaurant.de</t>
  </si>
  <si>
    <t>+49 30 92278982</t>
  </si>
  <si>
    <t>Sushi City</t>
  </si>
  <si>
    <t>Gartenfelder Stra√üe 83, 13599</t>
  </si>
  <si>
    <t>Jasnoor</t>
  </si>
  <si>
    <t>https://www.jasnoorrestaurant.de/</t>
  </si>
  <si>
    <t>Restaurant Biberblick</t>
  </si>
  <si>
    <t>Schm√∂ckwitzer Damm 1g, Berlin, 12527</t>
  </si>
  <si>
    <t>https://waldhotelamsee.de/restaurant-biberblick</t>
  </si>
  <si>
    <t>service@waldhotelamsee.de</t>
  </si>
  <si>
    <t>+49 30 675040</t>
  </si>
  <si>
    <t>Brasserie Le Bon Mori</t>
  </si>
  <si>
    <t>Wachsmuthstra√üe 19, Berlin, 13467</t>
  </si>
  <si>
    <t>https://lebonmori.de/</t>
  </si>
  <si>
    <t>info@lebonmori.de</t>
  </si>
  <si>
    <t>facebook: https://www.facebook.com/LeBonMori/, instagram: https://www.instagram.com/p/CsI7zibMlYr/?utm_source=ig_embed&amp;utm_campaign=loading</t>
  </si>
  <si>
    <t>Piatto Ricco</t>
  </si>
  <si>
    <t>Tegeler Stra√üe 2, Berlin, 13467</t>
  </si>
  <si>
    <t>Asiagourmet</t>
  </si>
  <si>
    <t>Schnellerstra√üe 21, Berlin, 12439</t>
  </si>
  <si>
    <t>www.asiagourmet.de</t>
  </si>
  <si>
    <t>facebook: https://www.facebook.com/asiagourmet.group/, instagram: https://www.instagram.com/asiagourmet_de/</t>
  </si>
  <si>
    <t>Tavernaki Ousia Privatrestaurant</t>
  </si>
  <si>
    <t>Grunewaldstra√üe 53, Berlin, 10825</t>
  </si>
  <si>
    <t>Restaurant Helmut</t>
  </si>
  <si>
    <t>Krampnitzer Weg 111, Berlin, 14089</t>
  </si>
  <si>
    <t>https://www.opa-helmut.com/</t>
  </si>
  <si>
    <t>SUN-POKE Bowl</t>
  </si>
  <si>
    <t>Wei√üenseer Weg 112, Berlin, 10369</t>
  </si>
  <si>
    <t>https://sun-pokebowl.de/</t>
  </si>
  <si>
    <t>info.sunpokebowl@gmail.com</t>
  </si>
  <si>
    <t>+49 30 94075975</t>
  </si>
  <si>
    <t>facebook: https://www.facebook.com/sun.pokebowl, instagram: https://www.instagram.com/sun.pokebowl/</t>
  </si>
  <si>
    <t>B√§ckerei Schnell</t>
  </si>
  <si>
    <t>Ribnitzer Stra√üe 24, Berlin, 13051</t>
  </si>
  <si>
    <t>C√ÄI Kitchen</t>
  </si>
  <si>
    <t>Sch√∂nhauser Allee 177A, Berlin, 10119</t>
  </si>
  <si>
    <t>https://caikitchen.berlin/</t>
  </si>
  <si>
    <t>+49 30 92217434</t>
  </si>
  <si>
    <t>facebook: https://www.facebook.com/caikitchenbln, instagram: https://www.instagram.com/caikitchenbln/</t>
  </si>
  <si>
    <t>Zunftwirtschaft</t>
  </si>
  <si>
    <t>https://www.zunftwirtschaft.info</t>
  </si>
  <si>
    <t>info@zunft-wirtschaft.de</t>
  </si>
  <si>
    <t>+49 30 12089778</t>
  </si>
  <si>
    <t>instagram: https://www.instagram.com/zunftwirtschaft/, facebook: https://www.facebook.com/Zunftwirtschaft/</t>
  </si>
  <si>
    <t>ÂñúÂ§öÈÉé„ÉªKitaro</t>
  </si>
  <si>
    <t>Kantstra√üe 25, Berlin</t>
  </si>
  <si>
    <t>https://sushikitaro.de/</t>
  </si>
  <si>
    <t>instagram: https://www.instagram.com/kitaro_berlin/, facebook: https://www.facebook.com/Nikkei25/</t>
  </si>
  <si>
    <t>Korry</t>
  </si>
  <si>
    <t>Konrad-Wolf-Stra√üe 68a, Berlin, 13055</t>
  </si>
  <si>
    <t>MELT Cr√™perie</t>
  </si>
  <si>
    <t>https://melt.berlin/</t>
  </si>
  <si>
    <t>Serhat D√∂ner</t>
  </si>
  <si>
    <t>Buschallee 24</t>
  </si>
  <si>
    <t>http://doener-berlin-bistro.de</t>
  </si>
  <si>
    <t>Hola Mexico II</t>
  </si>
  <si>
    <t>Waidmannsluster Damm 176A, Berlin, 13469</t>
  </si>
  <si>
    <t>https://holamexicoberlin.de/</t>
  </si>
  <si>
    <t>info@holamexicoberlin.de</t>
  </si>
  <si>
    <t>+49 30 60596197</t>
  </si>
  <si>
    <t>facebook: https://www.facebook.com/profile.php?id=61561456536206, instagram: https://www.instagram.com/hola.mexico2/</t>
  </si>
  <si>
    <t>Chettinad</t>
  </si>
  <si>
    <t>Wilhelmstra√üe 1, Berlin, 13595</t>
  </si>
  <si>
    <t>https://chettinad-indisches-restaurant.de/</t>
  </si>
  <si>
    <t>+49 30 26587883</t>
  </si>
  <si>
    <t>Fr√ºhsammers Restaurant</t>
  </si>
  <si>
    <t>Flinsberger Platz 8, Berlin, 14193</t>
  </si>
  <si>
    <t>https://fruehsammers.de</t>
  </si>
  <si>
    <t>info@fruehsammers.de</t>
  </si>
  <si>
    <t>Wan Loi China Restaurant</t>
  </si>
  <si>
    <t>4Fellows</t>
  </si>
  <si>
    <t>Ladenstra√üe 33, Berlin, 14169</t>
  </si>
  <si>
    <t>https://4fellows.de</t>
  </si>
  <si>
    <t>+49 30 47009271</t>
  </si>
  <si>
    <t>instagram: https://www.instagram.com/4fellows_berlin</t>
  </si>
  <si>
    <t>Go Yummy ‚Äì Noodle Bar &amp; Fried Chicken</t>
  </si>
  <si>
    <t>Ladenstra√üe 32, Berlin, 14169</t>
  </si>
  <si>
    <t>https://go-yummy.de/</t>
  </si>
  <si>
    <t>info@go-yummy.de</t>
  </si>
  <si>
    <t>+49 30 39 80 29 00</t>
  </si>
  <si>
    <t>facebook: https://www.facebook.com/profile.php?id=61555330516769, instagram: https://www.instagram.com/_go_yummy_?utm_source=ig_web_button_share_sheet&amp;igsh=ZDNlZDc0MzIxNw%3D%3D</t>
  </si>
  <si>
    <t>Hewr√Æ Caf√© &amp; Restaurant</t>
  </si>
  <si>
    <t>Nehringstra√üe 23-24</t>
  </si>
  <si>
    <t>+49 176 32954207</t>
  </si>
  <si>
    <t>La bella Sicilia</t>
  </si>
  <si>
    <t>Wie zuhause in Italien</t>
  </si>
  <si>
    <t>Tucker Brunch Bar</t>
  </si>
  <si>
    <t>W√ºhlischstra√üe 1, Berlin, 10245</t>
  </si>
  <si>
    <t>https://tuckerbrunchbar.com/</t>
  </si>
  <si>
    <t>tuckerbrunchbar@gmail.com</t>
  </si>
  <si>
    <t>instagram: http://instagram.com/tuckerbrunchbar, facebook: http://facebook.com/tuckerbrunchbar</t>
  </si>
  <si>
    <t>Tanuki</t>
  </si>
  <si>
    <t>Dolgenseestra√üe 8b, Berlin, 10319</t>
  </si>
  <si>
    <t>http://tanuki-restaurant.de/tanuki</t>
  </si>
  <si>
    <t>E-Mailinfo@tanuki-restaurant.de</t>
  </si>
  <si>
    <t>Pan Asia Kitchen</t>
  </si>
  <si>
    <t>Anzengruberstra√üe 20, Berlin, 12043</t>
  </si>
  <si>
    <t>+49 30 55101824</t>
  </si>
  <si>
    <t>7 Dumpling</t>
  </si>
  <si>
    <t>Taj Mahal Haus</t>
  </si>
  <si>
    <t>Wendenschlo√üstra√üe 12, 12559</t>
  </si>
  <si>
    <t>+49 800 20207702</t>
  </si>
  <si>
    <t>SVEDA</t>
  </si>
  <si>
    <t>Schwedter Stra√üe 79, Berlin, 10437</t>
  </si>
  <si>
    <t>https://sveda-berlin.de/</t>
  </si>
  <si>
    <t>instagram: https://instagram.com/sveda_berlin</t>
  </si>
  <si>
    <t>Terrazza Portofino</t>
  </si>
  <si>
    <t>Stra√üe der Pariser Kommune 18 d, Berlin, 10243</t>
  </si>
  <si>
    <t>https://www.terrazza-portofino.de/</t>
  </si>
  <si>
    <t>info@terrazza-portofino.de</t>
  </si>
  <si>
    <t>+49 30 25747433</t>
  </si>
  <si>
    <t>Albero</t>
  </si>
  <si>
    <t>Buya Izakaya Ramen</t>
  </si>
  <si>
    <t>Reichenberger Stra√üe 36, Berlin, 10999</t>
  </si>
  <si>
    <t>https://www.buyarestaurants.com/buya-ramen-kreuzberg.html</t>
  </si>
  <si>
    <t>info@buyaberlin.com</t>
  </si>
  <si>
    <t>+49 30 64461073</t>
  </si>
  <si>
    <t>facebook: https://www.facebook.com/buyaberlin/, instagram: https://www.instagram.com/buyaberlin/</t>
  </si>
  <si>
    <t>han west</t>
  </si>
  <si>
    <t>G√∂rlitzer Stra√üe 69, Berlin, 10997</t>
  </si>
  <si>
    <t>https://www.hanwest.de/</t>
  </si>
  <si>
    <t>jobs@hanwest.de</t>
  </si>
  <si>
    <t>facebook: https://www.facebook.com/hanwest.dumplings/, instagram: https://www.instagram.com/hanwest.dumplings/</t>
  </si>
  <si>
    <t>Bricks &amp; Mortar</t>
  </si>
  <si>
    <t>Voigtstra√üe 42, Berlin, 10247</t>
  </si>
  <si>
    <t>https://www.bricksandmortarberlin.de/</t>
  </si>
  <si>
    <t>facebook: https://www.facebook.com/bricksandmortarberlin/, instagram: https://www.instagram.com/bricksandmortar_berlin/</t>
  </si>
  <si>
    <t>Kornelia</t>
  </si>
  <si>
    <t>Made in Sud</t>
  </si>
  <si>
    <t>Heinersdorfer Stra√üe 21, Berlin, 12209</t>
  </si>
  <si>
    <t>https://www.made-in-sud-berlin.de</t>
  </si>
  <si>
    <t>Il Pozzetto</t>
  </si>
  <si>
    <t>Helmholtzstra√üe 30, Berlin, 10587</t>
  </si>
  <si>
    <t>http://www.ilpozzetto.de/</t>
  </si>
  <si>
    <t>+49 30 3996780</t>
  </si>
  <si>
    <t>Besh</t>
  </si>
  <si>
    <t>Br√ºckenstra√üe 15, Berlin, 10179</t>
  </si>
  <si>
    <t>https://be5h.com/</t>
  </si>
  <si>
    <t>facebook: https://www.facebook.com/Besh-570364406989903/, instagram: https://www.instagram.com/beshfood</t>
  </si>
  <si>
    <t>Focaccia Mia</t>
  </si>
  <si>
    <t>Boxhagener Stra√üe 117, Berlin, 10245</t>
  </si>
  <si>
    <t>https://focacciamia.simplywebshop.de/</t>
  </si>
  <si>
    <t>+49 172 7494724</t>
  </si>
  <si>
    <t>Friesicke Eck - Biergarten</t>
  </si>
  <si>
    <t>BLACKBEARDS BBQ FACTORY</t>
  </si>
  <si>
    <t>Zur Alten B√∂rse 68, Berlin, 12681</t>
  </si>
  <si>
    <t>https://blackbeards.berlin/</t>
  </si>
  <si>
    <t>Tsu Tsu</t>
  </si>
  <si>
    <t>+49 30 25736601</t>
  </si>
  <si>
    <t>Parma di Vinibenedetti</t>
  </si>
  <si>
    <t>Karolinenhof</t>
  </si>
  <si>
    <t>http://restaurant-karolinenhof.de/</t>
  </si>
  <si>
    <t>Paulo Scutarro</t>
  </si>
  <si>
    <t>Bistro Lebenswelten</t>
  </si>
  <si>
    <t>Schlo√üplatz 1</t>
  </si>
  <si>
    <t>https://www.humboldtforum.org/de/programm/dauerangebot/essen-und-trinken/lebenswelten-bistro-22193/</t>
  </si>
  <si>
    <t>humboldtforum@lebenswelten.de</t>
  </si>
  <si>
    <t>instagram: https://www.instagram.com/humboldtforum/, facebook: https://www.facebook.com/humboldtforumberlin/</t>
  </si>
  <si>
    <t>Kim999</t>
  </si>
  <si>
    <t>Mollstra√üe 31, Berlin, 10249</t>
  </si>
  <si>
    <t>http://kim999.de</t>
  </si>
  <si>
    <t>+49 30 28879114</t>
  </si>
  <si>
    <t>Balkan Grill</t>
  </si>
  <si>
    <t>Mariendorfer Damm 90, Berlin, 12109</t>
  </si>
  <si>
    <t>http://balkangrillhaus.de/</t>
  </si>
  <si>
    <t>info@balkangrillhaus.de</t>
  </si>
  <si>
    <t>+49 30 78712323</t>
  </si>
  <si>
    <t>Sushi f√ºr Hamburg</t>
  </si>
  <si>
    <t>Pestalozzistra√üe 69, Berlin, 10627</t>
  </si>
  <si>
    <t>One More Chapter</t>
  </si>
  <si>
    <t>http://https://www.interkontinental.org/</t>
  </si>
  <si>
    <t>info@interkontinental.org</t>
  </si>
  <si>
    <t>Tasty Cuisine</t>
  </si>
  <si>
    <t>Prager Platz 4, Berlin, 10779</t>
  </si>
  <si>
    <t>http://www.tastycuisineberlin.de</t>
  </si>
  <si>
    <t>+49 30 46736538</t>
  </si>
  <si>
    <t>Comcha</t>
  </si>
  <si>
    <t>Dresdener Stra√üe 15, Berlin, 10999</t>
  </si>
  <si>
    <t>+49 30 65483962</t>
  </si>
  <si>
    <t>Meet Me Halfway</t>
  </si>
  <si>
    <t>Zinnowitzer Stra√üe 5, Berlin, 10115</t>
  </si>
  <si>
    <t>https://www.meetmehalfway.berlin/</t>
  </si>
  <si>
    <t>hello@meetmehalfway.berlin</t>
  </si>
  <si>
    <t>+49 30 915726 35</t>
  </si>
  <si>
    <t>Kantine Sorgenfrei e.V.</t>
  </si>
  <si>
    <t>Kleine Charlotte</t>
  </si>
  <si>
    <t>Holtzendorffstra√üe 1, Berlin, 14057</t>
  </si>
  <si>
    <t>https://kleine-charlotte.de</t>
  </si>
  <si>
    <t>Five Rivers</t>
  </si>
  <si>
    <t>Albrechtstra√üe 11</t>
  </si>
  <si>
    <t>https://five-rivers.de/</t>
  </si>
  <si>
    <t>+49 30 42141971</t>
  </si>
  <si>
    <t>instagram: https://www.instagram.com/fiverivers.berlin/?hl=de, facebook: https://www.facebook.com/fiverivers.berlin</t>
  </si>
  <si>
    <t>Restaurant Split</t>
  </si>
  <si>
    <t>Marienfelder Allee 201, Berlin, 12279</t>
  </si>
  <si>
    <t>https://restaurant-split.de/</t>
  </si>
  <si>
    <t>+49 30 7212971</t>
  </si>
  <si>
    <t>Trecento Grammi</t>
  </si>
  <si>
    <t>Qu√™ Choa</t>
  </si>
  <si>
    <t>Alt-Moabit 96D, Berlin, 10559</t>
  </si>
  <si>
    <t>https://que-choa.de</t>
  </si>
  <si>
    <t>mail@que-choa.de</t>
  </si>
  <si>
    <t>facebook: https://www.facebook.com/policy.php, instagram: https://www.instagram.com/quechoa.restaurant/</t>
  </si>
  <si>
    <t>Tikka Haus</t>
  </si>
  <si>
    <t>Waidmannsluster Damm 176, Berlin, 13469</t>
  </si>
  <si>
    <t>Tennis-Club Gr√ºn-Wei√ü Nikolassee</t>
  </si>
  <si>
    <t>Assatir</t>
  </si>
  <si>
    <t>Uhlandstra√üe 83, Berlin, 10717</t>
  </si>
  <si>
    <t>Zeyt &amp; Za'atar</t>
  </si>
  <si>
    <t>Altenbraker Stra√üe 20</t>
  </si>
  <si>
    <t>+49 30 22328293</t>
  </si>
  <si>
    <t>Fellini Pizza</t>
  </si>
  <si>
    <t>Langhansstra√üe 151-152, Berlin, 13086</t>
  </si>
  <si>
    <t>https://www.fellini-pizza.de/</t>
  </si>
  <si>
    <t>+49 30 21603810</t>
  </si>
  <si>
    <t>Sahara Imbiss</t>
  </si>
  <si>
    <t>Berliner Allee 45, Berlin, 13088</t>
  </si>
  <si>
    <t>https://masala-imbiss.eatbu.com/</t>
  </si>
  <si>
    <t>vegan.sahara@gmail.com</t>
  </si>
  <si>
    <t>+49 177 1957566</t>
  </si>
  <si>
    <t>√ñz Urfa</t>
  </si>
  <si>
    <t>Berliner Allee 47, Berlin, 13088</t>
  </si>
  <si>
    <t>+49 176 22266015</t>
  </si>
  <si>
    <t>Mercan D√∂ner</t>
  </si>
  <si>
    <t>Berliner Allee 93, Berlin, 13088</t>
  </si>
  <si>
    <t>Frieda</t>
  </si>
  <si>
    <t>Lychener Stra√üe 37, Berlin, 10437</t>
  </si>
  <si>
    <t>https://www.cafefrieda.de/</t>
  </si>
  <si>
    <t>9800HELLO@CAFEFRIEDA.DEFOLLOW</t>
  </si>
  <si>
    <t>+49 30 44719800</t>
  </si>
  <si>
    <t>instagram: https://www.instagram.com/cafe_frieda/</t>
  </si>
  <si>
    <t>Muschelbar</t>
  </si>
  <si>
    <t>Dunckerstra√üe 10, Berlin, 10437</t>
  </si>
  <si>
    <t>https://muschelbar.com/</t>
  </si>
  <si>
    <t>+49 30 63412066</t>
  </si>
  <si>
    <t>instagram: https://www.instagram.com/muschelbar/?hl=de</t>
  </si>
  <si>
    <t>RISA</t>
  </si>
  <si>
    <t>https://www.risachicken.com/</t>
  </si>
  <si>
    <t>Binh v·ªãt Qu√°n</t>
  </si>
  <si>
    <t>Herzbergstra√üe 28, Berlin, 10365</t>
  </si>
  <si>
    <t>Perbacco</t>
  </si>
  <si>
    <t>Corinthstra√üe 20</t>
  </si>
  <si>
    <t>https://ristorante-perbacco.de/</t>
  </si>
  <si>
    <t>+49 179 5138663</t>
  </si>
  <si>
    <t>Burger Tor</t>
  </si>
  <si>
    <t>Hermannstra√üe 116, Berlin, 12051</t>
  </si>
  <si>
    <t>Firuze</t>
  </si>
  <si>
    <t>Raumerstra√üe 3, Berlin, 10437</t>
  </si>
  <si>
    <t>+49 30 28859545</t>
  </si>
  <si>
    <t>Appetito</t>
  </si>
  <si>
    <t>Punjabi Zaiqa</t>
  </si>
  <si>
    <t>+49 30 49916660</t>
  </si>
  <si>
    <t>Tabbouleh Libanesische Spezialit√§ten</t>
  </si>
  <si>
    <t>Marzahner Chaussee, Berlin, 12681</t>
  </si>
  <si>
    <t>Com Pho Viet</t>
  </si>
  <si>
    <t>Wulle</t>
  </si>
  <si>
    <t>Wullenweberstra√üe 15, Berlin, 10555</t>
  </si>
  <si>
    <t>https://www.wulle-berlin.de</t>
  </si>
  <si>
    <t>+49 30 39875007</t>
  </si>
  <si>
    <t>When Dreams Come True</t>
  </si>
  <si>
    <t>G√ºntzelstra√üe 3, Berlin, 10717</t>
  </si>
  <si>
    <t>Stari Most</t>
  </si>
  <si>
    <t>Halemweg 21, Berlin, 13627</t>
  </si>
  <si>
    <t>https://www.restaurantstarimost.com/</t>
  </si>
  <si>
    <t>+49 30 96600311</t>
  </si>
  <si>
    <t>Muna</t>
  </si>
  <si>
    <t>+4930 98440301</t>
  </si>
  <si>
    <t>El Pepe Tapasbar</t>
  </si>
  <si>
    <t>Prinzenallee 25, Berlin, 13359</t>
  </si>
  <si>
    <t>https://elpepetapasbar.de</t>
  </si>
  <si>
    <t>info@elpepetapasbar.de</t>
  </si>
  <si>
    <t>+49 30 55647693</t>
  </si>
  <si>
    <t>facebook: https://www.facebook.com/elpepeberlin/, instagram: https://www.instagram.com/el_pepe_berlin/</t>
  </si>
  <si>
    <t>Fr√ºhst√ºck 3000</t>
  </si>
  <si>
    <t>B√ºlowstra√üe 101, Berlin, 10783</t>
  </si>
  <si>
    <t>https://fruehstueck3000.com</t>
  </si>
  <si>
    <t>+49 30 436 666 59</t>
  </si>
  <si>
    <t>facebook: https://www.facebook.com/fruehstueck3000/, instagram: https://www.instagram.com/fruehstueck3000/</t>
  </si>
  <si>
    <t>Sljiva</t>
  </si>
  <si>
    <t>http://sljiva-berlin.com/</t>
  </si>
  <si>
    <t>facebook: https://www.facebook.com/Sljiva-132542674107238/, instagram: https://www.instagram.com/sljivaberlin/?hl=de</t>
  </si>
  <si>
    <t>PocoLoco 2</t>
  </si>
  <si>
    <t>Hermsdorfer Damm 133, Berlin, 13467</t>
  </si>
  <si>
    <t>http://www.pocolocoberlin.de</t>
  </si>
  <si>
    <t>karow@pocoloco-restaurant.de</t>
  </si>
  <si>
    <t>facebook: https://www.facebook.com/pocoloco.karow, twitter: https://twitter.com/PocoLoco_Berlin, instagram: https://www.instagram.com/pocoloco.restaurant</t>
  </si>
  <si>
    <t>Spaccanapoli Nr. 12</t>
  </si>
  <si>
    <t>W√ºhlischstra√üe 12, 10245</t>
  </si>
  <si>
    <t>https://spaccanapoli12.com/</t>
  </si>
  <si>
    <t>spaccanapoliberlin@gmail.comCredit</t>
  </si>
  <si>
    <t>+49 30 40550336</t>
  </si>
  <si>
    <t>facebook: https://www.facebook.com/spaccanapoliberlin, instagram: https://www.instagram.com/spaccanapoliberlin/, tiktok: https://www.tiktok.com/@spaccanapoliberlin</t>
  </si>
  <si>
    <t>La Bocca di Culaccino</t>
  </si>
  <si>
    <t>https://labocca.berlin/</t>
  </si>
  <si>
    <t>reservierung@labocca.berlin</t>
  </si>
  <si>
    <t>+49 30 22 666 400</t>
  </si>
  <si>
    <t>Il Carpaccio</t>
  </si>
  <si>
    <t>Alt-Wittenau 39, Berlin, 13437</t>
  </si>
  <si>
    <t>Sportcasino Sch√∂neberg</t>
  </si>
  <si>
    <t>Dadu</t>
  </si>
  <si>
    <t>Alt-Tegel 6, Berlin, 13507</t>
  </si>
  <si>
    <t>https://www.dadu-restaurant.de</t>
  </si>
  <si>
    <t>info@dadu-restaurant.de</t>
  </si>
  <si>
    <t>+49 30 84115470</t>
  </si>
  <si>
    <t>Asia Palast</t>
  </si>
  <si>
    <t>Tamia</t>
  </si>
  <si>
    <t>Vo√üstra√üe 10, Berlin, 10117</t>
  </si>
  <si>
    <t>New Ocean</t>
  </si>
  <si>
    <t>Mariendorfer Damm 175, Berlin</t>
  </si>
  <si>
    <t>Casino Mommsenstadion</t>
  </si>
  <si>
    <t>Waldschulallee 34, Berlin, 14055</t>
  </si>
  <si>
    <t>Ristorante Cumberland</t>
  </si>
  <si>
    <t>Al Bayt Al Dimashki</t>
  </si>
  <si>
    <t>Tempelhofer Damm 232, Berlin, 12099</t>
  </si>
  <si>
    <t>Caf√© [a'lu]</t>
  </si>
  <si>
    <t>Bless</t>
  </si>
  <si>
    <t>Hausvogteiplatz 10, Berlin, 10117</t>
  </si>
  <si>
    <t>https://bless-restaurants.com/berlin/</t>
  </si>
  <si>
    <t>hello@bless-restaurants.com</t>
  </si>
  <si>
    <t>+49 30 20619795</t>
  </si>
  <si>
    <t>instagram: https://www.instagram.com/blessrestaurants/, facebook: https://www.facebook.com/blessrestaurants, linkedin: https://www.linkedin.com/company/blessrestaurants/</t>
  </si>
  <si>
    <t>CHIARO</t>
  </si>
  <si>
    <t>Behrenstra√üe 37, Berlin, 10117</t>
  </si>
  <si>
    <t>Cafeteria und Kantine f√ºr alle</t>
  </si>
  <si>
    <t>Treskowallee 8, Berlin, 10318</t>
  </si>
  <si>
    <t>Mittagstisch im alten Waschhaus</t>
  </si>
  <si>
    <t>UUU</t>
  </si>
  <si>
    <t>https://uuu-berlin.de</t>
  </si>
  <si>
    <t>info@uuu-berlin.de</t>
  </si>
  <si>
    <t>+49 30 56009028</t>
  </si>
  <si>
    <t>instagram: http://instagram.com/uuuberlin</t>
  </si>
  <si>
    <t>Peque√±a Habana</t>
  </si>
  <si>
    <t>Eisenacher Stra√üe 48, Berlin, 10823</t>
  </si>
  <si>
    <t>Qu√°n Ch√®</t>
  </si>
  <si>
    <t>Berliner Allee 56, Berlin, 13088</t>
  </si>
  <si>
    <t>https://www.quan-che.com/</t>
  </si>
  <si>
    <t>+49 30 98435998</t>
  </si>
  <si>
    <t>Larem Breakfast &amp; Lunch</t>
  </si>
  <si>
    <t>Gartenfelder Stra√üe 85, 13599</t>
  </si>
  <si>
    <t>+49 30 45966046</t>
  </si>
  <si>
    <t>B√§ren Stub'l</t>
  </si>
  <si>
    <t>Yummy Hanoi</t>
  </si>
  <si>
    <t>Charlottenburger Stra√üe 57, Berlin, 13086</t>
  </si>
  <si>
    <t>Ciuk</t>
  </si>
  <si>
    <t>Mainzer Stra√üe 39, Berlin, 12053</t>
  </si>
  <si>
    <t>Vietasia</t>
  </si>
  <si>
    <t>Restaurant "Europa City"</t>
  </si>
  <si>
    <t>Nutt's Thai Kitchen</t>
  </si>
  <si>
    <t>Scharnweberstra√üe 32, Berlin, 10247</t>
  </si>
  <si>
    <t>https://nuttsthaikitchen.de/</t>
  </si>
  <si>
    <t>admin@nuttsthaikitchen.de</t>
  </si>
  <si>
    <t>Trattoria Italiano</t>
  </si>
  <si>
    <t>Tandoori N√§chte</t>
  </si>
  <si>
    <t>Bornimer Stra√üe 4, Berlin, 10711</t>
  </si>
  <si>
    <t>+49 30 54892448</t>
  </si>
  <si>
    <t>ASIA Kitchen &amp; Sushi</t>
  </si>
  <si>
    <t>Konrad-Wolf-Stra√üe 112, Berlin, 13055</t>
  </si>
  <si>
    <t>Bass Restaurant</t>
  </si>
  <si>
    <t>Schumanns Marron</t>
  </si>
  <si>
    <t>Fabbrica</t>
  </si>
  <si>
    <t>Trafooo</t>
  </si>
  <si>
    <t>Prenzlauer Allee 42, Berlin, 10405</t>
  </si>
  <si>
    <t>Ting Song</t>
  </si>
  <si>
    <t>AVIV 030</t>
  </si>
  <si>
    <t>Richardstra√üe 76, Berlin, 12043</t>
  </si>
  <si>
    <t>https://aviv030.com/</t>
  </si>
  <si>
    <t>info@aviv030.com</t>
  </si>
  <si>
    <t>Simorgh</t>
  </si>
  <si>
    <t>Masurenallee 4-6, Berlin, 14057</t>
  </si>
  <si>
    <t>https://casasimorgh.de</t>
  </si>
  <si>
    <t>service@casasimorgh.de</t>
  </si>
  <si>
    <t>+49 1521 2204101</t>
  </si>
  <si>
    <t>facebook: https://www.facebook.com/CasaSimorgh, instagram: https://www.instagram.com/simorgh_berlin, tiktok: https://tiktok.com/@casa_simorgh</t>
  </si>
  <si>
    <t>Daniel's Bistro</t>
  </si>
  <si>
    <t>Kniprodestra√üe 64, Berlin, 10407</t>
  </si>
  <si>
    <t>http://daniels-bistro.de</t>
  </si>
  <si>
    <t>Giang‚Äôs Asia Bistro</t>
  </si>
  <si>
    <t>Gustav-Adolf-Stra√üe 17A, Berlin, 13086</t>
  </si>
  <si>
    <t>Geh Veg</t>
  </si>
  <si>
    <t>Triftstra√üe 37</t>
  </si>
  <si>
    <t>https://www.gehvegberlin.de/</t>
  </si>
  <si>
    <t>D√∂ner am See</t>
  </si>
  <si>
    <t>Hennigsdorfer Stra√üe 118, Berlin, 13503</t>
  </si>
  <si>
    <t>+49 30 5514 6466</t>
  </si>
  <si>
    <t>Ferro di Cavallo Ristorante</t>
  </si>
  <si>
    <t>Zabel-Kr√ºger-Damm 227, Berlin, 13469</t>
  </si>
  <si>
    <t>Iro Izakaya Vegan</t>
  </si>
  <si>
    <t>https://iro-restaurant.de</t>
  </si>
  <si>
    <t>Baret</t>
  </si>
  <si>
    <t>Schlo√üplatz, Berlin, 10178</t>
  </si>
  <si>
    <t>https://baret.berlin/</t>
  </si>
  <si>
    <t>kontakt@baret.berlin</t>
  </si>
  <si>
    <t>instagram: https://www.instagram.com/baret.berlin/</t>
  </si>
  <si>
    <t>Luigis Pizzeria</t>
  </si>
  <si>
    <t>https://luigis-pizza.eatbu.com/</t>
  </si>
  <si>
    <t>luigispizzaria@web.de</t>
  </si>
  <si>
    <t>+49 30 30027666</t>
  </si>
  <si>
    <t>Dastoor</t>
  </si>
  <si>
    <t>Maxstra√üe 14, Berlin, 13347</t>
  </si>
  <si>
    <t>https://dastoor.de</t>
  </si>
  <si>
    <t>info@dastoor.de</t>
  </si>
  <si>
    <t>+49 30 12361637</t>
  </si>
  <si>
    <t>Oisi Sushi</t>
  </si>
  <si>
    <t>Heinrich-Gr√ºber-Stra√üe 12, Berlin, 12621</t>
  </si>
  <si>
    <t>https://oisisushi.de</t>
  </si>
  <si>
    <t>info@oisisushi.de</t>
  </si>
  <si>
    <t>+49 30 56492699</t>
  </si>
  <si>
    <t>Van Tanh Do</t>
  </si>
  <si>
    <t>Albrechtstra√üe 74, Berlin, 12167</t>
  </si>
  <si>
    <t>http://vanthanhdo.de</t>
  </si>
  <si>
    <t>+49 30 28681931</t>
  </si>
  <si>
    <t>Beba</t>
  </si>
  <si>
    <t>Niederkirchnerstra√üe 7, Berlin, 10963</t>
  </si>
  <si>
    <t>https://beba-berlin.com/restaurant/</t>
  </si>
  <si>
    <t>hi@beba.berlin</t>
  </si>
  <si>
    <t>facebook: https://www.facebook.com/Bebaatgropiusbau, instagram: https://www.instagram.com/bebawillfeedyou/</t>
  </si>
  <si>
    <t>S√πs√π Vegan Food</t>
  </si>
  <si>
    <t>Eberswalder Stra√üe 29, Berlin, 10437</t>
  </si>
  <si>
    <t>+49 30 89647150</t>
  </si>
  <si>
    <t>Im Wiesengrund</t>
  </si>
  <si>
    <t>Dana Pani</t>
  </si>
  <si>
    <t>Britzer Damm 125, Berlin, 12347</t>
  </si>
  <si>
    <t>https://www.danapani.de</t>
  </si>
  <si>
    <t>Fam. Tran</t>
  </si>
  <si>
    <t>Oppelner Stra√üe 46, 10997</t>
  </si>
  <si>
    <t>https://famtranberlin.de/</t>
  </si>
  <si>
    <t>Fam.tran21@gmail.com</t>
  </si>
  <si>
    <t>+49 30 74073916</t>
  </si>
  <si>
    <t>facebook: https://www.facebook.com/profile.php?id=100076664503725, instagram: https://www.instagram.com/fam.tran/</t>
  </si>
  <si>
    <t>Kitchari Kitchen</t>
  </si>
  <si>
    <t>Wa Wah Kitchen</t>
  </si>
  <si>
    <t>Heroes Grill &amp; Bar</t>
  </si>
  <si>
    <t>SoulFully Vegan</t>
  </si>
  <si>
    <t>Farmington Avenue 1240, Berlin, 06037</t>
  </si>
  <si>
    <t>https://soulfullyvegan.com</t>
  </si>
  <si>
    <t>soulfullyveganct@gmail.com</t>
  </si>
  <si>
    <t>instagram: https://www.instagram.com/soul_fully_vegan/, facebook: https://www.facebook.com/soulfullyvegan</t>
  </si>
  <si>
    <t>Himalaya Restaurant</t>
  </si>
  <si>
    <t>Bill's Farmington Ave Pizza</t>
  </si>
  <si>
    <t>Farmington Avenue 1181, Berlin, 06037</t>
  </si>
  <si>
    <t>https://www.billsfarmingtonavepizzamenu.com/</t>
  </si>
  <si>
    <t>Kensington Pizza</t>
  </si>
  <si>
    <t>Main Street 366, Kensington, 06037</t>
  </si>
  <si>
    <t>https://www.kensingtonpizzact.com/</t>
  </si>
  <si>
    <t>Kensingtonpizzact@gmail.com</t>
  </si>
  <si>
    <t>facebook: https://www.facebook.com/RealKensingtonPizza/?rf=111674242203471</t>
  </si>
  <si>
    <t>Family's Bakery and Restaurant</t>
  </si>
  <si>
    <t>Happy Garden</t>
  </si>
  <si>
    <t>New Britain Road 202, Berlin, 06037</t>
  </si>
  <si>
    <t>https://thehappygardenct.com/</t>
  </si>
  <si>
    <t>+1 860-229-8518</t>
  </si>
  <si>
    <t>Cantina Siciliana da Vittorio</t>
  </si>
  <si>
    <t>AMOR</t>
  </si>
  <si>
    <t>+49 30 40042211</t>
  </si>
  <si>
    <t>Vero</t>
  </si>
  <si>
    <t>Alt-K√∂penick 20, Berlin, 12555</t>
  </si>
  <si>
    <t>https://ristorantevero.eatbu.com</t>
  </si>
  <si>
    <t>bayveromimo@gmail.com</t>
  </si>
  <si>
    <t>+49 30 64328527</t>
  </si>
  <si>
    <t>facebook: https://www.facebook.com/pages/Ristorante-Vero/295874053853572?fref=ts</t>
  </si>
  <si>
    <t>House Of Small Wonder</t>
  </si>
  <si>
    <t>https://houseofsmallwonder.de</t>
  </si>
  <si>
    <t>Gia Bao Quan</t>
  </si>
  <si>
    <t>Hauptstra√üe 158, Berlin, 10827</t>
  </si>
  <si>
    <t>Grillstand</t>
  </si>
  <si>
    <t>Tony's Fresh</t>
  </si>
  <si>
    <t>Ortolfstra√üe 206A, Berlin, 12524</t>
  </si>
  <si>
    <t>Trattoria Dolce Vita</t>
  </si>
  <si>
    <t>Dannenwalder Weg 87, Berlin, 13439</t>
  </si>
  <si>
    <t>BODHICITTA.veganbowl</t>
  </si>
  <si>
    <t>https://www.bodhicittaveganbowl.de/</t>
  </si>
  <si>
    <t>+49 30 62970134</t>
  </si>
  <si>
    <t>Tsomi</t>
  </si>
  <si>
    <t>Kollwitzstra√üe 66, Berlin, 10435</t>
  </si>
  <si>
    <t>https://restaurant-tsomi.de/</t>
  </si>
  <si>
    <t>+49 30 440 404 99</t>
  </si>
  <si>
    <t>instagram: https://www.instagram.com/tsomi.saragogi.berlin/</t>
  </si>
  <si>
    <t>China-Restaurant Neu Wuzhou</t>
  </si>
  <si>
    <t>Marzahner Promenade 14, Berlin, 12679</t>
  </si>
  <si>
    <t>Van Lang</t>
  </si>
  <si>
    <t>Marzahner Promenade 42, Berlin, 12679</t>
  </si>
  <si>
    <t>Army Food</t>
  </si>
  <si>
    <t>Mauerstra√üe 1, Berlin, 10117</t>
  </si>
  <si>
    <t>Gao</t>
  </si>
  <si>
    <t>Landsberger Allee 68D, Berlin, 10249</t>
  </si>
  <si>
    <t>https://gaofresh.com</t>
  </si>
  <si>
    <t>info@gaofresh.com</t>
  </si>
  <si>
    <t>facebook: https://www.facebook.com/sharer/sharer.php?u=https://gaofresh.com/produkt/bun-bo-la-lot/, instagram: https://www.instagram.com/gao.fresh.food.fast/?hl=de, twitter: https://x.com/share?url=https://gaofresh.com/produkt/bun-bo-la-lot/</t>
  </si>
  <si>
    <t>G√©mesk√∫t Cs√°rda</t>
  </si>
  <si>
    <t>Hultschiner Damm 236, Berlin, 12623</t>
  </si>
  <si>
    <t>https://www.zumziehbrunnen.de/</t>
  </si>
  <si>
    <t>info@zumziehbrunnen.de</t>
  </si>
  <si>
    <t>+49 30 56547511</t>
  </si>
  <si>
    <t>facebook: https://www.facebook.com/GemeskutCsardaHotelZumZiehbrunnen, instagram: https://www.instagram.com/zum_ziehbrunnen/?hl=de</t>
  </si>
  <si>
    <t>Burger City</t>
  </si>
  <si>
    <t>SESSANTASEI- italian style</t>
  </si>
  <si>
    <t>https://www.ristobar-sessantasei.de/</t>
  </si>
  <si>
    <t>info@ristobar-sessantasei.de</t>
  </si>
  <si>
    <t>instagram: https://www.instagram.com/sessantasei6/</t>
  </si>
  <si>
    <t>Speisekombinat</t>
  </si>
  <si>
    <t>Chausseestra√üe 116, Berlin, 10115</t>
  </si>
  <si>
    <t>https://speise-kombinat.de</t>
  </si>
  <si>
    <t>info@kombinat-lounge.de</t>
  </si>
  <si>
    <t>Herzst√ºck</t>
  </si>
  <si>
    <t>https://www.herzstueck.eatbu.com/?utm_source=restaurantguru&amp;utm_medium=referral</t>
  </si>
  <si>
    <t>Galer√≠a Lunasol</t>
  </si>
  <si>
    <t>Schierker Stra√üe 35, Berlin, 12051</t>
  </si>
  <si>
    <t>https://lunasol.berlin/</t>
  </si>
  <si>
    <t>info@lunasol.berlinSchierker</t>
  </si>
  <si>
    <t>twitter: https://twitter.com/lunasolberlin, instagram: https://www.instagram.com/galerialunasol/</t>
  </si>
  <si>
    <t>mimiferments</t>
  </si>
  <si>
    <t>https://mimiferments.com</t>
  </si>
  <si>
    <t>instagram: https://www.instagram.com/mimiferments/?hl=de</t>
  </si>
  <si>
    <t>HAKI-Vietnamesisches Restaurant &amp; Sushi-Bar</t>
  </si>
  <si>
    <t>Seestra√üe 34, Berlin, 12623</t>
  </si>
  <si>
    <t>RokuHachi Berlin</t>
  </si>
  <si>
    <t>Anappurna</t>
  </si>
  <si>
    <t>Marburger Stra√üe 5, Berlin, 10789</t>
  </si>
  <si>
    <t>http://anappurna-restaurant.de</t>
  </si>
  <si>
    <t>mranand1258@gmail.com</t>
  </si>
  <si>
    <t>+49 30 31803827</t>
  </si>
  <si>
    <t>facebook: https://www.facebook.com/Anappurna/, instagram: https://www.instagram.com/anappurna_restaurant/</t>
  </si>
  <si>
    <t>Mastro Pizza</t>
  </si>
  <si>
    <t>Winterfeldtstra√üe 72, Berlin, 10781</t>
  </si>
  <si>
    <t>Viet Thai</t>
  </si>
  <si>
    <t>Flatto Berlin</t>
  </si>
  <si>
    <t>Reinhardtstra√üe 19, 10117</t>
  </si>
  <si>
    <t>O-slow</t>
  </si>
  <si>
    <t>Schwedenstra√üe 3B, Berlin, 13357</t>
  </si>
  <si>
    <t>oslowimbiss@gmail.com</t>
  </si>
  <si>
    <t>Coccodrillo</t>
  </si>
  <si>
    <t>Veteranenstra√üe 9, Berlin, 10119</t>
  </si>
  <si>
    <t>https://www.bigsquadra.com/restaurants/coccodrillo-berlin/</t>
  </si>
  <si>
    <t>instagram: https://www.instagram.com/bigsquadra</t>
  </si>
  <si>
    <t>Babaleison</t>
  </si>
  <si>
    <t>Kottbusser Stra√üe 1, Berlin, 10999</t>
  </si>
  <si>
    <t>https://babaleison.com/</t>
  </si>
  <si>
    <t>Leylak</t>
  </si>
  <si>
    <t>Kottbusser Stra√üe 25, 10999</t>
  </si>
  <si>
    <t>Chez Emil</t>
  </si>
  <si>
    <t>Dortmunder Stra√üe 12, Berlin, 10555</t>
  </si>
  <si>
    <t>https://chez-emil.com/</t>
  </si>
  <si>
    <t>contact@chezemil.com</t>
  </si>
  <si>
    <t>+49 30 25776851</t>
  </si>
  <si>
    <t>Bonvivant Cocktail Bistro</t>
  </si>
  <si>
    <t>Goltzstra√üe 32, Berlin, 10781</t>
  </si>
  <si>
    <t>bonvivant.berlin</t>
  </si>
  <si>
    <t>info@bonvivant.berlinPhone</t>
  </si>
  <si>
    <t>facebook: https://www.facebook.com/bonvivant.berlin, instagram: https://www.instagram.com/bonvivantberlin</t>
  </si>
  <si>
    <t>Bangkok Bites</t>
  </si>
  <si>
    <t>Knaackstra√üe 22</t>
  </si>
  <si>
    <t>Al Catzone - Pizza Napovegana</t>
  </si>
  <si>
    <t>Brandesstra√üe 7, Berlin, 10969</t>
  </si>
  <si>
    <t>https://www.alcatzone.com/</t>
  </si>
  <si>
    <t>+49 30 25937260</t>
  </si>
  <si>
    <t>instagram: https://www.instagram.com/alcatz_one, facebook: https://www.facebook.com/wix, twitter: https://www.twitter.com/wix, tiktok: https://www.tiktok.com/@wix?_d=secCgYIASAHKAESPgo8bJWqrWC4Nr%2BRYzP%2BVtrmkW1yv8onKe340Iy%2FTDOE1GiC5K1C6e8qw19A1ZDHAm8CRSncDs9zU2FiADwVGgA%3D&amp;checksum=6ee3b8ed09a7b80754f53d8d9654f3607efacb929e1fe7cb2168ab163f9c106d&amp;language=en&amp;sec_uid=MS4wLjABAAAAYHhFoEGKGLJwnIBxd-QXc1KVcUtlG1sHpsa0HQUHGw4zmND_lFqx6z2IPJH7chg_&amp;sec_user_id=MS4wLjABAAAAgPHZ_FdpBZBJUM3ddmqfpjOvm-vJLKHpFiyv4dstvGcgdF3_apqTw54z5V4uOXel&amp;share_app_id=1233&amp;share_author_id=6795533291946083333&amp;share_link_id=830633BB-5464-41EC-A582-52B78B5041AC&amp;tt_from=copy&amp;u_code=dccm9a1hm10m3e&amp;user_id=6827810298247119878&amp;utm_campaign=client_share&amp;utm_medium=ios&amp;utm_source=copy&amp;source=h5_m&amp;_r=1</t>
  </si>
  <si>
    <t>Schifferstube Joersfelde</t>
  </si>
  <si>
    <t>Marlenestra√üe 19, Berlin, 13505</t>
  </si>
  <si>
    <t>https://www.joersfelder-segel-club.de/club/die-joersfelder-schifferstube/</t>
  </si>
  <si>
    <t>schifferstube@jsc-berlin.de</t>
  </si>
  <si>
    <t>Da Zio Remo</t>
  </si>
  <si>
    <t>Soban</t>
  </si>
  <si>
    <t>The Room Berlin Restaurant &amp; Hookah</t>
  </si>
  <si>
    <t>Mariendorfer Damm 96/98, Berlin, 12109</t>
  </si>
  <si>
    <t>+49 3070079342</t>
  </si>
  <si>
    <t>The Crazy Little Greek</t>
  </si>
  <si>
    <t>Chikogi</t>
  </si>
  <si>
    <t>Oranienstra√üe 31</t>
  </si>
  <si>
    <t>Nostos</t>
  </si>
  <si>
    <t>Oberhofer Platz 9A, Berlin, 12209</t>
  </si>
  <si>
    <t>https://nostos-berlin.de</t>
  </si>
  <si>
    <t>+49 30 64828586</t>
  </si>
  <si>
    <t>Ristorante Bellini</t>
  </si>
  <si>
    <t>https://bellini-berlin.de</t>
  </si>
  <si>
    <t>+49 30 83542345</t>
  </si>
  <si>
    <t>Spaghetteria Loreta</t>
  </si>
  <si>
    <t>Prenzlauer Allee 175, Berlin, 10409</t>
  </si>
  <si>
    <t>+49 30 23949213</t>
  </si>
  <si>
    <t>D.O.</t>
  </si>
  <si>
    <t>Kollwitzstra√üe 88, Berlin, 10435</t>
  </si>
  <si>
    <t>HAS KEBAP</t>
  </si>
  <si>
    <t>Alt-Moabit 104A, Berlin, 10559</t>
  </si>
  <si>
    <t>Piri's</t>
  </si>
  <si>
    <t>Boddinstra√üe 61, Berlin, 12053</t>
  </si>
  <si>
    <t>https://piris-chicken.com/</t>
  </si>
  <si>
    <t>Meshur</t>
  </si>
  <si>
    <t>Waldstra√üe 60, Berlin, 10551</t>
  </si>
  <si>
    <t>√ñzen K√∂fteci</t>
  </si>
  <si>
    <t>Frankfurter Allee 80, Berlin, 10247</t>
  </si>
  <si>
    <t>Sarajevo</t>
  </si>
  <si>
    <t>Triftstra√üe 8, Berlin, 13353</t>
  </si>
  <si>
    <t>Didi Pa</t>
  </si>
  <si>
    <t>Sonnenallee 31</t>
  </si>
  <si>
    <t>https://didipa.de/</t>
  </si>
  <si>
    <t>info@didipa-berlin.de</t>
  </si>
  <si>
    <t>+49 30 24 53 19 81</t>
  </si>
  <si>
    <t>facebook: https://www.facebook.com/didipaberlin/, instagram: https://www.instagram.com/didipaberlin/?hl=de</t>
  </si>
  <si>
    <t>Pitaya</t>
  </si>
  <si>
    <t>Hauptstra√üe 159, Berlin, 10827</t>
  </si>
  <si>
    <t>https://pitaya.jimdosite.com/</t>
  </si>
  <si>
    <t>+49 30 76768499</t>
  </si>
  <si>
    <t>Mibap</t>
  </si>
  <si>
    <t>Torstra√üe 22, Berlin, 10119</t>
  </si>
  <si>
    <t>https://mibap.berlin/</t>
  </si>
  <si>
    <t>Selecta Modern Pizza</t>
  </si>
  <si>
    <t>Prenzlauer Allee 32, Berlin, 10405</t>
  </si>
  <si>
    <t>Pizza Prima</t>
  </si>
  <si>
    <t>Hayatna</t>
  </si>
  <si>
    <t>Kottbusser Damm 20</t>
  </si>
  <si>
    <t>Himmel 8</t>
  </si>
  <si>
    <t>Ritterstra√üe 8, Berlin, 10969</t>
  </si>
  <si>
    <t>https://www.himmel-8.de</t>
  </si>
  <si>
    <t>info@himmel-8.de</t>
  </si>
  <si>
    <t>facebook: https://www.facebook.com/H8Restaurant, instagram: https://www.instagram.com/h8restaurant</t>
  </si>
  <si>
    <t>Mr. Rice</t>
  </si>
  <si>
    <t>Eichborndamm 19, Berlin, 13403</t>
  </si>
  <si>
    <t>https://mr-rice-berlin.de/</t>
  </si>
  <si>
    <t>+49 30 896 415 08</t>
  </si>
  <si>
    <t>Ay Harmony</t>
  </si>
  <si>
    <t>Hai Coffee</t>
  </si>
  <si>
    <t>Wallstra√üe 2</t>
  </si>
  <si>
    <t>https://www.haicoffee.de/</t>
  </si>
  <si>
    <t>haicoffeeasianfood@gmail.com</t>
  </si>
  <si>
    <t>+49 30 32593243</t>
  </si>
  <si>
    <t>facebook: https://www.facebook.com/HaiCoffee.Wallstreet.1, instagram: https://www.instagram.com/haicoffeeasianfood/</t>
  </si>
  <si>
    <t>Vino Greco</t>
  </si>
  <si>
    <t>Cocos indo thai namesisch</t>
  </si>
  <si>
    <t>The Source</t>
  </si>
  <si>
    <t>https://www.instagram.com/thesourcefp/</t>
  </si>
  <si>
    <t>ouquoi@leslam.de</t>
  </si>
  <si>
    <t>Il Salotto</t>
  </si>
  <si>
    <t>Winsstra√üe 16</t>
  </si>
  <si>
    <t>Fancy Lemon</t>
  </si>
  <si>
    <t>Sch√∂nhauser Allee 54, Berlin, 10437</t>
  </si>
  <si>
    <t>Meya Meya</t>
  </si>
  <si>
    <t>Greifswalder Stra√üe 214, Berlin, 10405</t>
  </si>
  <si>
    <t>+49 1522 4148859</t>
  </si>
  <si>
    <t>Feldk√ºche</t>
  </si>
  <si>
    <t>Wilhelmstra√üe 168, Berlin, 13595</t>
  </si>
  <si>
    <t>http://www.flinkehelfer.com/</t>
  </si>
  <si>
    <t>+49 30 200 96 333</t>
  </si>
  <si>
    <t>Saigon River</t>
  </si>
  <si>
    <t>Heidestra√üe 54, Berlin, 10557</t>
  </si>
  <si>
    <t>Ichi</t>
  </si>
  <si>
    <t>Stra√üburger Stra√üe 60, Berlin, 10405</t>
  </si>
  <si>
    <t>https://ichi-berlin.de/</t>
  </si>
  <si>
    <t>ichi.eins.berlin@gmail.com</t>
  </si>
  <si>
    <t>instagram: https://www.instagram.com/ichi.berlin/, facebook: https://www.facebook.com/ichi.eins.berlin/</t>
  </si>
  <si>
    <t>metime food</t>
  </si>
  <si>
    <t>Wrapublic</t>
  </si>
  <si>
    <t>Oranienstra√üe 84.1, Berlin, 10969</t>
  </si>
  <si>
    <t>https://www.wrapublic.de</t>
  </si>
  <si>
    <t>facebook: https://www.facebook.com/WrapublicBerlin, instagram: https://www.instagram.com/wrapublic/</t>
  </si>
  <si>
    <t>Krokodil</t>
  </si>
  <si>
    <t>Gartenstra√üe 46-48, Berlin, 12557</t>
  </si>
  <si>
    <t>https://www.der-coepenicker.de/gastronomie/</t>
  </si>
  <si>
    <t>restaurant.krokodil@onlinehome.de</t>
  </si>
  <si>
    <t>+49 30 65880094</t>
  </si>
  <si>
    <t>Drei Elefanten</t>
  </si>
  <si>
    <t>Sh≈çdo Udon Lab</t>
  </si>
  <si>
    <t>Simon-Dach-Str. 41, 10245</t>
  </si>
  <si>
    <t>https://www.shodo-udonlab.com/</t>
  </si>
  <si>
    <t>contact@shodo-udonlab.com</t>
  </si>
  <si>
    <t>instagram: https://www.instagram.com/shodo.udonlab/, tiktok: https://www.tiktok.com/@shodo.udonlab</t>
  </si>
  <si>
    <t>Bistro-Lieferservice</t>
  </si>
  <si>
    <t>TL</t>
  </si>
  <si>
    <t>Samariterstra√üe 40</t>
  </si>
  <si>
    <t>Ph·ªü C·ªü</t>
  </si>
  <si>
    <t>https://phoco-berlin.de/</t>
  </si>
  <si>
    <t>phoco2018@gmail.com</t>
  </si>
  <si>
    <t>+49 30 39710948</t>
  </si>
  <si>
    <t>facebook: https://www.facebook.com/phocoberlinmitte/</t>
  </si>
  <si>
    <t>The Biryani Club</t>
  </si>
  <si>
    <t>Grindhouse Burgers</t>
  </si>
  <si>
    <t>Kollwitzstra√üe 50, 10405</t>
  </si>
  <si>
    <t>https://www.grindhouseburgers.de/</t>
  </si>
  <si>
    <t>+4930 44308353</t>
  </si>
  <si>
    <t>instagram: https://www.instagram.com/grindhouseburger/?hl=de, facebook: https://www.facebook.com/grindhouseburgers/?locale=de_DE, linkedin: https://www.linkedin.com/company/custom-burger-company-gmbh/</t>
  </si>
  <si>
    <t>Guzulka</t>
  </si>
  <si>
    <t>Sundrella</t>
  </si>
  <si>
    <t>Graf von Grill</t>
  </si>
  <si>
    <t>Schlo√üstra√üe 10, Berlin, 12163</t>
  </si>
  <si>
    <t>https://grafvongrill.de/</t>
  </si>
  <si>
    <t>Pizza Box</t>
  </si>
  <si>
    <t>Auguste-Viktoria-Allee 81, Berlin, 13403</t>
  </si>
  <si>
    <t>The Indique</t>
  </si>
  <si>
    <t>Ziegelstra√üe 29, Berlin, 10117</t>
  </si>
  <si>
    <t>https://www.theindique.com/</t>
  </si>
  <si>
    <t>Nuovo Forno</t>
  </si>
  <si>
    <t>Pustebacke</t>
  </si>
  <si>
    <t>Tegeler Weg 1, Berlin, 10589</t>
  </si>
  <si>
    <t>Viet Cuisine</t>
  </si>
  <si>
    <t>Tegeler Weg 2, Berlin, 10589</t>
  </si>
  <si>
    <t>Bistoun</t>
  </si>
  <si>
    <t>Mariendorfer Damm 30, Berlin, 12109</t>
  </si>
  <si>
    <t>https://bistoun.de/</t>
  </si>
  <si>
    <t>Die mit den Kirschen</t>
  </si>
  <si>
    <t>Wielandstra√üe 38, Berlin, 10629</t>
  </si>
  <si>
    <t>https://die-mit-den-kirschen.de/de/</t>
  </si>
  <si>
    <t>mail@netcup.de</t>
  </si>
  <si>
    <t>+49 30 47385869</t>
  </si>
  <si>
    <t>instagram: https://instagram.com/about/legal/privacy/, facebook: https://www.facebook.com/legal/EU_data_transfer_addendum</t>
  </si>
  <si>
    <t>Dolden-M√§del</t>
  </si>
  <si>
    <t>Mehringdamm 80, Berlin, 10965</t>
  </si>
  <si>
    <t>https://doldenmaedel.de/</t>
  </si>
  <si>
    <t>+49 30 77326213</t>
  </si>
  <si>
    <t>instagram: https://www.instagram.com/doldenmaedel.braugasthaus/, facebook: https://www.facebook.com/doldenmaedelbraugasthaus</t>
  </si>
  <si>
    <t>Yerevan</t>
  </si>
  <si>
    <t>Seddiner Stra√üe 8, Berlin, 10315</t>
  </si>
  <si>
    <t>https://yerevan-restaurant.de/</t>
  </si>
  <si>
    <t>info@restaurant-yerevan.de</t>
  </si>
  <si>
    <t>instagram: https://www.instagram.com/restaurant.yerevan.berlin/</t>
  </si>
  <si>
    <t>Mama Rosas Taqueria</t>
  </si>
  <si>
    <t>+49 179 7731273</t>
  </si>
  <si>
    <t>Brescia</t>
  </si>
  <si>
    <t>Noumi Lounge</t>
  </si>
  <si>
    <t>Bundesallee 75, Berlin, 12161</t>
  </si>
  <si>
    <t>https://noumi-noodles.com/schoeneberg</t>
  </si>
  <si>
    <t>lounge@noumi-noodles.com</t>
  </si>
  <si>
    <t>+49 30 46799400</t>
  </si>
  <si>
    <t>instagram: https://www.instagram.com/17841441003864968/, facebook: https://www.facebook.com/noumiberlin</t>
  </si>
  <si>
    <t>Mandy - Happy Jemen Restaurant</t>
  </si>
  <si>
    <t>Wildenbruchstra√üe 4, Berlin, 12045</t>
  </si>
  <si>
    <t>https://www.restaurantmandy.de/</t>
  </si>
  <si>
    <t>+49 30 62954516</t>
  </si>
  <si>
    <t>Papillon</t>
  </si>
  <si>
    <t>Hardenbergplatz 15, Berlin, 10623</t>
  </si>
  <si>
    <t>https://www.papillon-berlin.com/</t>
  </si>
  <si>
    <t>Casalot</t>
  </si>
  <si>
    <t>Heidestra√üe 15, Berlin, 10557</t>
  </si>
  <si>
    <t>https://casalot.de/</t>
  </si>
  <si>
    <t>facebook: https://www.facebook.com/casalotrestaurant, instagram: https://www.instagram.com/casalot_restaurant/, tiktok: https://www.tiktok.com/@casalot_restaurant</t>
  </si>
  <si>
    <t>Studio 14 - Die rbb Dachlounge</t>
  </si>
  <si>
    <t>Masurenallee 20, Berlin, 14057</t>
  </si>
  <si>
    <t>https://studio14-dierbbdachlounge.de</t>
  </si>
  <si>
    <t>reservierung@studio14-dierbbdachlounge.de</t>
  </si>
  <si>
    <t>instagram: https://www.instagram.com/studio14dierbbdachlounge/, facebook: https://www.facebook.com/studio14rbbDachlounge</t>
  </si>
  <si>
    <t>Baba Pirzola</t>
  </si>
  <si>
    <t>BITE by RitterRichard</t>
  </si>
  <si>
    <t>Rosenthaler Stra√üe 38, Berlin, 10178</t>
  </si>
  <si>
    <t>https://ritterrichard.de/the-byte/</t>
  </si>
  <si>
    <t>Ramen Studio</t>
  </si>
  <si>
    <t>Miu Lunch</t>
  </si>
  <si>
    <t>Soulmate</t>
  </si>
  <si>
    <t>Plesser Stra√üe 12, Berlin, 12435</t>
  </si>
  <si>
    <t>https://www.soulmate-restaurant.de/</t>
  </si>
  <si>
    <t>suolmateplesserstr.12@gmail.com/</t>
  </si>
  <si>
    <t>+49 30 37463348</t>
  </si>
  <si>
    <t>Mosaic</t>
  </si>
  <si>
    <t>Kantine im Westhafen</t>
  </si>
  <si>
    <t>Westhafenstra√üe 1, Berlin, 13353</t>
  </si>
  <si>
    <t>BSC-Sportcasino</t>
  </si>
  <si>
    <t>https://www.bsc-sport-casino.de/</t>
  </si>
  <si>
    <t>Tandoori Nawab</t>
  </si>
  <si>
    <t>Mariendorfer Damm 100, Berlin, 12109</t>
  </si>
  <si>
    <t>https://tandoori-nawab.com/</t>
  </si>
  <si>
    <t>+49 30 64166777</t>
  </si>
  <si>
    <t>Zushii</t>
  </si>
  <si>
    <t>Hai!Sushi</t>
  </si>
  <si>
    <t>info@hai-sushi.de</t>
  </si>
  <si>
    <t>+49 30 33958794</t>
  </si>
  <si>
    <t>Masaya</t>
  </si>
  <si>
    <t>1907.berlin</t>
  </si>
  <si>
    <t>https://1907.berlin</t>
  </si>
  <si>
    <t>Takumi</t>
  </si>
  <si>
    <t>Schlesische Stra√üe 18</t>
  </si>
  <si>
    <t>Barg</t>
  </si>
  <si>
    <t>Am Wasserwerk 24, Berlin, 10365</t>
  </si>
  <si>
    <t>Masti Indian Kitchen</t>
  </si>
  <si>
    <t>Ados Eiscafe Restaurant</t>
  </si>
  <si>
    <t>https://ados-berlin.de/</t>
  </si>
  <si>
    <t>Dieselhaus</t>
  </si>
  <si>
    <t>Forum an der Museumsinsel 10, Berlin, 10117</t>
  </si>
  <si>
    <t>https://dieselhaus-berlin.de/</t>
  </si>
  <si>
    <t>kontakt@dieselhaus-berlin.de</t>
  </si>
  <si>
    <t>+49 30 994059250</t>
  </si>
  <si>
    <t>instagram: https://www.instagram.com/dieselhaus.berlin/</t>
  </si>
  <si>
    <t>Ocean's One</t>
  </si>
  <si>
    <t>Sword Master Noodle</t>
  </si>
  <si>
    <t>Dunckerstra√üe 30, Berlin, 10439</t>
  </si>
  <si>
    <t>Wandel restaurant Deutsche Welle</t>
  </si>
  <si>
    <t>Voltastra√üe 6, 13355</t>
  </si>
  <si>
    <t>https://portal.wandel-restaurant.de/menu/Deutsche%20Welle%20Berlin/Deutsche%20Welle</t>
  </si>
  <si>
    <t>leonardo da Vinci</t>
  </si>
  <si>
    <t>+4930 453 70 83</t>
  </si>
  <si>
    <t>African Kingdom</t>
  </si>
  <si>
    <t>https://africankingdom.de/</t>
  </si>
  <si>
    <t>Shemomedjamo</t>
  </si>
  <si>
    <t>http://www.Shemomedjamo.de</t>
  </si>
  <si>
    <t>info@shemomedjamo.de</t>
  </si>
  <si>
    <t>facebook: https://www.facebook.com/people/Shemomedjamo/61553388256706/?sk=about, instagram: https://www.instagram.com/shemomedjamo_restaurant/</t>
  </si>
  <si>
    <t>Golvet</t>
  </si>
  <si>
    <t>Potsdamer Stra√üe 58, Berlin, 10785</t>
  </si>
  <si>
    <t>https://golvet.de</t>
  </si>
  <si>
    <t>info@golvet.de</t>
  </si>
  <si>
    <t>instagram: https://www.instagram.com/golvetrestaurant/, facebook: https://www.facebook.com/golvet.de</t>
  </si>
  <si>
    <t>Crafterie</t>
  </si>
  <si>
    <t>Corbaci Berlin</t>
  </si>
  <si>
    <t>Kaiser-Friedrich-Stra√üe 49</t>
  </si>
  <si>
    <t>https://www.corbaciberlin.de/</t>
  </si>
  <si>
    <t>+49 30 89542916</t>
  </si>
  <si>
    <t>Mumbai Local</t>
  </si>
  <si>
    <t>Rathausstra√üe 13, Berlin, 10178</t>
  </si>
  <si>
    <t>https://www.mumbai-local.de/</t>
  </si>
  <si>
    <t>info@mumbai-local.de</t>
  </si>
  <si>
    <t>+49 30 50959406</t>
  </si>
  <si>
    <t>Mosaik-Kantine Konzerthaus</t>
  </si>
  <si>
    <t>Taubenstra√üe 31, Berlin, 10117</t>
  </si>
  <si>
    <t>https://www.mosaik-berlin.de/de/speiseplaene</t>
  </si>
  <si>
    <t>amtsgericht-kreuzberg@mosaik-berlin.de</t>
  </si>
  <si>
    <t>instagram: https://www.instagram.com/mosaik_berlin/, facebook: https://www.facebook.com/Mosaik-Unternehmensverbund-208047659671562/</t>
  </si>
  <si>
    <t>Mensa HfM Charlottenstra√üe</t>
  </si>
  <si>
    <t>Charlottenstra√üe 55, Berlin, 10117</t>
  </si>
  <si>
    <t>https://www.stw.berlin/mensen/einrichtungen/hfm/mensa-hfm-charlottenstra√üe.html</t>
  </si>
  <si>
    <t>Trattoria Stella Dorra</t>
  </si>
  <si>
    <t>√ñz Ineg√∂l K√∂fteci</t>
  </si>
  <si>
    <t>Com Nam</t>
  </si>
  <si>
    <t>Gro√üe Pr√§sidentenstra√üe 5</t>
  </si>
  <si>
    <t>+49 30 54716529</t>
  </si>
  <si>
    <t>The Klub Kitchen</t>
  </si>
  <si>
    <t>Uhlandstra√üe 175, Berlin, 10719</t>
  </si>
  <si>
    <t>https://www.theklubkitchen.com/</t>
  </si>
  <si>
    <t>INFO@THEKLUBKITCHEN.COM</t>
  </si>
  <si>
    <t>+49 30 25736509</t>
  </si>
  <si>
    <t>facebook: https://www.facebook.com/theklubkitchen, instagram: https://www.instagram.com/theklubkitchen/</t>
  </si>
  <si>
    <t>Asia Bowl</t>
  </si>
  <si>
    <t>Mia Ramen</t>
  </si>
  <si>
    <t>Chay Long ‚Äî Hasenheide</t>
  </si>
  <si>
    <t>Hasenheide 50</t>
  </si>
  <si>
    <t>https://chay-long.com/</t>
  </si>
  <si>
    <t>+49 30 23298208</t>
  </si>
  <si>
    <t>instagram: https://www.instagram.com/chaylong.berlin, facebook: https://www.facebook.com/ChayLong.berlin, tiktok: https://www.tiktok.com/@chaylong_berlin?_t=ZN-8srmnTqfEDW&amp;_r=1</t>
  </si>
  <si>
    <t>Omdur - Sudanese Streetfood</t>
  </si>
  <si>
    <t>Schlesische Stra√üe 38, Berlin, 10997</t>
  </si>
  <si>
    <t>Amigo Cohen</t>
  </si>
  <si>
    <t>Invalidenstra√üe 53a, Berlin, 10557</t>
  </si>
  <si>
    <t>Lovis Restaurant &amp; Bar</t>
  </si>
  <si>
    <t>Kantstra√üe 79, 10627</t>
  </si>
  <si>
    <t>https://lovisrestaurant.com/</t>
  </si>
  <si>
    <t>Berlininfo@lovisrestaurant.com</t>
  </si>
  <si>
    <t>facebook: https://www.facebook.com/Lovis-112476861261338/, instagram: https://www.instagram.com/lovisrestaurant/, linkedin: https://www.linkedin.com/company/lovisrestaurant/</t>
  </si>
  <si>
    <t>Purgal Delicatessen</t>
  </si>
  <si>
    <t>Brunnenstra√üe 162</t>
  </si>
  <si>
    <t>Restaurant &amp; Bar am Steinplatz</t>
  </si>
  <si>
    <t>Steinplatz 4, Berlin, 10623</t>
  </si>
  <si>
    <t>https://www.morecravings.com/en/venues/bar-am-steinplatz</t>
  </si>
  <si>
    <t>Glory</t>
  </si>
  <si>
    <t>Schlo√üstra√üe 49, Berlin, 12165</t>
  </si>
  <si>
    <t>https://glory-restaurant-berlin.de</t>
  </si>
  <si>
    <t>+49 176 18 666 888</t>
  </si>
  <si>
    <t>Ph√≥ Bowl</t>
  </si>
  <si>
    <t>Wilhelm &amp; Medn√© - Bio-Bistro</t>
  </si>
  <si>
    <t>Horstweg 35, Berlin, 14059</t>
  </si>
  <si>
    <t>http://www.biobistro.de/</t>
  </si>
  <si>
    <t>01729565160info@biobistro.de</t>
  </si>
  <si>
    <t>+49 30 25359977</t>
  </si>
  <si>
    <t>facebook: https://www.facebook.com/profile.php?id=100054233601414, instagram: https://www.instagram.com/wilhelm_und_medne</t>
  </si>
  <si>
    <t>Bantabaa Food Dealer</t>
  </si>
  <si>
    <t>https://bantabaafooddealer.eu/</t>
  </si>
  <si>
    <t>contactus@bantabaafooddealer.euFor</t>
  </si>
  <si>
    <t>instagram: https://www.instagram.com/bantabaafooddealer/, facebook: https://www.facebook.com/Bantabafooddealer</t>
  </si>
  <si>
    <t>Ocak Restaurant</t>
  </si>
  <si>
    <t>https://www.ocak-aparthotel.de/restaurant-(de).html</t>
  </si>
  <si>
    <t>facebook: https://www.facebook.com/sharer.php?u=https%3A%2F%2Focakhotels.de%2Fservice%2Frestaurant%2F&amp;t=The%20Stove%20Restaurant, twitter: https://x.com/intent/post?text=The%20Stove%20Restaurant&amp;url=https%3A%2F%2Focakhotels.de%2Fservice%2Frestaurant%2F, instagram: https://www.instagram.com/ocakhotel, tiktok: https://www.tiktok.com/@ocakhotel, linkedin: https://www.linkedin.com/company/ocak-hotel/</t>
  </si>
  <si>
    <t>Mr. Chai Wala</t>
  </si>
  <si>
    <t>Kantstra√üe 31, Berlin, 10625</t>
  </si>
  <si>
    <t>https://mister-chai-wala.de/</t>
  </si>
  <si>
    <t>hello@mister-chai-wala.de</t>
  </si>
  <si>
    <t>+49 30 92210655</t>
  </si>
  <si>
    <t>instagram: https://www.instagram.com/mr.chai.wala31/</t>
  </si>
  <si>
    <t>Wilhelm</t>
  </si>
  <si>
    <t>Deli Alexander</t>
  </si>
  <si>
    <t>https://wilhelmalexander.de/deli-alexander/</t>
  </si>
  <si>
    <t>Humboldt-Berlin.DE@sodexo.com</t>
  </si>
  <si>
    <t>Vietfood-TCOW</t>
  </si>
  <si>
    <t>Nafis</t>
  </si>
  <si>
    <t>https://nafis-restaurant.de/</t>
  </si>
  <si>
    <t>Info@nafis-restaurant.de</t>
  </si>
  <si>
    <t>+49 30 81032459</t>
  </si>
  <si>
    <t>Inter-Spezial</t>
  </si>
  <si>
    <t>The Vegan Monkey</t>
  </si>
  <si>
    <t>Bergmannstra√üe 11</t>
  </si>
  <si>
    <t>Signature India</t>
  </si>
  <si>
    <t>Hennigsdorfer Stra√üe 77, Berlin, 13503</t>
  </si>
  <si>
    <t>+49 30 628 55 494</t>
  </si>
  <si>
    <t>Bacio della Mamma</t>
  </si>
  <si>
    <t>Heidestra√üe 43</t>
  </si>
  <si>
    <t>sho ga nai</t>
  </si>
  <si>
    <t>https://sho-ga-nai.order.app.hd.digital/</t>
  </si>
  <si>
    <t>Feierwelle</t>
  </si>
  <si>
    <t>https://feierwelle.de/</t>
  </si>
  <si>
    <t>Berlinreservierung@feierwelle.de</t>
  </si>
  <si>
    <t>+49 177 3100314</t>
  </si>
  <si>
    <t>instagram: https://www.instagram.com/feierwelle, facebook: https://www.facebook.com/profile.php?id=61563408058536</t>
  </si>
  <si>
    <t>Hummus Studio</t>
  </si>
  <si>
    <t>Barbarossastra√üe 7</t>
  </si>
  <si>
    <t>Asia Snack</t>
  </si>
  <si>
    <t>asia@snackmotz.de</t>
  </si>
  <si>
    <t>Savanne Imbiss</t>
  </si>
  <si>
    <t>Greifswalder Stra√üe 26, Berlin, 10405</t>
  </si>
  <si>
    <t>Al Forno</t>
  </si>
  <si>
    <t>Am Sch√§fersee 1</t>
  </si>
  <si>
    <t>https://ewomy.com/alte-forno-465372-de</t>
  </si>
  <si>
    <t>facebook: https://www.facebook.com/sharer/sharer.php?u=https://vuyo.me/alte-forno-465372-de&amp;src=sdkpreparse</t>
  </si>
  <si>
    <t>Kai Viet</t>
  </si>
  <si>
    <t>Semmelweisstra√üe 100</t>
  </si>
  <si>
    <t>Storia</t>
  </si>
  <si>
    <t>Aroy</t>
  </si>
  <si>
    <t>Tadka Twist</t>
  </si>
  <si>
    <t>Prenzlauer Allee 204</t>
  </si>
  <si>
    <t>Guste e Sapori</t>
  </si>
  <si>
    <t>Potsdamer Stra√üe 34, Berlin, 14163</t>
  </si>
  <si>
    <t>gustisapori683@gmail.com</t>
  </si>
  <si>
    <t>+49 30 98424734</t>
  </si>
  <si>
    <t>Ristorante Bianco</t>
  </si>
  <si>
    <t>https://ristorante-bianco-berlin.metro.bar/</t>
  </si>
  <si>
    <t>Elvan Grillhaus</t>
  </si>
  <si>
    <t>Ng·ªçn l·ª≠a</t>
  </si>
  <si>
    <t>Papalapap</t>
  </si>
  <si>
    <t>Kreuzbergstra√üe 13</t>
  </si>
  <si>
    <t>Streetfood Burger &amp; D√∂ner</t>
  </si>
  <si>
    <t>Aleppo Burg ŸÇŸÑÿπÿ© ÿ≠ŸÑÿ®</t>
  </si>
  <si>
    <t>Di Russillo</t>
  </si>
  <si>
    <t>Otto-Weidt-Platz 13, Berlin, 10557</t>
  </si>
  <si>
    <t>https://russillo.de/</t>
  </si>
  <si>
    <t>+49 30 22666909</t>
  </si>
  <si>
    <t>instagram: https://www.instagram.com/di_russillo/?hl=en, facebook: https://www.facebook.com/profile.php?id=100081036536426</t>
  </si>
  <si>
    <t>Om El Donya</t>
  </si>
  <si>
    <t>Kranoldstra√üe 15, Berlin, 12051</t>
  </si>
  <si>
    <t>https://www.tripadvisor.com/Restaurant_Review-g187323-d26317915-Reviews-Om_El_Donya-Berlin.html</t>
  </si>
  <si>
    <t>+49 176 55233377</t>
  </si>
  <si>
    <t>Down Town Garage</t>
  </si>
  <si>
    <t xml:space="preserve"> American Diner</t>
  </si>
  <si>
    <t>M√ºggelheimer Damm 267</t>
  </si>
  <si>
    <t>http://www.downtowngarage.de</t>
  </si>
  <si>
    <t>info@downtowngarage.de</t>
  </si>
  <si>
    <t>+49 30 51632526</t>
  </si>
  <si>
    <t>facebook: https://www.facebook.com/downtown.garage.3</t>
  </si>
  <si>
    <t>Fischtheke</t>
  </si>
  <si>
    <t>Flughafenstra√üe 37</t>
  </si>
  <si>
    <t>Marzahner Krug</t>
  </si>
  <si>
    <t>Alt-Marzahn 49, Berlin, 12685</t>
  </si>
  <si>
    <t>https://www.marzahnerkrug.de/</t>
  </si>
  <si>
    <t>+49 30 5400560</t>
  </si>
  <si>
    <t>Ha Noi Restaurant</t>
  </si>
  <si>
    <t>Herzbergstrasse 128-139, Berlin, 10365</t>
  </si>
  <si>
    <t>+49 30 505 967 18</t>
  </si>
  <si>
    <t>Havel Pizza</t>
  </si>
  <si>
    <t>Schwielowseestra√üe 38, 13599</t>
  </si>
  <si>
    <t>https://havelpizza.de</t>
  </si>
  <si>
    <t>info@havelpizza.de</t>
  </si>
  <si>
    <t>La Pecadille</t>
  </si>
  <si>
    <t>Boxhagener Stra√üe 85, 10245</t>
  </si>
  <si>
    <t>https://www.lapeccadille.de</t>
  </si>
  <si>
    <t>instagram: https://www.instagram.com/la.peccadille/</t>
  </si>
  <si>
    <t>Pizzaria Trattoria</t>
  </si>
  <si>
    <t>Mecato Berlin</t>
  </si>
  <si>
    <t>G√§rtnerstra√üe 2</t>
  </si>
  <si>
    <t>https://mecatoberlin.wixsite.com/my-site</t>
  </si>
  <si>
    <t>+49174 2494794</t>
  </si>
  <si>
    <t>Shima Hohensch√∂nhausen</t>
  </si>
  <si>
    <t>Matenzeile 20, Berlin, 13053</t>
  </si>
  <si>
    <t>shima-berlin.de</t>
  </si>
  <si>
    <t>Ferror Canteen</t>
  </si>
  <si>
    <t>Kopenhagener Stra√üe 60-68, Berlin, 13407</t>
  </si>
  <si>
    <t>https://ferrocanteen.de/</t>
  </si>
  <si>
    <t>instagram: https://www.instagram.com/ferrocanteen/</t>
  </si>
  <si>
    <t>IV</t>
  </si>
  <si>
    <t>Immanuelkirchstra√üe 7</t>
  </si>
  <si>
    <t>+49 30 55285900</t>
  </si>
  <si>
    <t>cl√°nndestino</t>
  </si>
  <si>
    <t>Waldemarstra√üe 29, Berlin, 10999</t>
  </si>
  <si>
    <t>https://www.instagram.com/clanndestino/</t>
  </si>
  <si>
    <t>Ocean Fisch Restaurant</t>
  </si>
  <si>
    <t>Sonnenallee 48</t>
  </si>
  <si>
    <t>Die Quadriga</t>
  </si>
  <si>
    <t>Lobe Canteen</t>
  </si>
  <si>
    <t>B√∂ttgerstra√üe 16</t>
  </si>
  <si>
    <t>Umi Vegan</t>
  </si>
  <si>
    <t>Lietzenburger Stra√üe 4, Berlin, 10789</t>
  </si>
  <si>
    <t>https://umi-vegan.de/</t>
  </si>
  <si>
    <t>info@golden-rice.de</t>
  </si>
  <si>
    <t>Imbiss Schmackofatz</t>
  </si>
  <si>
    <t>Dolziger Stra√üe 35, 10247</t>
  </si>
  <si>
    <t>Nogi</t>
  </si>
  <si>
    <t>Kiezpizza</t>
  </si>
  <si>
    <t>shizuku</t>
  </si>
  <si>
    <t>https://www.shizukuberlin.de/</t>
  </si>
  <si>
    <t>shizuku.berlin@icloud.com</t>
  </si>
  <si>
    <t>instagram: https://www.instagram.com/shizuku_berlin/, facebook: https://www.facebook.com/shizuku.berlin</t>
  </si>
  <si>
    <t>Saanjh</t>
  </si>
  <si>
    <t>https://saanjh.de/</t>
  </si>
  <si>
    <t>info@saanjh.de</t>
  </si>
  <si>
    <t>+49 30 80401600</t>
  </si>
  <si>
    <t>facebook: https://www.facebook.com/profile.php?id=61550573685648, instagram: https://www.instagram.com/saanjhberlin/</t>
  </si>
  <si>
    <t>Hotpot &amp; Nudeln</t>
  </si>
  <si>
    <t>Shoo Loong Kan</t>
  </si>
  <si>
    <t>Meinekestra√üe 22</t>
  </si>
  <si>
    <t>Gokorec</t>
  </si>
  <si>
    <t>Kottbusser Damm 98</t>
  </si>
  <si>
    <t>Tokyo Gohan Berlin</t>
  </si>
  <si>
    <t>Dieffenbachstra√üe 68, 10967</t>
  </si>
  <si>
    <t>https://tokyo-gohan.com/</t>
  </si>
  <si>
    <t>Adot Kitchen</t>
  </si>
  <si>
    <t>Lucy-Lameck-Stra√üe 32, 12049</t>
  </si>
  <si>
    <t>https://www.adotkitchen.com/</t>
  </si>
  <si>
    <t>Zum Gletscher</t>
  </si>
  <si>
    <t>Wendenschlo√üstra√üe 60D, Berlin, 12559</t>
  </si>
  <si>
    <t>https://www.restaurant-gletscher.de/</t>
  </si>
  <si>
    <t>info@restaurant-gletscher.de</t>
  </si>
  <si>
    <t>+49 30 65075566</t>
  </si>
  <si>
    <t>B√°nhten</t>
  </si>
  <si>
    <t>Gr√ºnberger Stra√üe 88, Berlin, 10245</t>
  </si>
  <si>
    <t>Sanpietrino</t>
  </si>
  <si>
    <t>W√ºhlischstra√üe 2, Berlin, 10245</t>
  </si>
  <si>
    <t>https://www.sanpietrino-berlin.com/</t>
  </si>
  <si>
    <t>IMPRESSUMsanpietrinopinsa@gmail.combottom</t>
  </si>
  <si>
    <t>facebook: https://www.facebook.com/Sanpietrinopinsa/?hc_ref=ARTwFRLzBRmngn1ehRgpHTpR0VaAnriOjS5UTid_bHaiE58IymG7UXvUK0eMyfy710k&amp;fref=nf&amp;__tn__=kC-R, instagram: https://www.instagram.com/sanpietrinopinsa/?hl=it</t>
  </si>
  <si>
    <t>Delirio</t>
  </si>
  <si>
    <t>Reichenberger Stra√üe 125, Berlin, 10999</t>
  </si>
  <si>
    <t>https://www.delirio-berlin.de</t>
  </si>
  <si>
    <t>reservierung@delirio-berlin.de</t>
  </si>
  <si>
    <t>+49 1579 2480101</t>
  </si>
  <si>
    <t>Grill Maaroush</t>
  </si>
  <si>
    <t>Cielo</t>
  </si>
  <si>
    <t>Al Centro</t>
  </si>
  <si>
    <t>Nagoya Sushi Berlin</t>
  </si>
  <si>
    <t>Neue Grottkauer Stra√üe 5, Berlin, 12619</t>
  </si>
  <si>
    <t>https://www.nagoya-liefert.de/</t>
  </si>
  <si>
    <t>nagoyasushiberlin@gmail.com</t>
  </si>
  <si>
    <t>+49 30 53213504</t>
  </si>
  <si>
    <t>Denis Pizza Place</t>
  </si>
  <si>
    <t>Cornelius-Fredericks-Stra√üe 76</t>
  </si>
  <si>
    <t>https://denis-pizza-place.eatbu.com/?lang=de</t>
  </si>
  <si>
    <t>denispizzaplace@gmail.com</t>
  </si>
  <si>
    <t>facebook: https://www.facebook.com/denispizzaplace, instagram: https://www.instagram.com/denispizzaplace</t>
  </si>
  <si>
    <t>Khan Baba</t>
  </si>
  <si>
    <t>Beef Grill Club</t>
  </si>
  <si>
    <t>Franz√∂sische Stra√üe</t>
  </si>
  <si>
    <t>26 Shibuya</t>
  </si>
  <si>
    <t>Kastanienallee 26, Berlin, 10435</t>
  </si>
  <si>
    <t>https://26shibuya.berlin</t>
  </si>
  <si>
    <t>Delphin</t>
  </si>
  <si>
    <t>KSV Johannisthal</t>
  </si>
  <si>
    <t>https://www.ksv-johannisthal.de/?page_id=147</t>
  </si>
  <si>
    <t>bernd.vogelsang@freenet.de</t>
  </si>
  <si>
    <t>Vereinscasino K√§the-Tucholla-Stadion</t>
  </si>
  <si>
    <t>+49 30 67895979</t>
  </si>
  <si>
    <t>Nem Nem Restaurant</t>
  </si>
  <si>
    <t>Erich-Weinert-Str 1 10439 1</t>
  </si>
  <si>
    <t>https://nemnemrestaurant.de/</t>
  </si>
  <si>
    <t>+493023 309 477</t>
  </si>
  <si>
    <t>Ver≈çnika</t>
  </si>
  <si>
    <t>Oranienburger Stra√üe 54, Berlin, 10117</t>
  </si>
  <si>
    <t>https://www.veronikaberlin.com/</t>
  </si>
  <si>
    <t>Contactreservations@veronikaberlin.com</t>
  </si>
  <si>
    <t>+49 30 400698200</t>
  </si>
  <si>
    <t>instagram: https://instagram.com/veronikarestaurant.berlin</t>
  </si>
  <si>
    <t>K√∂fteci Musti</t>
  </si>
  <si>
    <t>Br√ºsseler Stra√üe 51, Berlin, 13353</t>
  </si>
  <si>
    <t>bitanemhaticem35@gmail.com</t>
  </si>
  <si>
    <t>+49 30 92277704</t>
  </si>
  <si>
    <t>The Dry Gin and Beef Club</t>
  </si>
  <si>
    <t>Oranienburger Stra√üe 60, Berlin, 10117</t>
  </si>
  <si>
    <t>https://berlin-gin-beef-club.de/</t>
  </si>
  <si>
    <t>info@berlin-gin-beef-club.de</t>
  </si>
  <si>
    <t>facebook: https://www.facebook.com/profile.php?id=61552709355630, instagram: https://www.instagram.com/thedryginandbeefclub/</t>
  </si>
  <si>
    <t>Shiro</t>
  </si>
  <si>
    <t>Kopernikusstra√üe 30</t>
  </si>
  <si>
    <t>Asaanka</t>
  </si>
  <si>
    <t>K√∂fteci Niyazi Efendi</t>
  </si>
  <si>
    <t>https://www.koefteci-niyazi-efendi.de</t>
  </si>
  <si>
    <t>Fuwa Fuwa</t>
  </si>
  <si>
    <t>https://www.instagram.com/fuwafuwa.berlin</t>
  </si>
  <si>
    <t>Restaurant Chicha</t>
  </si>
  <si>
    <t>https://www.chicha-berlin.de/</t>
  </si>
  <si>
    <t>+49 30 62731010</t>
  </si>
  <si>
    <t>Moneta</t>
  </si>
  <si>
    <t>https://monetaberlin.wixsite.com/moneta-berlin</t>
  </si>
  <si>
    <t>hello@moneta-berlin.de</t>
  </si>
  <si>
    <t>+49 15165473929</t>
  </si>
  <si>
    <t>instagram: https://www.instagram.com/moneta.berlin/, facebook: https://www.facebook.com/profile.php?id=100086177176924</t>
  </si>
  <si>
    <t>Ham Ham Manakish</t>
  </si>
  <si>
    <t>Weitlingstra√üe 32, Berlin, 10317</t>
  </si>
  <si>
    <t>+49 175 8626654</t>
  </si>
  <si>
    <t>Sapori Segreti</t>
  </si>
  <si>
    <t>Hermsdorfer Damm 179, Berlin, 13467</t>
  </si>
  <si>
    <t>TUCANO</t>
  </si>
  <si>
    <t>Landsberger Allee 171c, Berlin, 10369</t>
  </si>
  <si>
    <t>https://tucano-restaurant.de/</t>
  </si>
  <si>
    <t>Al Faisal</t>
  </si>
  <si>
    <t>Sonnenallee 13</t>
  </si>
  <si>
    <t>https://alfaisal-grillhaus.de/</t>
  </si>
  <si>
    <t>info@alfaisal-grillhaus.de</t>
  </si>
  <si>
    <t>facebook: https://www.facebook.com/AlFaisalRestaurantBBQ/</t>
  </si>
  <si>
    <t>Lily Burger Grill Club</t>
  </si>
  <si>
    <t>Fasanenstra√üe 14/564</t>
  </si>
  <si>
    <t>Giuseppe</t>
  </si>
  <si>
    <t>https://www.pizzeria-giuseppe.com</t>
  </si>
  <si>
    <t>Ei-12437-B</t>
  </si>
  <si>
    <t>https://ei-12437.berlin/</t>
  </si>
  <si>
    <t>Wassermann</t>
  </si>
  <si>
    <t>Sathutu</t>
  </si>
  <si>
    <t>Rykestra√üe 15, 10405</t>
  </si>
  <si>
    <t>Zlatko Grill</t>
  </si>
  <si>
    <t>Roots Radicals</t>
  </si>
  <si>
    <t>https://rootsradicals.berlin/</t>
  </si>
  <si>
    <t>facebook: https://www.facebook.com/rootsradicals.berlin/, instagram: https://www.instagram.com/rootsradicals.berlin/?hl=en</t>
  </si>
  <si>
    <t>Denizen</t>
  </si>
  <si>
    <t>K√∂penicker Stra√üe 41</t>
  </si>
  <si>
    <t>apl√≥</t>
  </si>
  <si>
    <t>J√§gerh√§uschen</t>
  </si>
  <si>
    <t>https://www.jaegerhaeuschen.de/gastronomie/gastronomie.html</t>
  </si>
  <si>
    <t>Roots</t>
  </si>
  <si>
    <t>Kottbusser Damm 12A, Berlin, 10967</t>
  </si>
  <si>
    <t>https://www.roots.berlin/</t>
  </si>
  <si>
    <t>office@roots.berlin</t>
  </si>
  <si>
    <t>+49 30 51 582 839</t>
  </si>
  <si>
    <t>MINA Ristorante East Side Gallery</t>
  </si>
  <si>
    <t>M√ºhlenstra√üe 64, 10243</t>
  </si>
  <si>
    <t>https://minaberlin.de/de/</t>
  </si>
  <si>
    <t>host@minaberlin.de</t>
  </si>
  <si>
    <t>instagram: https://www.instagram.com/mina_restberlin, facebook: https://www.facebook.com/sharer/sharer.php?u=https://minaberlin.de/de/</t>
  </si>
  <si>
    <t>Poveracci</t>
  </si>
  <si>
    <t>Torstra√üe 175</t>
  </si>
  <si>
    <t>Piedra del Sol</t>
  </si>
  <si>
    <t>+49 178 6511698</t>
  </si>
  <si>
    <t>Boa Goa Club</t>
  </si>
  <si>
    <t>Feuerbach</t>
  </si>
  <si>
    <t>Peschkestr. 18</t>
  </si>
  <si>
    <t>restaurant.feuerbach@gmail.com</t>
  </si>
  <si>
    <t>+49 30 8454 02 022</t>
  </si>
  <si>
    <t>Il Gattopardo</t>
  </si>
  <si>
    <t>Am Borsigturm 9, Berlin, 13507</t>
  </si>
  <si>
    <t>+49 30 62988626</t>
  </si>
  <si>
    <t>The Pho Bar</t>
  </si>
  <si>
    <t>https://www.thephobarct.com/</t>
  </si>
  <si>
    <t>thephobarct2@gmail.com</t>
  </si>
  <si>
    <t>+1  860-259-5479</t>
  </si>
  <si>
    <t>facebook: https://www.facebook.com/p/The-Pho-Bar-CT-61555031025099/ , instagram: https://www.instagram.com/thephobarct/?hl=en</t>
  </si>
  <si>
    <t>Sushi</t>
  </si>
  <si>
    <t>Sanku Maots'ai</t>
  </si>
  <si>
    <t>Warschauer Stra√üe 81a</t>
  </si>
  <si>
    <t>https://www.sankumaotsai.de/</t>
  </si>
  <si>
    <t>berlin@sankumaotsai.de</t>
  </si>
  <si>
    <t>instagram: https://www.instagram.com/sankumaotsai_berlin/</t>
  </si>
  <si>
    <t>Bollywood</t>
  </si>
  <si>
    <t>Havemannstra√üe 24, Berlin, 12689</t>
  </si>
  <si>
    <t>The Factory</t>
  </si>
  <si>
    <t>https://www.thefactoryberlin.de/</t>
  </si>
  <si>
    <t>+49 30 26301253</t>
  </si>
  <si>
    <t>Dada</t>
  </si>
  <si>
    <t>Luv &amp; Lee</t>
  </si>
  <si>
    <t>https://luvundlee-gastronomie.de</t>
  </si>
  <si>
    <t>kontakt@luvundlee-gastronomie.de</t>
  </si>
  <si>
    <t>+49 3035529087</t>
  </si>
  <si>
    <t>New Asia Food</t>
  </si>
  <si>
    <t>Co Miu Vietnam Gourmet</t>
  </si>
  <si>
    <t>Mimo's Bowl &amp; Pizza</t>
  </si>
  <si>
    <t>+49 30 47036673</t>
  </si>
  <si>
    <t>Maiyarap</t>
  </si>
  <si>
    <t>Oranienstra√üe 200, Berlin, 10999</t>
  </si>
  <si>
    <t>https://www.tossakan-berlin.de/maiyarap</t>
  </si>
  <si>
    <t>Daizu</t>
  </si>
  <si>
    <t>Falckensteinstra√üe 36, Berlin, 10997</t>
  </si>
  <si>
    <t>Thuy Anh - Asia Bistro</t>
  </si>
  <si>
    <t>Cento Molliche</t>
  </si>
  <si>
    <t>Hasselwerderstra√üe 32, Berlin, 12439</t>
  </si>
  <si>
    <t>https://centomolliche.de</t>
  </si>
  <si>
    <t>instagram: https://www.instagram.com/berlin_centomolliche/, facebook: https://www.facebook.com/people/Centomolliche/61559511031792/</t>
  </si>
  <si>
    <t>Karim Fr√ºhst√ºckshaus</t>
  </si>
  <si>
    <t>Hermannstra√üe 174, Berlin, 12051</t>
  </si>
  <si>
    <t>https://karim-fruehstueckshaus-berlin.de/</t>
  </si>
  <si>
    <t>service@ordersmart.de</t>
  </si>
  <si>
    <t>Piccolo e Semplice</t>
  </si>
  <si>
    <t>Metzer Stra√üe 2</t>
  </si>
  <si>
    <t>Domu Nostra</t>
  </si>
  <si>
    <t>Taste of India</t>
  </si>
  <si>
    <t>Kathmandu Dabali</t>
  </si>
  <si>
    <t>Spielhagenstra√üe 6, 10585</t>
  </si>
  <si>
    <t>Amy's Coffee</t>
  </si>
  <si>
    <t>Platz vor dem Neuen Tor 2</t>
  </si>
  <si>
    <t>https://amyscoffee.de</t>
  </si>
  <si>
    <t>+49 30 23881156</t>
  </si>
  <si>
    <t>facebook: https://www.facebook.com/profile.php?id=61559703857453, instagram: https://www.instagram.com/amys_coffee_bln/</t>
  </si>
  <si>
    <t>Ristorante Opra Pizzeria</t>
  </si>
  <si>
    <t>DogMong</t>
  </si>
  <si>
    <t>Karl-Marx-Stra√üe 231-235, Berlin, 12055</t>
  </si>
  <si>
    <t>https://www.instagram.com/dogmong_berlin/</t>
  </si>
  <si>
    <t>Lovely Sushi &amp; More</t>
  </si>
  <si>
    <t>Helmholtzstra√üe 31</t>
  </si>
  <si>
    <t>Trattoria Il Sapore</t>
  </si>
  <si>
    <t>Helmholtzstra√üe 27</t>
  </si>
  <si>
    <t>Friendly Fish</t>
  </si>
  <si>
    <t>Oranienburger Stra√üe 5, Berlin, 10178</t>
  </si>
  <si>
    <t>Orta Mezze &amp; Bar</t>
  </si>
  <si>
    <t>Mak Phed</t>
  </si>
  <si>
    <t>Jonasstra√üe 35, Berlin, 12053</t>
  </si>
  <si>
    <t>+49 30 69577314</t>
  </si>
  <si>
    <t>Hai Lam</t>
  </si>
  <si>
    <t>https://hailam-bistro.de/</t>
  </si>
  <si>
    <t>info@hailam-bistro.de</t>
  </si>
  <si>
    <t>+49 30 76584238</t>
  </si>
  <si>
    <t>instagram: https://instagram.com/hailamrestaurant?igshid=YTQwZjQ0NmI0OA==, facebook: https://www.facebook.com/profile.php?id=100088173349998</t>
  </si>
  <si>
    <t>Sufra</t>
  </si>
  <si>
    <t>Baku</t>
  </si>
  <si>
    <t>Planeige</t>
  </si>
  <si>
    <t>Rosticceria San Leone</t>
  </si>
  <si>
    <t>+49 176 30354902</t>
  </si>
  <si>
    <t>Osteria Culaccino</t>
  </si>
  <si>
    <t>Mundgerecht</t>
  </si>
  <si>
    <t>Paulsenstra√üe 6, Berlin, 12163</t>
  </si>
  <si>
    <t>https://www.bethanien-diakonie.de/restaurant-mundgerecht-steglitz</t>
  </si>
  <si>
    <t>2650bewerbung.berlin@agaplesion.de</t>
  </si>
  <si>
    <t>facebook: https://www.facebook.com/Agaplesion.Bethanien.Diakonie, instagram: https://www.instagram.com/Agaplesion_Bethanien_Diakonie/</t>
  </si>
  <si>
    <t>La Trinacria 2 Go</t>
  </si>
  <si>
    <t>Lindauer Allee 45, Berlin, 13407</t>
  </si>
  <si>
    <t>https://trinacria-2go.digipizza.de/</t>
  </si>
  <si>
    <t>+49 30 64468174</t>
  </si>
  <si>
    <t>√ñrnek</t>
  </si>
  <si>
    <t>Karl-Marx-Stra√üe 109, Berlin, 12043</t>
  </si>
  <si>
    <t>Dos Pescados</t>
  </si>
  <si>
    <t>Am Borsigturm 2</t>
  </si>
  <si>
    <t>www.dos-pescdos-berlin.de</t>
  </si>
  <si>
    <t>pav√£o</t>
  </si>
  <si>
    <t>Am Goldmannpark 4</t>
  </si>
  <si>
    <t>https://pavao-berlin.de</t>
  </si>
  <si>
    <t>reservierung@pavao-berlin.de</t>
  </si>
  <si>
    <t>+49 30 20095560</t>
  </si>
  <si>
    <t>Sirop Sujuk</t>
  </si>
  <si>
    <t>Sonnenallee 77</t>
  </si>
  <si>
    <t>Kairo</t>
  </si>
  <si>
    <t>Oranienstra√üe 35</t>
  </si>
  <si>
    <t>King Box</t>
  </si>
  <si>
    <t>Nimet Sofrasi</t>
  </si>
  <si>
    <t>Let Enzo Out</t>
  </si>
  <si>
    <t>Koko &amp; Lores</t>
  </si>
  <si>
    <t>Big Pan Schlachtensee</t>
  </si>
  <si>
    <t>Breisgauer Stra√üe 12, Berlin, 14129</t>
  </si>
  <si>
    <t>https://bigpan-schlachtensee.de/</t>
  </si>
  <si>
    <t>info@bigpan-schlachtensee.de</t>
  </si>
  <si>
    <t>+49 30 6333 1476</t>
  </si>
  <si>
    <t>Vin Garden</t>
  </si>
  <si>
    <t>Malchower Weg 69</t>
  </si>
  <si>
    <t>https://vingarden.de</t>
  </si>
  <si>
    <t>+49 30 80498681</t>
  </si>
  <si>
    <t>H1990</t>
  </si>
  <si>
    <t>Ridbacher Stra√üe 114, Berlin, 12621</t>
  </si>
  <si>
    <t>https://www.amamiberlin.de/</t>
  </si>
  <si>
    <t>+49 30 255 62517</t>
  </si>
  <si>
    <t>Quan Sen Dong</t>
  </si>
  <si>
    <t>House of Vegan 182</t>
  </si>
  <si>
    <t>M√ºggelseedamm 182, Berlin, 12587</t>
  </si>
  <si>
    <t>https://vegan182.de/</t>
  </si>
  <si>
    <t>+49 30 49915888</t>
  </si>
  <si>
    <t>Knofi Feinkost</t>
  </si>
  <si>
    <t>Bergmannstra√üe 98</t>
  </si>
  <si>
    <t>https://knofi.de/</t>
  </si>
  <si>
    <t>mail@knofi.de</t>
  </si>
  <si>
    <t>+49 30 6945807</t>
  </si>
  <si>
    <t>Kamala-Vegan</t>
  </si>
  <si>
    <t>Boxhagener Stra√üe 85</t>
  </si>
  <si>
    <t>Vinayaka</t>
  </si>
  <si>
    <t>Hasenheide 11</t>
  </si>
  <si>
    <t>Sweet Jamaica</t>
  </si>
  <si>
    <t>Hasenheide 117</t>
  </si>
  <si>
    <t>Kramer</t>
  </si>
  <si>
    <t>Pannierstra√üe 41, Berlin, 12047</t>
  </si>
  <si>
    <t>https://www.kramerberlin.com/</t>
  </si>
  <si>
    <t>fabian@kramerberlin.com</t>
  </si>
  <si>
    <t>+49 30 505 657 38</t>
  </si>
  <si>
    <t>instagram: https://www.instagram.com/kramerrestaurant/</t>
  </si>
  <si>
    <t>Pooneh</t>
  </si>
  <si>
    <t>Big Point</t>
  </si>
  <si>
    <t>Leonorenstra√üe 37, Berlin, 12247</t>
  </si>
  <si>
    <t>https://restaurant-bigpoint.de/</t>
  </si>
  <si>
    <t>buero@parnus.de</t>
  </si>
  <si>
    <t>+49 30 34333582</t>
  </si>
  <si>
    <t>Funa Sushi Pankow</t>
  </si>
  <si>
    <t>Heinrich-B√∂ll-Stra√üe 2, 13156</t>
  </si>
  <si>
    <t>Mann o Salwa</t>
  </si>
  <si>
    <t>Pala</t>
  </si>
  <si>
    <t>Gaudystra√üe 1</t>
  </si>
  <si>
    <t>https://www.palaberlin.com</t>
  </si>
  <si>
    <t>info@mysite.com</t>
  </si>
  <si>
    <t>instagram: https://www.instagram.com/pala_berlin/?hl=en</t>
  </si>
  <si>
    <t>Gentle</t>
  </si>
  <si>
    <t>Biang Biang Ming</t>
  </si>
  <si>
    <t>Loumi</t>
  </si>
  <si>
    <t>Ritterstra√üe 2, 10969</t>
  </si>
  <si>
    <t>https://www.loumi-dining.de</t>
  </si>
  <si>
    <t>T-swirl Crepe</t>
  </si>
  <si>
    <t>https://t-swirlcrepe.com/</t>
  </si>
  <si>
    <t>tswirlcrepe@gmail.com</t>
  </si>
  <si>
    <t>facebook: https://www.facebook.com/tswirlcrepeny/?ref=page_internal, instagram: https://www.instagram.com/tswirlcrepe/, tiktok: https://www.tiktok.com/@tswirlcrepes</t>
  </si>
  <si>
    <t>Mi Chola</t>
  </si>
  <si>
    <t>Berlin, 14129</t>
  </si>
  <si>
    <t>https://www.facebook.com/MiCholaBerlin/</t>
  </si>
  <si>
    <t>+49 30 40757675</t>
  </si>
  <si>
    <t>Gemello</t>
  </si>
  <si>
    <t>Lettestra√üe 6a</t>
  </si>
  <si>
    <t>https://www.gemello.berlin/</t>
  </si>
  <si>
    <t>projects@gemello.berlin</t>
  </si>
  <si>
    <t>+49 176 63461139</t>
  </si>
  <si>
    <t>instagram: https://www.instagram.com/gemello.berlin, tiktok: https://www.tiktok.com/@gemello.berlin</t>
  </si>
  <si>
    <t>Mesopotamia</t>
  </si>
  <si>
    <t>Torstra√üe 225</t>
  </si>
  <si>
    <t>+49 1575 4391740</t>
  </si>
  <si>
    <t>Kush</t>
  </si>
  <si>
    <t>M√ºllerstra√üe 103, Berlin, 13349</t>
  </si>
  <si>
    <t>+49 30 49907290</t>
  </si>
  <si>
    <t>Duc Tam Quan</t>
  </si>
  <si>
    <t>Wirtshaus Alpinia</t>
  </si>
  <si>
    <t>S√§ntisstra√üe 34, Berlin, 12107</t>
  </si>
  <si>
    <t>https://wirtshaus-alpinia.de/</t>
  </si>
  <si>
    <t>info@alpinia-berlin.de</t>
  </si>
  <si>
    <t>+49 30 761770</t>
  </si>
  <si>
    <t>facebook: https://www.facebook.com/LandhausAlpinia, instagram: https://www.instagram.com/landhausalpinia/</t>
  </si>
  <si>
    <t>Good Aroma</t>
  </si>
  <si>
    <t>Lucky Star</t>
  </si>
  <si>
    <t>Fergy Detroit Pan Pizza</t>
  </si>
  <si>
    <t>Ritterstra√üe 26</t>
  </si>
  <si>
    <t>Dirty Dumplings</t>
  </si>
  <si>
    <t>Ohlauer Stra√üe 38, 10999</t>
  </si>
  <si>
    <t>https://www.instagram.com/dirtydumplingsberlin</t>
  </si>
  <si>
    <t>+49 178 1484444</t>
  </si>
  <si>
    <t>Fayna</t>
  </si>
  <si>
    <t>Klopstockstra√üe 2</t>
  </si>
  <si>
    <t>https://fayna.rest</t>
  </si>
  <si>
    <t>faynaberlin@gmail.com</t>
  </si>
  <si>
    <t>Comedor</t>
  </si>
  <si>
    <t>The Noodle Town Mitte</t>
  </si>
  <si>
    <t>Reis today</t>
  </si>
  <si>
    <t>Mariannenstra√üe 35, Berlin, 10999</t>
  </si>
  <si>
    <t>Hana's Craft</t>
  </si>
  <si>
    <t>Reichenberger Stra√üe 27, Berlin, 10999</t>
  </si>
  <si>
    <t>Trattoria Il Primo</t>
  </si>
  <si>
    <t>Merold</t>
  </si>
  <si>
    <t>Pannierstra√üe 24, Berlin, 12047</t>
  </si>
  <si>
    <t>https://restaurant-merold.de/</t>
  </si>
  <si>
    <t>reservierung@restaurant-merold.de</t>
  </si>
  <si>
    <t>+49 30 62733210</t>
  </si>
  <si>
    <t>instagram: https://instagram.com/restaurant_merold</t>
  </si>
  <si>
    <t>21 Club</t>
  </si>
  <si>
    <t>John-Locke-Stra√üe 21, Berlin, 12305</t>
  </si>
  <si>
    <t>Caf√© Vielfalt</t>
  </si>
  <si>
    <t>Turmstra√üe 91, 10559</t>
  </si>
  <si>
    <t>https://www.cafevielfalt-berlin.de/kantine-im-amtsgericht/</t>
  </si>
  <si>
    <t>Al Tavolaccio</t>
  </si>
  <si>
    <t>Lichtenrader Damm 100, Berlin, 12305</t>
  </si>
  <si>
    <t>Moi Sunrise</t>
  </si>
  <si>
    <t>https://moi-sunrise.de</t>
  </si>
  <si>
    <t>info@moi-sunrise.de</t>
  </si>
  <si>
    <t>Cedar</t>
  </si>
  <si>
    <t>Nikuya Takiniku</t>
  </si>
  <si>
    <t>https://www.nikuyayakiniku.de/</t>
  </si>
  <si>
    <t>nikuya.berlin@outlook.com</t>
  </si>
  <si>
    <t>+49 30 76289968</t>
  </si>
  <si>
    <t>instagram: https://www.instagram.com/nikuya.bbq, facebook: https://www.facebook.com/profile.php?id=61559869799603</t>
  </si>
  <si>
    <t>Productos de Mi Mami</t>
  </si>
  <si>
    <t>Winsstra√üe 14</t>
  </si>
  <si>
    <t>https://www.productosdemimami.com/</t>
  </si>
  <si>
    <t>ChayArt</t>
  </si>
  <si>
    <t>Potsdamer Stra√üe 6, Berlin, 14163</t>
  </si>
  <si>
    <t>http://chayart.com/</t>
  </si>
  <si>
    <t>chayart.zehlendorf@gmail.com</t>
  </si>
  <si>
    <t>facebook: https://www.facebook.com/chayartberlin, instagram: https://www.instagram.com/chayart_vegan_restaurant/</t>
  </si>
  <si>
    <t>Boccadoro Cucina</t>
  </si>
  <si>
    <t>Clayallee 347b, Berlin, 14169</t>
  </si>
  <si>
    <t>https://boccadoro-berlin.de/</t>
  </si>
  <si>
    <t>+49 30 8023707</t>
  </si>
  <si>
    <t>Relish</t>
  </si>
  <si>
    <t>Tapalier</t>
  </si>
  <si>
    <t>Pappelallee 22</t>
  </si>
  <si>
    <t>Swan&amp;Son</t>
  </si>
  <si>
    <t>Giesebrechtstra√üe 3, 10629</t>
  </si>
  <si>
    <t>http://www.swandon-bistro.de</t>
  </si>
  <si>
    <t>+49 30 93277462</t>
  </si>
  <si>
    <t>DASHI Canteen</t>
  </si>
  <si>
    <t>Englische Stra√üe 21</t>
  </si>
  <si>
    <t>https://dashi.de</t>
  </si>
  <si>
    <t>Mercedes-Benz Restaurant</t>
  </si>
  <si>
    <t>Midori</t>
  </si>
  <si>
    <t>Tindahan City</t>
  </si>
  <si>
    <t>Deming Road 544, Berlin, 06037</t>
  </si>
  <si>
    <t>https://www.yelp.com/biz/tindahan-city-berlin-4</t>
  </si>
  <si>
    <t>Frau B√ºnger macht Mittag</t>
  </si>
  <si>
    <t>Bleibtreustra√üe 12A, Berlin, 10623</t>
  </si>
  <si>
    <t>https://www.frau-buenger-macht-mittag.de/</t>
  </si>
  <si>
    <t>frau.buenger.macht.mittag@web.de</t>
  </si>
  <si>
    <t>+49 30 49967855</t>
  </si>
  <si>
    <t>facebook: https://www.facebook.com/frau.buenger.macht.mittag/, instagram: https://www.instagram.com/frau.buenger.macht.mittag</t>
  </si>
  <si>
    <t>Zur Gr√ºnen Aue</t>
  </si>
  <si>
    <t>K√∂penicker Stra√üe 191, Berlin, 12683</t>
  </si>
  <si>
    <t>Heimathafen</t>
  </si>
  <si>
    <t>Kimiko</t>
  </si>
  <si>
    <t>The Noodle Town hand pulled noodles</t>
  </si>
  <si>
    <t>Casa Vera</t>
  </si>
  <si>
    <t>Lichtenrader Damm 79</t>
  </si>
  <si>
    <t>https://casa-vera.de/</t>
  </si>
  <si>
    <t>casa-vera@outlook.de</t>
  </si>
  <si>
    <t>+49 30 55 59 69 20</t>
  </si>
  <si>
    <t>Calvin Com Pho</t>
  </si>
  <si>
    <t>Choriner Stra√üe 35</t>
  </si>
  <si>
    <t>AlReef</t>
  </si>
  <si>
    <t>Vukotica Kutak</t>
  </si>
  <si>
    <t>Navi</t>
  </si>
  <si>
    <t>Graefestra√üe 83, 10967</t>
  </si>
  <si>
    <t>https://www.wearenavi.de</t>
  </si>
  <si>
    <t>Lo F≈´fu</t>
  </si>
  <si>
    <t>Kantstra√üe 144</t>
  </si>
  <si>
    <t>Yangguofu</t>
  </si>
  <si>
    <t>https://yangguofu-mala.de/</t>
  </si>
  <si>
    <t>tiktok: https://www.tiktok.com/@yangguofu.steglitz, instagram: https://www.instagram.com/yangguofu.steglitz/</t>
  </si>
  <si>
    <t>Wilhelmstrand</t>
  </si>
  <si>
    <t>Schwarze Heidi | Fondueh√ºtte</t>
  </si>
  <si>
    <t>Alt Stralau 68</t>
  </si>
  <si>
    <t>https://fonduehuette.com</t>
  </si>
  <si>
    <t>hintermberg@schwarzeheidi.de</t>
  </si>
  <si>
    <t>Pizzakeller</t>
  </si>
  <si>
    <t>https://pizzakeller.de/</t>
  </si>
  <si>
    <t>pizza@pizzakeller.dePizzakeller</t>
  </si>
  <si>
    <t>instagram: https://www.instagram.com/pizzakeller, facebook: https://www.facebook.com/pizzakeller</t>
  </si>
  <si>
    <t>Augustiner auf B√∂tzow Wirtshaus</t>
  </si>
  <si>
    <t>Prenzlauer Allee 244</t>
  </si>
  <si>
    <t>https://augustiner-boetzow.berlin/</t>
  </si>
  <si>
    <t>instagram: https://www.instagram.com/augustineraufboetzow/, facebook: https://www.facebook.com/profile.php?id=61572308728647, tiktok: https://www.tiktok.com/@augustineraufboetzow</t>
  </si>
  <si>
    <t>Pho - Noodlebar (Zoo)</t>
  </si>
  <si>
    <t>Hardenbergplatz 2, 10623</t>
  </si>
  <si>
    <t>https://pho.berlin/</t>
  </si>
  <si>
    <t>Flotte Kantine</t>
  </si>
  <si>
    <t>Flottenstra√üe 28</t>
  </si>
  <si>
    <t>Due Pini</t>
  </si>
  <si>
    <t>Bab Kisan</t>
  </si>
  <si>
    <t>Casino</t>
  </si>
  <si>
    <t>Wilhelmstra√üe 68, 10117</t>
  </si>
  <si>
    <t>IPPAI NO RAMEN Berlin ‰∏ÄÊùØ„ÅÆ„É©„Éº„É°„É≥</t>
  </si>
  <si>
    <t>https://ramenberlin.com/</t>
  </si>
  <si>
    <t>ippai@ramenberlin.comYour</t>
  </si>
  <si>
    <t>instagram: https://instagram.com/ippainoramen, tiktok: https://www.tiktok.com/@ippainoramen</t>
  </si>
  <si>
    <t>Dad's Kitchen</t>
  </si>
  <si>
    <t>Greifswalder Stra√üe 11, 10405</t>
  </si>
  <si>
    <t>+49 30 64080946</t>
  </si>
  <si>
    <t>Kanal 61</t>
  </si>
  <si>
    <t>Erkelenzdamm 61, Berlin, 10999</t>
  </si>
  <si>
    <t>https://kanal61berlin.de</t>
  </si>
  <si>
    <t>hello@kanal61berlin.de</t>
  </si>
  <si>
    <t>+49 30 42085160</t>
  </si>
  <si>
    <t>instagram: https://www.instagram.com/kanal__61/</t>
  </si>
  <si>
    <t>Desi Diner</t>
  </si>
  <si>
    <t>Thiemannstra√üe 1</t>
  </si>
  <si>
    <t>https://www.desidinerberlin.com</t>
  </si>
  <si>
    <t>hi@desidinerberlin.com</t>
  </si>
  <si>
    <t>instagram: https://instagram.com/desidinerberlin</t>
  </si>
  <si>
    <t>Candyman</t>
  </si>
  <si>
    <t>https://www.candymanberlin.com</t>
  </si>
  <si>
    <t>info@candymanberlin.com</t>
  </si>
  <si>
    <t>instagram: https://www.instagram.com/candyman_berlin/</t>
  </si>
  <si>
    <t>Publix Kantine</t>
  </si>
  <si>
    <t>Hermannstra√üe 90</t>
  </si>
  <si>
    <t>Matthias</t>
  </si>
  <si>
    <t>Kollwitzstra√üe 78, Berlin, 10435</t>
  </si>
  <si>
    <t>https://www.matthiasrestaurant.com</t>
  </si>
  <si>
    <t>kontakt@matthiasrestaurant.com</t>
  </si>
  <si>
    <t>+49 30 27692537</t>
  </si>
  <si>
    <t>Kedem</t>
  </si>
  <si>
    <t>Hermannstra√üe 178, Berlin, 12049</t>
  </si>
  <si>
    <t>https://www.kedem-berlin.com/</t>
  </si>
  <si>
    <t>home@kedem-berlin.com</t>
  </si>
  <si>
    <t>instagram: http://instagram.com/kedem_berlin</t>
  </si>
  <si>
    <t>Taste of Mana</t>
  </si>
  <si>
    <t>The Kebab</t>
  </si>
  <si>
    <t>Vinatown</t>
  </si>
  <si>
    <t>Hasir Burger</t>
  </si>
  <si>
    <t>Humus</t>
  </si>
  <si>
    <t>Hauptstadtburger</t>
  </si>
  <si>
    <t>Manju</t>
  </si>
  <si>
    <t>Arya</t>
  </si>
  <si>
    <t>Asia Pavillon</t>
  </si>
  <si>
    <t>Bahar</t>
  </si>
  <si>
    <t>Fatih Servet</t>
  </si>
  <si>
    <t>Bottega Seppel</t>
  </si>
  <si>
    <t>https://www.bottega-seppel.de</t>
  </si>
  <si>
    <t>sitzenbleiben@bottega-seppel.de</t>
  </si>
  <si>
    <t>Chiapas Restaurant Tegel</t>
  </si>
  <si>
    <t>Berliner Stra√üe 15, Berlin, 13507</t>
  </si>
  <si>
    <t>https://chiapas-restaurant-tegel.de/</t>
  </si>
  <si>
    <t>info@chiapas-restaurant-tegel.de</t>
  </si>
  <si>
    <t>+49 30 36408644</t>
  </si>
  <si>
    <t>YOU MI ‰ºòÁ±≥</t>
  </si>
  <si>
    <t>N√ºrnberger Stra√üe 28, 10789</t>
  </si>
  <si>
    <t>HANA Berlin</t>
  </si>
  <si>
    <t>Anton-Wilhelm-Amo-Stra√üe 30, Berlin, 10117</t>
  </si>
  <si>
    <t>https://www.hanaberlin.com</t>
  </si>
  <si>
    <t>+49 30 20077070</t>
  </si>
  <si>
    <t>Houtang Hotpot</t>
  </si>
  <si>
    <t>Kurf√ºrstendamm 175, Berlin, 10707</t>
  </si>
  <si>
    <t>https://houtang-hotpot.de/</t>
  </si>
  <si>
    <t>info@houtang-hotpot.de</t>
  </si>
  <si>
    <t>instagram: https://instagram.com/houtang_hotpot</t>
  </si>
  <si>
    <t>Fukagawa Ramen</t>
  </si>
  <si>
    <t>Prinzessinnenstra√üe 17, Berlin, 10969</t>
  </si>
  <si>
    <t>https://www.fukagawa.de</t>
  </si>
  <si>
    <t>+49 1520 666 9229</t>
  </si>
  <si>
    <t>Gippeum</t>
  </si>
  <si>
    <t>Chausseestra√üe 122, 10115</t>
  </si>
  <si>
    <t>The Bun Society</t>
  </si>
  <si>
    <t>Casa Azteca</t>
  </si>
  <si>
    <t>https://www.casaaztecavt.com/</t>
  </si>
  <si>
    <t>+1 802-505-4064</t>
  </si>
  <si>
    <t>facebook: https://www.facebook.com/p/Casa-Azteca-Barre-VT-61570317904529/</t>
  </si>
  <si>
    <t>B√ºlent</t>
  </si>
  <si>
    <t>LeMont Liban</t>
  </si>
  <si>
    <t>Stra√üe des 17.Juni 131, Berlin, 10555</t>
  </si>
  <si>
    <t>https://www.lemontliban.de</t>
  </si>
  <si>
    <t>Info@lemontliban.de</t>
  </si>
  <si>
    <t>+49 30 515654293</t>
  </si>
  <si>
    <t>Farmers Bistro</t>
  </si>
  <si>
    <t>Pfarrer-Goosmann-Stra√üe 11, Berlin, 12489</t>
  </si>
  <si>
    <t>https://www.farmers-bistro.de/</t>
  </si>
  <si>
    <t>info@farmers-bistro.de</t>
  </si>
  <si>
    <t>+49 30 548078052</t>
  </si>
  <si>
    <t>Dotori - Korean Anju Bar</t>
  </si>
  <si>
    <t>Gustav-Adolf-Stra√üe 159, Berlin, 13086</t>
  </si>
  <si>
    <t>https://www.dotori.berlin/</t>
  </si>
  <si>
    <t>+49 30 4737 5630</t>
  </si>
  <si>
    <t>Clou</t>
  </si>
  <si>
    <t>Thanh Nam</t>
  </si>
  <si>
    <t>Chausseestra√üe 11, Berlin, 10115</t>
  </si>
  <si>
    <t>https://thanhnam-restaurant.de/thanhnam-mitte</t>
  </si>
  <si>
    <t>+49 30 20622168</t>
  </si>
  <si>
    <t>facebook: https://www.facebook.com/thanhnam.mitte/, instagram: https://www.instagram.com/thanhnam.mitte/</t>
  </si>
  <si>
    <t>Cantinho portugu√™s</t>
  </si>
  <si>
    <t>Knobelsdorffstra√üe 10, 14059</t>
  </si>
  <si>
    <t>+49 30 28688123</t>
  </si>
  <si>
    <t>Masa Slow Food</t>
  </si>
  <si>
    <t>Seelingstra√üe 34, 14059</t>
  </si>
  <si>
    <t>https://masa-slow-food.berlin/</t>
  </si>
  <si>
    <t>+49 172 5768741</t>
  </si>
  <si>
    <t>Gio's</t>
  </si>
  <si>
    <t>Dresdener Str. 16</t>
  </si>
  <si>
    <t>Kantine im Atrium</t>
  </si>
  <si>
    <t>Kaiserin-Augusta-Allee 31, 10589</t>
  </si>
  <si>
    <t>The Eatery Berlin</t>
  </si>
  <si>
    <t>https://www.theeatery.berlin/</t>
  </si>
  <si>
    <t>+49 176 20924939</t>
  </si>
  <si>
    <t>Tacos el Rey</t>
  </si>
  <si>
    <t>Graefestra√üe 92, 10967</t>
  </si>
  <si>
    <t>Escendo Pizzeria</t>
  </si>
  <si>
    <t>Gleimstra√üe 21, 10437</t>
  </si>
  <si>
    <t>http://escendo.eu</t>
  </si>
  <si>
    <t>Bar Basta</t>
  </si>
  <si>
    <t>Rosenthaler Stra√üe 53, Berlin, 10178</t>
  </si>
  <si>
    <t>Lou The Parrot</t>
  </si>
  <si>
    <t>Linkstra√üe 6, Berlin, 10785</t>
  </si>
  <si>
    <t>https://loutheparrot.com/</t>
  </si>
  <si>
    <t>instagram: https://www.instagram.com/loutheparrot/%20, linkedin: https://www.linkedin.com/company/bemse</t>
  </si>
  <si>
    <t>Japan Plaza</t>
  </si>
  <si>
    <t>Rochstra√üe 14e</t>
  </si>
  <si>
    <t>M√ºsterek meyhane</t>
  </si>
  <si>
    <t>Dump Ling</t>
  </si>
  <si>
    <t>Alte Sch√∂nhauser Stra√üe 44, Berlin, 10119</t>
  </si>
  <si>
    <t>https://www.dump-ling.de</t>
  </si>
  <si>
    <t>+49 30 71093400</t>
  </si>
  <si>
    <t>instagram: https://www.instagram.com/dumpling.restaurant/?hl=en</t>
  </si>
  <si>
    <t>Chicken Coma</t>
  </si>
  <si>
    <t>Spree Fum√©e</t>
  </si>
  <si>
    <t>M√§rkisches Ufer 1Z</t>
  </si>
  <si>
    <t>https://spree-fumee.de</t>
  </si>
  <si>
    <t>ahoi@spree-fumee.de</t>
  </si>
  <si>
    <t>+49 30 22019294</t>
  </si>
  <si>
    <t>instagram: https://www.instagram.com/spreefumee/, facebook: https://www.facebook.com/spreefumee, tiktok: https://www.tiktok.com/@spreefumee</t>
  </si>
  <si>
    <t>Bami 789</t>
  </si>
  <si>
    <t>Sonntagstra√üe 9, 10245</t>
  </si>
  <si>
    <t>https://www.thaifoodbami.de/</t>
  </si>
  <si>
    <t>info@thaifoodbami.de</t>
  </si>
  <si>
    <t>Pizzeria Italia</t>
  </si>
  <si>
    <t>Trio</t>
  </si>
  <si>
    <t>Linienstra√üe 13, 10178</t>
  </si>
  <si>
    <t>http://trioberlin.net</t>
  </si>
  <si>
    <t>info@trioberlin.net</t>
  </si>
  <si>
    <t>Kourosh</t>
  </si>
  <si>
    <t>Strausberger Platz 1, Berlin, 10243</t>
  </si>
  <si>
    <t>https://www.kourosh-restaurant.de/</t>
  </si>
  <si>
    <t>kouroshrestaurantberlin2025@gmail.com</t>
  </si>
  <si>
    <t>instagram: https://www.instagram.com/kourosh_restaurant_berlin/</t>
  </si>
  <si>
    <t>Call 'N eat</t>
  </si>
  <si>
    <t>Uranusweg 3, Berlin, 13405</t>
  </si>
  <si>
    <t>+4930 74750080</t>
  </si>
  <si>
    <t>L.A Burger</t>
  </si>
  <si>
    <t>Uranusweg 1, Berlin, 13405</t>
  </si>
  <si>
    <t>+49 3040729593</t>
  </si>
  <si>
    <t>Ngo Kim Pak</t>
  </si>
  <si>
    <t>Schl√ºterstra√üe 22-23, 10625</t>
  </si>
  <si>
    <t>https://www.ngokimpak.de/</t>
  </si>
  <si>
    <t>instagram: https://www.instagram.com/ngokimpak, facebook: https://www.facebook.com/ngokimpak</t>
  </si>
  <si>
    <t>Caputo</t>
  </si>
  <si>
    <t>Caputo Pepino</t>
  </si>
  <si>
    <t>Souvlaki Saranda</t>
  </si>
  <si>
    <t>+49 30 49932119</t>
  </si>
  <si>
    <t>Katzentempel Berlin Mitte</t>
  </si>
  <si>
    <t>Friedrichstra√üe 153, Berlin, 10117</t>
  </si>
  <si>
    <t>https://www.katzentempel.de/standorte/berlin</t>
  </si>
  <si>
    <t>E-Mailberlinmitte@katzentempel.de</t>
  </si>
  <si>
    <t>instagram: https://www.instagram.com/katzentempel/, facebook: https://www.facebook.com/Katzentempeldeutschland/, tiktok: https://www.tiktok.com/@katzentempel</t>
  </si>
  <si>
    <t>Restaurant Bibi</t>
  </si>
  <si>
    <t>https://bibi-restaurant.de/</t>
  </si>
  <si>
    <t>+49 30 52669566</t>
  </si>
  <si>
    <t>Delle Venezia</t>
  </si>
  <si>
    <t>+49 176 41670336</t>
  </si>
  <si>
    <t>La Muse Gueule</t>
  </si>
  <si>
    <t>machiko</t>
  </si>
  <si>
    <t>The Base</t>
  </si>
  <si>
    <t>Anjappar</t>
  </si>
  <si>
    <t>Zimmerstra√üe 92, 10117</t>
  </si>
  <si>
    <t>https://anjappar-berlin.de/</t>
  </si>
  <si>
    <t>info@anjappar.com</t>
  </si>
  <si>
    <t>tiktok: https://www.tiktok.com/@anjapparchettinad.berlin, instagram: https://www.instagram.com/Anjapparchettinadberlin</t>
  </si>
  <si>
    <t>Modi</t>
  </si>
  <si>
    <t>Han Factory</t>
  </si>
  <si>
    <t>Pappelallee 65, 10437</t>
  </si>
  <si>
    <t>https://www.hanfactory.de/</t>
  </si>
  <si>
    <t>SAN</t>
  </si>
  <si>
    <t>Weydingerstra√üe 22, 10178</t>
  </si>
  <si>
    <t>http://3berlin.com</t>
  </si>
  <si>
    <t>info@3berlin.comReservierungen</t>
  </si>
  <si>
    <t>Khatoon</t>
  </si>
  <si>
    <t>Marie.</t>
  </si>
  <si>
    <t>Adele-Schreiber-Krieger-Stra√üe 1, Berlin, 10117</t>
  </si>
  <si>
    <t>https://marieimbundestag.de/</t>
  </si>
  <si>
    <t>hallo@marieimbundestag.de</t>
  </si>
  <si>
    <t>+49 30 206 79 412</t>
  </si>
  <si>
    <t>instagram: https://www.instagram.com/marieimbundestag?igsh=ZHo1Y242c28xMnA3</t>
  </si>
  <si>
    <t>onette</t>
  </si>
  <si>
    <t>Grunewaldstra√üe 11, 10781</t>
  </si>
  <si>
    <t>Mustang</t>
  </si>
  <si>
    <t>Mariendorfer Damm 296, Berlin, 12107</t>
  </si>
  <si>
    <t>https://mustang-berlin.de</t>
  </si>
  <si>
    <t>30restaurant@mustang-berlin.de</t>
  </si>
  <si>
    <t>facebook: https://www.facebook.com/mustang.restaurant.berlin, instagram: https://www.instagram.com/mustangberlin/, tiktok: https://www.tiktok.com/@mustang.berlin</t>
  </si>
  <si>
    <t>Achter Gedeck</t>
  </si>
  <si>
    <t>Bismarckstra√üe 4, Berlin, 14109</t>
  </si>
  <si>
    <t>https://www.achter-gedeck.de</t>
  </si>
  <si>
    <t>kontakt@achter-gedeck.de</t>
  </si>
  <si>
    <t>+49 30 8036780</t>
  </si>
  <si>
    <t>Gujrat Spice Restaurant</t>
  </si>
  <si>
    <t>Rathenower Stra√üe 6, 10559</t>
  </si>
  <si>
    <t>https://shop.gujrat.de</t>
  </si>
  <si>
    <t>Impasto Rosso</t>
  </si>
  <si>
    <t>Pauline-Staegemann-Stra√üe 2, Berlin, 10249</t>
  </si>
  <si>
    <t>https://www.impastorosso.de/</t>
  </si>
  <si>
    <t>info@impasto-rosso.de</t>
  </si>
  <si>
    <t>+49 30 55232260</t>
  </si>
  <si>
    <t>tiktok: https://www.tiktok.com/@impastorosso, facebook: https://www.facebook.com/Impastorosso/, instagram: https://www.instagram.com/impastorosso/</t>
  </si>
  <si>
    <t>Kathmandu Kitchen</t>
  </si>
  <si>
    <t>Bartningallee 1</t>
  </si>
  <si>
    <t>Pizza 31</t>
  </si>
  <si>
    <t>Hermannstra√üe 31, 12049</t>
  </si>
  <si>
    <t>+49 30 91446365</t>
  </si>
  <si>
    <t>The Commons</t>
  </si>
  <si>
    <t>Alexanderstra√üe 40</t>
  </si>
  <si>
    <t>Las Cafe</t>
  </si>
  <si>
    <t>Laskerstra√üe 6-8, 10245</t>
  </si>
  <si>
    <t>https://lascafe.gfbm.de/</t>
  </si>
  <si>
    <t>lascafe@gfbm.de</t>
  </si>
  <si>
    <t>+49 30 755144221</t>
  </si>
  <si>
    <t>Panda Meister Bubble Tea &amp; Dumplings</t>
  </si>
  <si>
    <t>Alt-Moabit 73A, 10555</t>
  </si>
  <si>
    <t>Sabai Sabai original thai streetfood</t>
  </si>
  <si>
    <t>Puschkinallee 15, 12435</t>
  </si>
  <si>
    <t>Stoke</t>
  </si>
  <si>
    <t>Lindenstra√üe 34-35, Berlin, 10969</t>
  </si>
  <si>
    <t>https://www.stokeberlin.com</t>
  </si>
  <si>
    <t>Treptower Club Restaurant</t>
  </si>
  <si>
    <t>https://wolt.com/en/deu/berlin/restaurant/treptower-club-restaurant</t>
  </si>
  <si>
    <t>support@wolt.com</t>
  </si>
  <si>
    <t>instagram: https://www.instagram.com/wolt.deutschland/, facebook: https://www.facebook.com/woltdeutschland/, twitter: https://twitter.com/woltapp, linkedin: https://www.linkedin.com/company/wolt-oy/</t>
  </si>
  <si>
    <t>Tinys</t>
  </si>
  <si>
    <t>Koneko Sushi</t>
  </si>
  <si>
    <t>Kurf√ºrstendamm 132a, Berlin, 10711</t>
  </si>
  <si>
    <t>https://www.konekosushi.com</t>
  </si>
  <si>
    <t>facebook: https://www.facebook.com/konekosushiberlin, tiktok: https://www.tiktok.com/@koneko.sushi, instagram: https://www.instagram.com/konekosushi.berlin/</t>
  </si>
  <si>
    <t>Soul Kitchen House</t>
  </si>
  <si>
    <t>Sonntagstra√üe 25, 10245</t>
  </si>
  <si>
    <t>https://silver-tomato-fjdr.squarespace.com/</t>
  </si>
  <si>
    <t>hello@soulkitchenhouse.berlin</t>
  </si>
  <si>
    <t>+49 30 43723197</t>
  </si>
  <si>
    <t>instagram: http://instagram.com/soulkitchen.house</t>
  </si>
  <si>
    <t>Donau101</t>
  </si>
  <si>
    <t>Donaustra√üe 101</t>
  </si>
  <si>
    <t>Limonello Pizza Napoletana</t>
  </si>
  <si>
    <t>Bergstra√üe 92, Berlin, 12169</t>
  </si>
  <si>
    <t>https://www.limonellopizza.de/</t>
  </si>
  <si>
    <t>berlin@limonellopizza.de</t>
  </si>
  <si>
    <t>+49 3049933068</t>
  </si>
  <si>
    <t>Crust</t>
  </si>
  <si>
    <t>https://www.crustpizza.de/</t>
  </si>
  <si>
    <t>Stabi Kantine</t>
  </si>
  <si>
    <t>Potsdamer Stra√üe 33, Berlin, 10785</t>
  </si>
  <si>
    <t>Frank.Manitz@Sodexo.com</t>
  </si>
  <si>
    <t>Engelbecken</t>
  </si>
  <si>
    <t>Witzlebenstra√üe 31, 14057</t>
  </si>
  <si>
    <t>https://engelbecken.de/</t>
  </si>
  <si>
    <t>info@engelbecken.de</t>
  </si>
  <si>
    <t>facebook: https://www.facebook.com/Engelbecken-Speise-und-Schankwirtschaft-1248361448525196/, instagram: https://www.instagram.com/engelbecken.de/</t>
  </si>
  <si>
    <t>72ore by NEA 1889</t>
  </si>
  <si>
    <t>Zimmerstr. 27, Berlin</t>
  </si>
  <si>
    <t>Company Catering</t>
  </si>
  <si>
    <t>Kynaststra√üe 1-3</t>
  </si>
  <si>
    <t>Pho 87</t>
  </si>
  <si>
    <t>Factory Girl</t>
  </si>
  <si>
    <t>Friedrichstra√üe 113, 10117</t>
  </si>
  <si>
    <t>https://factorygirl.net/</t>
  </si>
  <si>
    <t>helloberlin@factorygirl.net</t>
  </si>
  <si>
    <t>instagram: https://www.instagram.com/factorygirlrestaurants/, linkedin: https://www.linkedin.com/company/factorygirl-holding-b-v/</t>
  </si>
  <si>
    <t>Boii Boii</t>
  </si>
  <si>
    <t>Lausitzer Stra√üe 25, Berlin, 10999</t>
  </si>
  <si>
    <t>https://www.boiiboii.com</t>
  </si>
  <si>
    <t>Quantuan</t>
  </si>
  <si>
    <t>Caf√© Pinjo</t>
  </si>
  <si>
    <t>Brabanter Stra√üe 18-20, 10713</t>
  </si>
  <si>
    <t>https://www.pinel.de/dienstleistungen/gastronomie/</t>
  </si>
  <si>
    <t>pinjo@pinel.de</t>
  </si>
  <si>
    <t>Prince</t>
  </si>
  <si>
    <t>Kommandantenstra√üe 75, 10117</t>
  </si>
  <si>
    <t>+49 30 56826238</t>
  </si>
  <si>
    <t>Manon Brasserie Nouvelle</t>
  </si>
  <si>
    <t>Steinplatz 4, 10623</t>
  </si>
  <si>
    <t>https://www.roomers-hotels.com/</t>
  </si>
  <si>
    <t>hello@roomers-hotels.com</t>
  </si>
  <si>
    <t>+49 30 5544447053</t>
  </si>
  <si>
    <t>facebook: https://www.facebook.com/roomershotels/, instagram: https://www.instagram.com/p/CiQwKJMLQnw/</t>
  </si>
  <si>
    <t>Of Eden</t>
  </si>
  <si>
    <t>Stralauer Allee 15, Berlin, 10245</t>
  </si>
  <si>
    <t>https://www.of-eden.com/</t>
  </si>
  <si>
    <t>kontakt@of-eden.com</t>
  </si>
  <si>
    <t>instagram: https://www.instagram.com/of.eden.official/</t>
  </si>
  <si>
    <t>SzeChuan</t>
  </si>
  <si>
    <t>Seestra√üe 101, 13353</t>
  </si>
  <si>
    <t>Isintoo</t>
  </si>
  <si>
    <t>Poke Bowls</t>
  </si>
  <si>
    <t>Bleibtreustra√üe 7, Berlin, 10623</t>
  </si>
  <si>
    <t>http://berlin-0086.flysoft.restaurant</t>
  </si>
  <si>
    <t>An La No</t>
  </si>
  <si>
    <t>Hultschiner Damm 24, Berlin, 12623</t>
  </si>
  <si>
    <t>https://anlano-restaurant.de</t>
  </si>
  <si>
    <t>info@anlano-restaurant.de</t>
  </si>
  <si>
    <t>+49 30 54624878</t>
  </si>
  <si>
    <t>Dada - Indisches Restaurant</t>
  </si>
  <si>
    <t>Ristorante Caruso</t>
  </si>
  <si>
    <t>Oraniendamm 30-31, Berlin, 13469</t>
  </si>
  <si>
    <t>+49 30 33022920</t>
  </si>
  <si>
    <t>Moon Exquisite</t>
  </si>
  <si>
    <t>San Nicola</t>
  </si>
  <si>
    <t>O Day Deli</t>
  </si>
  <si>
    <t>Brunnenstra√üe 27, Berlin, 10119</t>
  </si>
  <si>
    <t>Kiek rin</t>
  </si>
  <si>
    <t>Hut</t>
  </si>
  <si>
    <t>Seelower Stra√üe 15, Berlin, 10439</t>
  </si>
  <si>
    <t>Ristorante il Tartufo</t>
  </si>
  <si>
    <t>Wolfshagener Stra√üe 87, 13187</t>
  </si>
  <si>
    <t>https://ristorantetartufo.de</t>
  </si>
  <si>
    <t>Piadin'Arte</t>
  </si>
  <si>
    <t>Boxhagener Stra√üe 75</t>
  </si>
  <si>
    <t>https://piadinarte.com/</t>
  </si>
  <si>
    <t>Trattoria Splendido</t>
  </si>
  <si>
    <t>https://www.trattoria-splendido.de</t>
  </si>
  <si>
    <t>info@trattoria-splendido.de</t>
  </si>
  <si>
    <t>+49 30 55515340</t>
  </si>
  <si>
    <t>fior di margherita</t>
  </si>
  <si>
    <t>Rasoterra Pizzeria</t>
  </si>
  <si>
    <t>Uhlandstra√üe 155, 10719</t>
  </si>
  <si>
    <t>Oniro Feinkost</t>
  </si>
  <si>
    <t>Ari's</t>
  </si>
  <si>
    <t>Glogauer Stra√üe 2, Berlin, 10999</t>
  </si>
  <si>
    <t>Ciao am See</t>
  </si>
  <si>
    <t>Maisel's Einkehr</t>
  </si>
  <si>
    <t>Akroum Snack</t>
  </si>
  <si>
    <t>Sonnenallee 45, 12045</t>
  </si>
  <si>
    <t>+49 176 23384591</t>
  </si>
  <si>
    <t>Pipaso</t>
  </si>
  <si>
    <t>Sonnenallee 148</t>
  </si>
  <si>
    <t>Steakhouse Plancha</t>
  </si>
  <si>
    <t>https://plancha-berlin.de/</t>
  </si>
  <si>
    <t>+49 30 36728918</t>
  </si>
  <si>
    <t>Hanuman Thai Curry House</t>
  </si>
  <si>
    <t>Skalitzer Stra√üe 96, 10997</t>
  </si>
  <si>
    <t>https://www.hanuman-thaicurryhouse.com/</t>
  </si>
  <si>
    <t>Restaurant Kochm√ºtze</t>
  </si>
  <si>
    <t>Landsberger Allee 320, Berlin, 10365</t>
  </si>
  <si>
    <t>https://www.hoeffner.de/kochmuetze</t>
  </si>
  <si>
    <t>Nah &amp; Fern</t>
  </si>
  <si>
    <t>Sch√∂nhauser Allee 135A, Berlin, 10347</t>
  </si>
  <si>
    <t>https://www.restaurant-nahundfern.de</t>
  </si>
  <si>
    <t>info@restaurant-nahundfern.de</t>
  </si>
  <si>
    <t>+49 30 24539548</t>
  </si>
  <si>
    <t>Spreewirtschaft</t>
  </si>
  <si>
    <t>Miu Sushi Rudow</t>
  </si>
  <si>
    <t>Tupac</t>
  </si>
  <si>
    <t>https://www.tupacberlin.com</t>
  </si>
  <si>
    <t>+49 30 78891980</t>
  </si>
  <si>
    <t>OKA Onigiri</t>
  </si>
  <si>
    <t>Oranienburger Stra√üe 72, Berlin, 10117</t>
  </si>
  <si>
    <t>Little Little</t>
  </si>
  <si>
    <t>Ricksha</t>
  </si>
  <si>
    <t>Eat Me Asia Box &amp; Bubble Tea</t>
  </si>
  <si>
    <t>Soul 1976</t>
  </si>
  <si>
    <t>Wisbyer Stra√üe 69</t>
  </si>
  <si>
    <t>Jetpong</t>
  </si>
  <si>
    <t>Herzbergstra√üe 55</t>
  </si>
  <si>
    <t>Kosher Deli Golcca</t>
  </si>
  <si>
    <t>Meiningenallee 1, 14052</t>
  </si>
  <si>
    <t>Bella Pasta Fresca</t>
  </si>
  <si>
    <t>Pick &amp; Cheese</t>
  </si>
  <si>
    <t>Potsdamer Stra√üe 2, Berlin, 10785</t>
  </si>
  <si>
    <t>Cyclo</t>
  </si>
  <si>
    <t>Mio 1989</t>
  </si>
  <si>
    <t>Bandol</t>
  </si>
  <si>
    <t>Crisp</t>
  </si>
  <si>
    <t>Mrs. Viet</t>
  </si>
  <si>
    <t>Sch√∂nhauser Allee 157</t>
  </si>
  <si>
    <t>Pizzeria Il Forno di Napoli</t>
  </si>
  <si>
    <t>Wildenbruchstra√üe 90, Berlin, 12045</t>
  </si>
  <si>
    <t>+49 30 49951122</t>
  </si>
  <si>
    <t>Nonna Anna</t>
  </si>
  <si>
    <t>Gotenstra√üe 46</t>
  </si>
  <si>
    <t>https://nonna-anna.berlin</t>
  </si>
  <si>
    <t>ristorante@anna-nonna.berlin</t>
  </si>
  <si>
    <t>+49 176 30340403</t>
  </si>
  <si>
    <t>instagram: https://www.instagram.com/nonna_anna_berlino/</t>
  </si>
  <si>
    <t>Hi! Chili</t>
  </si>
  <si>
    <t>Fehrbelliner Stra√üe 5, Berlin, 10119</t>
  </si>
  <si>
    <t>Pizziamo - Berlins Beste Pizza</t>
  </si>
  <si>
    <t>Wilmsstra√üe 13, 10961</t>
  </si>
  <si>
    <t>+49 30 80100888</t>
  </si>
  <si>
    <t>Kabuki</t>
  </si>
  <si>
    <t>Locanda 12 Apostoli</t>
  </si>
  <si>
    <t>https://www.locanda-12apostoli.de/</t>
  </si>
  <si>
    <t>info@locanda-12apostoli.de</t>
  </si>
  <si>
    <t>+49 30 8181910</t>
  </si>
  <si>
    <t>RIVA</t>
  </si>
  <si>
    <t>Alt Moabit 91, Berlin, 10559</t>
  </si>
  <si>
    <t>https://www.riva.berlin</t>
  </si>
  <si>
    <t>+49 30 55519971</t>
  </si>
  <si>
    <t>Plant Life</t>
  </si>
  <si>
    <t>Octogon</t>
  </si>
  <si>
    <t>Leipziger Platz 14, Berlin, 10117</t>
  </si>
  <si>
    <t>https://octogon.berlin/</t>
  </si>
  <si>
    <t>restaurant@octogon.berlin</t>
  </si>
  <si>
    <t>facebook: https://www.facebook.com/profile.php?id=61566459051517, instagram: https://www.instagram.com/octogonberlin/</t>
  </si>
  <si>
    <t>Il Cavallino</t>
  </si>
  <si>
    <t>Vaust</t>
  </si>
  <si>
    <t>https://www.vaust.berlin/</t>
  </si>
  <si>
    <t>kontakt@vaust.berlin</t>
  </si>
  <si>
    <t>+49 177 4439616</t>
  </si>
  <si>
    <t>instagram: https://www.instagram.com/vaust_bar_restaurant</t>
  </si>
  <si>
    <t>Soopri</t>
  </si>
  <si>
    <t>Kantstra√üe 87, Berlin, 10627</t>
  </si>
  <si>
    <t>Kiva Han</t>
  </si>
  <si>
    <t>Kibo</t>
  </si>
  <si>
    <t>Sakrower Landstra√üe 20, Berlin, 14089</t>
  </si>
  <si>
    <t>https://www.kiboberlin.de/</t>
  </si>
  <si>
    <t>instagram: https://www.instagram.com/kibo.berlin/</t>
  </si>
  <si>
    <t>Elia</t>
  </si>
  <si>
    <t>https://www.eliakladow.de/</t>
  </si>
  <si>
    <t>elia.gr.restaurant@gmail.com</t>
  </si>
  <si>
    <t>Der goldene Hahn</t>
  </si>
  <si>
    <t>P√ºcklerstra√üe 20, 10997</t>
  </si>
  <si>
    <t>https://www.goldenerhahn.de/</t>
  </si>
  <si>
    <t>info@goldenerhahn.de</t>
  </si>
  <si>
    <t>Balkaymak Lokanta</t>
  </si>
  <si>
    <t>Brunch by Sole</t>
  </si>
  <si>
    <t>Zietenstra√üe 7-9</t>
  </si>
  <si>
    <t>https://brunchbysole.de/</t>
  </si>
  <si>
    <t>+49 30 71051493</t>
  </si>
  <si>
    <t>Tosk√´@Geg√´</t>
  </si>
  <si>
    <t>Perleberger Stra√üe 5, Berlin, 10559</t>
  </si>
  <si>
    <t>https://www.instagram.com/toskgegtapasbar/</t>
  </si>
  <si>
    <t>Chuan Garden</t>
  </si>
  <si>
    <t>Torstra√üe 189, Berlin, 10115</t>
  </si>
  <si>
    <t>https://berlin-chuangarden.flysoft.restaurant</t>
  </si>
  <si>
    <t>+49 30 66620208</t>
  </si>
  <si>
    <t>Calice d¬¥Oro</t>
  </si>
  <si>
    <t>Veggie &amp; Vega</t>
  </si>
  <si>
    <t>Gneisenaustra√üe 5</t>
  </si>
  <si>
    <t>https://veggievega.berlin/</t>
  </si>
  <si>
    <t>info@veggievega.berlin</t>
  </si>
  <si>
    <t>+49 30 64165590</t>
  </si>
  <si>
    <t>facebook: https://www.facebook.com/VeggieVega-633694047134678/, instagram: https://www.instagram.com/veggievega_restaurant/</t>
  </si>
  <si>
    <t>zen taste</t>
  </si>
  <si>
    <t>Arepas</t>
  </si>
  <si>
    <t>Maybachufer 3</t>
  </si>
  <si>
    <t>SOLID</t>
  </si>
  <si>
    <t>Graefestra√üe 18, Berlin, 10967</t>
  </si>
  <si>
    <t>https://solid.stadtlandladen.org/</t>
  </si>
  <si>
    <t>info@stadtlandladen.org</t>
  </si>
  <si>
    <t>instagram: https://www.instagram.com/solid.berlin/</t>
  </si>
  <si>
    <t>Ha Pho</t>
  </si>
  <si>
    <t>Dudenstra√üe 15</t>
  </si>
  <si>
    <t>K√∂fterei</t>
  </si>
  <si>
    <t>Xudu</t>
  </si>
  <si>
    <t>Sluuv</t>
  </si>
  <si>
    <t>Gevrek</t>
  </si>
  <si>
    <t>Tempelhofer Damm 144, 12099</t>
  </si>
  <si>
    <t>https://www.gevrek-fr√ºhst√ºckshaus.de/</t>
  </si>
  <si>
    <t>info@gevrek.berlin</t>
  </si>
  <si>
    <t>instagram: https://www.instagram.com/gevrek_tempelhof/</t>
  </si>
  <si>
    <t>Red Chillies</t>
  </si>
  <si>
    <t>Kaiser-Wilhelm-Stra√üe 31, Berlin, 12247</t>
  </si>
  <si>
    <t>https://red-chillies.net/</t>
  </si>
  <si>
    <t>red.chillies.berlin@gmail.com</t>
  </si>
  <si>
    <t>+49 30 768 90 219</t>
  </si>
  <si>
    <t>Cecconis</t>
  </si>
  <si>
    <t>El Barrio</t>
  </si>
  <si>
    <t>Mahlower Stra√üe 32</t>
  </si>
  <si>
    <t>https://www.instagram.com/elbarrioberlin/</t>
  </si>
  <si>
    <t>sly</t>
  </si>
  <si>
    <t>Petersburger Stra√üe 16, Berlin, 10249</t>
  </si>
  <si>
    <t>https://www.sly-berlin.com/dine-drink</t>
  </si>
  <si>
    <t>contact@sly-berlin.com</t>
  </si>
  <si>
    <t>linkedin: https://www.linkedin.com/company/sly-berlin/, instagram: https://www.instagram.com/sly.berlin/?hl=de</t>
  </si>
  <si>
    <t>Patagona</t>
  </si>
  <si>
    <t>https://www.marche-movenpick.de/de/unsere-standorte/patagona</t>
  </si>
  <si>
    <t>berlin-tierpark@marche-int.com</t>
  </si>
  <si>
    <t>+49 30 5123143</t>
  </si>
  <si>
    <t>Son Asia</t>
  </si>
  <si>
    <t>Wiltbergstra√üe 2, Berlin, 13125</t>
  </si>
  <si>
    <t>https://www.sonasia-berlin.de/</t>
  </si>
  <si>
    <t>+49 30 91142399</t>
  </si>
  <si>
    <t>Milchh√§uschen</t>
  </si>
  <si>
    <t>Parkstra√üe 33a, Berlin, 13086</t>
  </si>
  <si>
    <t>https://www.milchhaeuschen-berlin.de/</t>
  </si>
  <si>
    <t>+49 30 9271144</t>
  </si>
  <si>
    <t>C</t>
  </si>
  <si>
    <t>Jagdhaus</t>
  </si>
  <si>
    <t>Niederneuendorfer Allee 80, Berlin, 13587</t>
  </si>
  <si>
    <t>https://www.jagdhaus-spandau.de/</t>
  </si>
  <si>
    <t>info@jagdhaus-spandau.de</t>
  </si>
  <si>
    <t>+49 30 33604494</t>
  </si>
  <si>
    <t>facebook: https://www.facebook.com/jagdhaus.spandau, instagram: https://www.instagram.com/jagdhaus_spandau/?hl=es</t>
  </si>
  <si>
    <t>Seepavillon am Tegeler See</t>
  </si>
  <si>
    <t>+49 30 50006421</t>
  </si>
  <si>
    <t>Zum Pferdestall</t>
  </si>
  <si>
    <t>+49 30 4915072</t>
  </si>
  <si>
    <t>Hofbr√§u Berlin</t>
  </si>
  <si>
    <t>Karl-Liebknecht-Stra√üe 30, Berlin, 10178</t>
  </si>
  <si>
    <t>https://www.hofbraeu-wirtshaus.de/berlin/</t>
  </si>
  <si>
    <t>info@berlin-hofbraeu.de</t>
  </si>
  <si>
    <t>+49 30 679665520</t>
  </si>
  <si>
    <t>instagram: https://www.instagram.com/hofbraeu.wirtshaus, facebook: http://facebook.com/hbwberlin, twitter: https://twitter.com/share?url=https%3A%2F%2Fwww.hofbraeu-wirtshaus.de%2Fevents%2Fosterbrunch-berlin-2%2F</t>
  </si>
  <si>
    <t>Zoo-Restaurant</t>
  </si>
  <si>
    <t>Villa Loo√ü am Fennpfuhl</t>
  </si>
  <si>
    <t>Karl-Lade-Stra√üe 79, Berlin, 10369</t>
  </si>
  <si>
    <t>Cruise-In American Diner</t>
  </si>
  <si>
    <t>P√§wesiner Weg 25a, Berlin, 13581</t>
  </si>
  <si>
    <t>http://www.cruise-in.de/</t>
  </si>
  <si>
    <t>+49 30 35130130</t>
  </si>
  <si>
    <t>Hiram</t>
  </si>
  <si>
    <t>Bundesallee 42, Berlin, 10715</t>
  </si>
  <si>
    <t>Mustang Restaurant - Cafe - Cocktailbar</t>
  </si>
  <si>
    <t>https://www.mustang-berlin.de/</t>
  </si>
  <si>
    <t>+49 30 743 022 30</t>
  </si>
  <si>
    <t>Tomasa Lichterfelde</t>
  </si>
  <si>
    <t>B√§kestra√üe 15, Berlin, 12207</t>
  </si>
  <si>
    <t>http://www.tomasa.de/tomasa-restaurant-berlin/tomasa-lichterfelde</t>
  </si>
  <si>
    <t>+49 30 7729095</t>
  </si>
  <si>
    <t>Brasserie St. Germain</t>
  </si>
  <si>
    <t>Goethestra√üe 4, Berlin, 10623</t>
  </si>
  <si>
    <t>http://brasserie-saint-germain.de/</t>
  </si>
  <si>
    <t>info@brasserie-saint-germain.de</t>
  </si>
  <si>
    <t>Spinnerbr√ºcke</t>
  </si>
  <si>
    <t>Spanische Allee 180, Berlin, 14129</t>
  </si>
  <si>
    <t>http://www.spinner-bruecke.de/</t>
  </si>
  <si>
    <t>info@spinner-bruecke.de</t>
  </si>
  <si>
    <t>+49 30 8035412</t>
  </si>
  <si>
    <t>facebook: https://www.facebook.com/SpinnerBruecke?ref=hl, instagram: https://www.instagram.com/spinnerbruecke/</t>
  </si>
  <si>
    <t>Gastst√§tte Kaulsdorfer Busch</t>
  </si>
  <si>
    <t>https://www.daheim-im-kaulsdorfer-busch.de/</t>
  </si>
  <si>
    <t>lecker@daheim-im-kaulsdorfer-busch.de</t>
  </si>
  <si>
    <t>+49 30 56584856</t>
  </si>
  <si>
    <t>Freibad L√ºbars</t>
  </si>
  <si>
    <t>Am Freibad 9, Berlin, 13469</t>
  </si>
  <si>
    <t>https://www.strandbad-luebars.de/</t>
  </si>
  <si>
    <t>info@strandbad-luebars.de</t>
  </si>
  <si>
    <t>+49 30 53086035</t>
  </si>
  <si>
    <t>The Sixties Diner</t>
  </si>
  <si>
    <t>Mariendorfer Damm 338, Berlin, 12107</t>
  </si>
  <si>
    <t>https://sixtiesdiner.de/sixties-mariendorf/</t>
  </si>
  <si>
    <t>41info@sixtiesdiner.deJOBSIMPRESSUMDOWNLOADMEIN</t>
  </si>
  <si>
    <t>+49 30 76108102</t>
  </si>
  <si>
    <t>facebook: https://www.facebook.com/TheSixtiesDinerBerlin, instagram: https://www.instagram.com/sixtiesdiner, twitter: https://twitter.com/route66diner</t>
  </si>
  <si>
    <t>Hotel &amp; Restaurant Neu-Helgoland</t>
  </si>
  <si>
    <t>Neuhelgol√§nder Weg 1, Berlin, 12559</t>
  </si>
  <si>
    <t>https://www.neu-helgoland.de/</t>
  </si>
  <si>
    <t>mail@neu-helgoland.de</t>
  </si>
  <si>
    <t>+49 30 6598247</t>
  </si>
  <si>
    <t>HW Hotel "Haus am Niederfeld"</t>
  </si>
  <si>
    <t>Am Niederfeld 21, Berlin, 12621</t>
  </si>
  <si>
    <t>https://www.hw-hotel.de/</t>
  </si>
  <si>
    <t>Orankesee Terrassen</t>
  </si>
  <si>
    <t>Orankestra√üe 41, Berlin, 13053</t>
  </si>
  <si>
    <t>https://orankesee-terrassen.berlin/</t>
  </si>
  <si>
    <t>info@orankesee-terrassen.berlin</t>
  </si>
  <si>
    <t>+49 30 67810910</t>
  </si>
  <si>
    <t>Amaretto</t>
  </si>
  <si>
    <t>Caf√© am Neuen See</t>
  </si>
  <si>
    <t>Lichtensteinallee 2, Berlin, 10787</t>
  </si>
  <si>
    <t>http://www.cafe-am-neuen-see.de/</t>
  </si>
  <si>
    <t>sekretariat-cans@gastart.de</t>
  </si>
  <si>
    <t>+49 30 25449300</t>
  </si>
  <si>
    <t>instagram: https://www.instagram.com/cafeamneuensee/</t>
  </si>
  <si>
    <t>Haus Sanssouci</t>
  </si>
  <si>
    <t>Am Gro√üen Wannsee 60, Berlin, 14109</t>
  </si>
  <si>
    <t>https://web.haussanssouci.com/</t>
  </si>
  <si>
    <t>+49 30 805 30 34</t>
  </si>
  <si>
    <t>facebook: https://www.facebook.com/haussanssouci</t>
  </si>
  <si>
    <t>Annarkali</t>
  </si>
  <si>
    <t>+49 30 66068017</t>
  </si>
  <si>
    <t>Waldsch√§nke</t>
  </si>
  <si>
    <t>Budapester Stra√üe 34, Berlin, 10787</t>
  </si>
  <si>
    <t>Royal Garden</t>
  </si>
  <si>
    <t>Osdorfer Stra√üe 26, Berlin, 12207</t>
  </si>
  <si>
    <t>https://www.royal-china.de/</t>
  </si>
  <si>
    <t>info@royal-china.de</t>
  </si>
  <si>
    <t>+49 30 81852332</t>
  </si>
  <si>
    <t>Landgasthaus ‚ÄûZum Alten Fritz‚Äú</t>
  </si>
  <si>
    <t>Karolinenstra√üe 12, Berlin, 13507</t>
  </si>
  <si>
    <t>https://www.restaurant-alter-fritz.de/</t>
  </si>
  <si>
    <t>weiss@restaurant-alter-fritz.deTelefon</t>
  </si>
  <si>
    <t>+49 30 4335010</t>
  </si>
  <si>
    <t>Waldh√ºtte</t>
  </si>
  <si>
    <t>Schwarzer Weg 15, Berlin, 13505</t>
  </si>
  <si>
    <t>Tornero am Flie√ü</t>
  </si>
  <si>
    <t>Waidmannsluster Damm 36, Berlin, 13509</t>
  </si>
  <si>
    <t>http://www.tornero-am-fliess.de</t>
  </si>
  <si>
    <t>+49 30 4336237</t>
  </si>
  <si>
    <t>Isola Verde</t>
  </si>
  <si>
    <t>Gorkistra√üe 206, Berlin, 13437</t>
  </si>
  <si>
    <t>https://www.isolaverde.de/</t>
  </si>
  <si>
    <t>kontakt@isolaverde.de</t>
  </si>
  <si>
    <t>+4930 4145471</t>
  </si>
  <si>
    <t>facebook: https://www.facebook.com/IsolaVerde.Italo/, instagram: https://www.instagram.com/isolaverde.italo/</t>
  </si>
  <si>
    <t>Wasserfreunde Spandau 04 e.v.</t>
  </si>
  <si>
    <t>Restaurant Seebad</t>
  </si>
  <si>
    <t>Cr√™plala</t>
  </si>
  <si>
    <t>Kantstra√üe 85A, Berlin, 10627</t>
  </si>
  <si>
    <t>https://www.creplala.de/</t>
  </si>
  <si>
    <t>China Restaurant Evergreen</t>
  </si>
  <si>
    <t>Magistratsweg 31, Berlin, 13593</t>
  </si>
  <si>
    <t>http://www.restaurant-evergreen.de/</t>
  </si>
  <si>
    <t>+49 30 3633491</t>
  </si>
  <si>
    <t>Bayon</t>
  </si>
  <si>
    <t>Kanalstra√üe 1, Berlin, 12589</t>
  </si>
  <si>
    <t>https://www.restaurant-bayon.de/</t>
  </si>
  <si>
    <t>info@restaurant-bayon.de</t>
  </si>
  <si>
    <t>+49 30 6432 8216</t>
  </si>
  <si>
    <t>The MyMoon</t>
  </si>
  <si>
    <t>Alt-Reinickendorf 3, Berlin, 13407</t>
  </si>
  <si>
    <t>http://www.themymoon.de/</t>
  </si>
  <si>
    <t>info@themymoon.de</t>
  </si>
  <si>
    <t>facebook: https://www.facebook.com/themymoon/, instagram: https://www.instagram.com/themymoon.de/?hl=de</t>
  </si>
  <si>
    <t>Tiroler Stuben</t>
  </si>
  <si>
    <t>Heerstra√üe 137, Berlin, 14055</t>
  </si>
  <si>
    <t>https://www.tiroler-stuben.com/</t>
  </si>
  <si>
    <t>info@tiroler-stuben.com</t>
  </si>
  <si>
    <t>+49 30 30099466</t>
  </si>
  <si>
    <t>facebook: https://www.facebook.com/TirolerStubenBerlin/, instagram: https://www.instagram.com/tiroler.stuben.berlin/</t>
  </si>
  <si>
    <t>Al Castagno</t>
  </si>
  <si>
    <t>Sandhauser Stra√üe 11, Berlin, 13505</t>
  </si>
  <si>
    <t>https://al-castagno.de/</t>
  </si>
  <si>
    <t>info@al-castagno.de</t>
  </si>
  <si>
    <t>+49 30 43 60 46 14</t>
  </si>
  <si>
    <t>Halali</t>
  </si>
  <si>
    <t>K√∂nigstra√üe 24, Berlin, 14109</t>
  </si>
  <si>
    <t>https://www.wirtshaus-halali.de/</t>
  </si>
  <si>
    <t>+49 30 8053125</t>
  </si>
  <si>
    <t>La Maremma</t>
  </si>
  <si>
    <t>http://www.la-maremma-berlin.de/</t>
  </si>
  <si>
    <t>Restaurant Castell</t>
  </si>
  <si>
    <t>Teschendorfer Weg 6, Berlin, 13439</t>
  </si>
  <si>
    <t>Wei√ües R√∂ss‚Äôl</t>
  </si>
  <si>
    <t>Heinersdorfer Stra√üe 15, Berlin, 12209</t>
  </si>
  <si>
    <t>https://www.weissesroessl-berlin.de/</t>
  </si>
  <si>
    <t>info@weissesroessl-berlin.de</t>
  </si>
  <si>
    <t>+49 30 7723030</t>
  </si>
  <si>
    <t>facebook: https://www.facebook.com/weisses.roessl.berlin</t>
  </si>
  <si>
    <t>Night Kitchen</t>
  </si>
  <si>
    <t>Oranienburger Stra√üe 32, Berlin, 10117</t>
  </si>
  <si>
    <t>https://www.nightkitchenberlin.com/</t>
  </si>
  <si>
    <t>Ciao Wannsee</t>
  </si>
  <si>
    <t>St√∂lpchenweg 68, Berlin, 14109</t>
  </si>
  <si>
    <t>https://ciao-wannsee.de</t>
  </si>
  <si>
    <t>event@ciao-wannsee.de</t>
  </si>
  <si>
    <t>+49 30 398 44880</t>
  </si>
  <si>
    <t>instagram: https://www.instagram.com/ristorante_ciao_wannsee/</t>
  </si>
  <si>
    <t>Restaurant Seehaase</t>
  </si>
  <si>
    <t>Am Gro√üen Wannsee 58-60, Berlin, 14109</t>
  </si>
  <si>
    <t>https://www.restaurant-seehaase.de/</t>
  </si>
  <si>
    <t>kontakt@restaurant-seehaase.de</t>
  </si>
  <si>
    <t>+49 30 804 96474</t>
  </si>
  <si>
    <t>facebook: https://www.facebook.com/werner.shulz, twitter: https://twitter.com/ShulzWerner</t>
  </si>
  <si>
    <t>Heidis Landgasthaus</t>
  </si>
  <si>
    <t>Sch√∂nwalder Allee 22, Berlin, 13587</t>
  </si>
  <si>
    <t>https://www.heidis-landgasthaus.de/</t>
  </si>
  <si>
    <t>dteterra@hotmail.com</t>
  </si>
  <si>
    <t>+49 30 3366127</t>
  </si>
  <si>
    <t>Langano</t>
  </si>
  <si>
    <t>Regina-Jonas-Stra√üe 44, Berlin, 10999</t>
  </si>
  <si>
    <t>http://www.langanoberlin.de/</t>
  </si>
  <si>
    <t>langanomigibbet@web.de</t>
  </si>
  <si>
    <t>+49 151 16672365</t>
  </si>
  <si>
    <t>Fischerh√ºtte</t>
  </si>
  <si>
    <t>Fischerh√ºttenstra√üe 136, Berlin, 14163</t>
  </si>
  <si>
    <t>http://www.fischerhuette-berlin.de</t>
  </si>
  <si>
    <t>info@fischerhuette-berlin.de</t>
  </si>
  <si>
    <t>+49 30 8049 8310</t>
  </si>
  <si>
    <t>instagram: https://www.instagram.com/fischerhuetteamschlachtensee/, facebook: https://www.facebook.com/fischerhuette.schlachtensee.berlin/</t>
  </si>
  <si>
    <t>Kaisergarten</t>
  </si>
  <si>
    <t>https://info996594.wixsite.com/website</t>
  </si>
  <si>
    <t>info@kaisergarten-berlin.de</t>
  </si>
  <si>
    <t>+49 1516 5210827</t>
  </si>
  <si>
    <t>China Garden</t>
  </si>
  <si>
    <t>Heimaten Restaurant</t>
  </si>
  <si>
    <t>https://giz.berlin/projects/restaurant-heimaten-catering.html</t>
  </si>
  <si>
    <t>heimaten@giz.berlin</t>
  </si>
  <si>
    <t>+49 30 513010008</t>
  </si>
  <si>
    <t>instagram: https://www.instagram.com/giz_berlin, facebook: https://www.facebook.com/giz.berlin.de</t>
  </si>
  <si>
    <t>La Tavernetta</t>
  </si>
  <si>
    <t>Spekteweg 66, Berlin, 13583</t>
  </si>
  <si>
    <t>+49 30 37151275</t>
  </si>
  <si>
    <t>Bergamotto</t>
  </si>
  <si>
    <t>Bahnhofstra√üe 4a</t>
  </si>
  <si>
    <t>+49 30 8520909</t>
  </si>
  <si>
    <t>Il Brunello</t>
  </si>
  <si>
    <t>Spanische Allee 41, Berlin, 14129</t>
  </si>
  <si>
    <t>https://ilbrunello-berlin.de/</t>
  </si>
  <si>
    <t>+49 30 23910482</t>
  </si>
  <si>
    <t>Ristorante Messalina</t>
  </si>
  <si>
    <t>Potsdamer Chaussee 15a, Berlin, 14163</t>
  </si>
  <si>
    <t>+49 30 8027815</t>
  </si>
  <si>
    <t>Reuter Terrassen</t>
  </si>
  <si>
    <t>Buschkrugallee 226, Berlin, 12359</t>
  </si>
  <si>
    <t>https://www.reuter-terrassen.de/</t>
  </si>
  <si>
    <t>info@reuter-terrassen.de</t>
  </si>
  <si>
    <t>+49 30 6018157</t>
  </si>
  <si>
    <t>Atila's Kebap Haus</t>
  </si>
  <si>
    <t>Parchimer Allee 33, Berlin, 12359</t>
  </si>
  <si>
    <t>https://atilas-kebaphaus.de/</t>
  </si>
  <si>
    <t>Clubrestaurant Le Baron</t>
  </si>
  <si>
    <t>Villa Lakerda</t>
  </si>
  <si>
    <t>Alt-Mariendorf 45, Berlin, 12107</t>
  </si>
  <si>
    <t>Altes Zollhaus</t>
  </si>
  <si>
    <t>Carl-Herz-Ufer 30, Berlin, 10961</t>
  </si>
  <si>
    <t>http://www.altes-zollhaus-berlin.de</t>
  </si>
  <si>
    <t>info@altes-zollhaus.com</t>
  </si>
  <si>
    <t>+49 30 6923300</t>
  </si>
  <si>
    <t>facebook: https://www.facebook.com/Zollhaus.berlin/, instagram: https://www.instagram.com/rutz_zollhaus/</t>
  </si>
  <si>
    <t>Tegernseer T√∂nnchen</t>
  </si>
  <si>
    <t>Berliner Stra√üe 118, Berlin, 10713</t>
  </si>
  <si>
    <t>https://www.tegernseer-t√∂nnchen.info/</t>
  </si>
  <si>
    <t>tegernseer-toennchen@web.de</t>
  </si>
  <si>
    <t>+49 30 3233827</t>
  </si>
  <si>
    <t>facebook: https://www.facebook.com/zumTT, instagram: https://www.instagram.com/tegernseer_toennchen/</t>
  </si>
  <si>
    <t>Teehaus zum Osmanthussaft</t>
  </si>
  <si>
    <t>Eisenacher Stra√üe 99, Berlin, 12685</t>
  </si>
  <si>
    <t>https://www.china-teehaus.de/</t>
  </si>
  <si>
    <t>info@china-teehaus.de</t>
  </si>
  <si>
    <t>+49 30 81893967</t>
  </si>
  <si>
    <t>Restaurant/Caf√© - Vivantes Klinikum Neuk√∂lln - Hintereingang</t>
  </si>
  <si>
    <t>Rudower Stra√üe 48, Berlin, 12351</t>
  </si>
  <si>
    <t>https://www.vivantes.de/klinikum-neukoelln/gastronomie-knk</t>
  </si>
  <si>
    <t>bistro@vivantes.deTelefon</t>
  </si>
  <si>
    <t>facebook: https://www.facebook.com/vivantes/, instagram: https://www.instagram.com/vivantes.berlin/, linkedin: https://www.linkedin.com/company/vivantesgmbh</t>
  </si>
  <si>
    <t>Restaurant Paparazzi</t>
  </si>
  <si>
    <t>Bruno-Baum-Stra√üe 71, Berlin, 12685</t>
  </si>
  <si>
    <t>+49 3054702909</t>
  </si>
  <si>
    <t>Gastst√§tte Ebel</t>
  </si>
  <si>
    <t>Semmelweisstra√üe 1, Berlin, 12524</t>
  </si>
  <si>
    <t>https://www.gaststaette-ebel.de/</t>
  </si>
  <si>
    <t>gaststaette-ebel@web.de</t>
  </si>
  <si>
    <t>Restaurant und Biergarten Weihenstephaner Lichterfelde</t>
  </si>
  <si>
    <t>Hans-Sachs-Stra√üe 5, Berlin, 12205</t>
  </si>
  <si>
    <t>https://www.weihenstephaner-lichterfelde.de/</t>
  </si>
  <si>
    <t>info@weihenstephaner-lichterfelde.de</t>
  </si>
  <si>
    <t>+49 30 75633102</t>
  </si>
  <si>
    <t>facebook: https://www.facebook.com/profile.php?id=61578542521606, instagram: https://www.instagram.com/weihenstephaner_lichterfelde/</t>
  </si>
  <si>
    <t>Steakhouse Hazienda</t>
  </si>
  <si>
    <t>Mariendorfer Damm 144, Berlin, 12107</t>
  </si>
  <si>
    <t>https://steakhousehazienda.eatbu.com/</t>
  </si>
  <si>
    <t>hazienda-steakhouse@mail.de</t>
  </si>
  <si>
    <t>+49 30 76723880</t>
  </si>
  <si>
    <t>facebook: https://www.facebook.com/HaziendaSteakhous/, instagram: https://www.instagram.com/hazienda_steakhouse/?hl=de</t>
  </si>
  <si>
    <t>Adda</t>
  </si>
  <si>
    <t>Scharfe Lanke 131, Berlin, 13595</t>
  </si>
  <si>
    <t>https://adda-cafe.eatbu.com/</t>
  </si>
  <si>
    <t>Narinaksu@icloud.com</t>
  </si>
  <si>
    <t>instagram: https://www.instagram.com/adda_cafe_restaurant?igsh=MWV0NmQ1eDF0Y2c0cQ==</t>
  </si>
  <si>
    <t>Das Pfeffer</t>
  </si>
  <si>
    <t>https://restaurant.pfefferwerk.de/</t>
  </si>
  <si>
    <t>daspfeffer@pfefferwerk.de</t>
  </si>
  <si>
    <t>instagram: https://www.instagram.com/pfefferwerk_stadtkultur/, facebook: https://www.facebook.com/profile.php?id=61575195845083, linkedin: https://www.linkedin.com/company/team-pfefferwerk/</t>
  </si>
  <si>
    <t>Kleine Badewiese</t>
  </si>
  <si>
    <t>Am Wiesenhaus 8, Berlin, 14089</t>
  </si>
  <si>
    <t>http://kleine-badewiese-gatow.weebly.com/</t>
  </si>
  <si>
    <t>info@kleine-badewiese.de</t>
  </si>
  <si>
    <t>+49 30 3624198</t>
  </si>
  <si>
    <t>Segelschiffrestaurant ‚ÄûKlipper‚Äú</t>
  </si>
  <si>
    <t>Bulgarische Stra√üe 0, Berlin, 12435</t>
  </si>
  <si>
    <t>https://klipper-berlin.de/</t>
  </si>
  <si>
    <t>+49 30 53216490</t>
  </si>
  <si>
    <t>Ristorante Torre 9</t>
  </si>
  <si>
    <t>Alt-Lichtenrade 83, Berlin, 12309</t>
  </si>
  <si>
    <t>https://www.ristorante-torre-9.de/</t>
  </si>
  <si>
    <t>torre-lichtenrade9@t-online.de</t>
  </si>
  <si>
    <t>+49 30 610 765 92</t>
  </si>
  <si>
    <t>Waldhaus an der Havelchaussee</t>
  </si>
  <si>
    <t>Havelchaussee 66, Berlin, 14193</t>
  </si>
  <si>
    <t>Pirates Berlin</t>
  </si>
  <si>
    <t>M√ºhlenstra√üe 78-80, Berlin, 10243</t>
  </si>
  <si>
    <t>https://piratesberlin.com/restaurant-bar/</t>
  </si>
  <si>
    <t>info@piratesberlin.com</t>
  </si>
  <si>
    <t>+49 30 97002414</t>
  </si>
  <si>
    <t>facebook: https://www.facebook.com/pirates.berlin/, instagram: https://www.instagram.com/pirates_berlin/</t>
  </si>
  <si>
    <t>Lindengartens Cafeklatsch</t>
  </si>
  <si>
    <t>Alt-Buckow 15a, Berlin, 12349</t>
  </si>
  <si>
    <t>https://www.lindengartenscafeklatsch.de/</t>
  </si>
  <si>
    <t>service@lindengartenscafeklatsch.de</t>
  </si>
  <si>
    <t>facebook: https://facebook.com/Linden Garten Cafeklatsch, instagram: https://instagram.com/linden_gartens_cafeklatsch, tiktok: https://tiktok.com/@Lindengartens.caf</t>
  </si>
  <si>
    <t>China Ecke Mauer</t>
  </si>
  <si>
    <t>Waltersdorfer Chaussee 36, Berlin, 12355</t>
  </si>
  <si>
    <t>+4930669 301 24</t>
  </si>
  <si>
    <t>Waldeck</t>
  </si>
  <si>
    <t>Garten-Oase</t>
  </si>
  <si>
    <t>Mentelinstra√üe 30, Berlin, 12459</t>
  </si>
  <si>
    <t>Masseria da Rocco</t>
  </si>
  <si>
    <t>Marienfelder Allee 20, Berlin, 12277</t>
  </si>
  <si>
    <t>https://masseriadarocco.de/</t>
  </si>
  <si>
    <t>+49 30 72019307</t>
  </si>
  <si>
    <t>facebook: https://www.facebook.com/nuovamasseria/?ref=br_rs, instagram: https://www.instagram.com/nuova_masseria/</t>
  </si>
  <si>
    <t>Zum Speicher</t>
  </si>
  <si>
    <t>Alt-Buch 45, Berlin, 13125</t>
  </si>
  <si>
    <t>https://stadtgut-berlin-buch.de/restaurant/</t>
  </si>
  <si>
    <t>restaurant@stadtgut-berlin-buch.de</t>
  </si>
  <si>
    <t>+49 30 94397440</t>
  </si>
  <si>
    <t>Vereinshaus Am Rollberg</t>
  </si>
  <si>
    <t>+49 176 20545991</t>
  </si>
  <si>
    <t>Landhaus Lichtenrade</t>
  </si>
  <si>
    <t>Bahnhofstra√üe 32, Berlin, 12307</t>
  </si>
  <si>
    <t>https://lichtenrader-revier.berlin/landhaus/</t>
  </si>
  <si>
    <t>Erg√ºn's Fischbude</t>
  </si>
  <si>
    <t>L√ºneburger Stra√üe 382, Berlin, 10557</t>
  </si>
  <si>
    <t>https://fischbude.metro.rest</t>
  </si>
  <si>
    <t>minemelek33@gmx.de</t>
  </si>
  <si>
    <t>+49 30 3975737</t>
  </si>
  <si>
    <t>instagram: https://www.instagram.com/balƒ±kciergunbaba</t>
  </si>
  <si>
    <t>Ristorante Cordoba</t>
  </si>
  <si>
    <t>Alte Liebe</t>
  </si>
  <si>
    <t>Havelchaussee 107, Berlin, 14055</t>
  </si>
  <si>
    <t>https://www.alte-liebe-berlin.de</t>
  </si>
  <si>
    <t>alteliebe@t-online.deReservierungenReservierungen</t>
  </si>
  <si>
    <t>+49 30 3048258</t>
  </si>
  <si>
    <t>M√ºggelseefischerei</t>
  </si>
  <si>
    <t>Dorfstra√üe 13, Berlin, 12589</t>
  </si>
  <si>
    <t>+49 30 50560758</t>
  </si>
  <si>
    <t>Anhalt</t>
  </si>
  <si>
    <t>http://www.kulturarena-berlin.de/anhalt.aspx</t>
  </si>
  <si>
    <t>info@anhalt-berlin.de</t>
  </si>
  <si>
    <t>Grenz / Los Asia Gourmet</t>
  </si>
  <si>
    <t>Fritz-Erler-Allee 173, Berlin, 12353</t>
  </si>
  <si>
    <t>Wannseeterrassen</t>
  </si>
  <si>
    <t>Wannseebadweg 35, Berlin, 14129</t>
  </si>
  <si>
    <t>http://www.wannseeterrassen.berlin/</t>
  </si>
  <si>
    <t>info@wannseeterrassen.berlin</t>
  </si>
  <si>
    <t>+49 30 809 08218</t>
  </si>
  <si>
    <t>instagram: https://www.instagram.com/wannseeterrassen/</t>
  </si>
  <si>
    <t>SpreeArche</t>
  </si>
  <si>
    <t>M√ºggelschl√∂√üchenweg 42, Berlin, 12559</t>
  </si>
  <si>
    <t>https://spreearche.de/</t>
  </si>
  <si>
    <t>info@spreearche.de</t>
  </si>
  <si>
    <t>+49 172 3042111</t>
  </si>
  <si>
    <t>facebook: https://www.facebook.com/www.spreearche.de/, instagram: https://www.instagram.com/spreearche/</t>
  </si>
  <si>
    <t>Goldhorn-Beefclub</t>
  </si>
  <si>
    <t>Kladower Damm 100, Berlin, 14089</t>
  </si>
  <si>
    <t>https://www.goldhorn-beefclub.de/</t>
  </si>
  <si>
    <t>office@goldhorn-beefclub.de</t>
  </si>
  <si>
    <t>+49 30 40009504</t>
  </si>
  <si>
    <t>facebook: https://www.facebook.com/GoldhornBeefclub</t>
  </si>
  <si>
    <t>Zum wei√üen Haus closed</t>
  </si>
  <si>
    <t>Dorfstra√üe 15, Berlin, 13059</t>
  </si>
  <si>
    <t>https://www.zum-weissen-haus.de/</t>
  </si>
  <si>
    <t>+493092 09 03 31</t>
  </si>
  <si>
    <t>Hanff's Ruh</t>
  </si>
  <si>
    <t>Rabindranath-Tagore-Stra√üe 25, Berlin, 12527</t>
  </si>
  <si>
    <t>https://www.hanffs-ruh.com/</t>
  </si>
  <si>
    <t>+49 30 6743368</t>
  </si>
  <si>
    <t>Bootshaus Bolle</t>
  </si>
  <si>
    <t>Am Gro√üen Wannsee 58B, Berlin, 14109</t>
  </si>
  <si>
    <t>http://bootshaus-bolle.de</t>
  </si>
  <si>
    <t>info@bootshaus-bolle.de</t>
  </si>
  <si>
    <t>K√§se Paul - Casino "Zum Fr√ºhbeet"</t>
  </si>
  <si>
    <t>K√ºnnekeweg 20, Berlin, 12355</t>
  </si>
  <si>
    <t>Viet Hello BBQ</t>
  </si>
  <si>
    <t>Matterhornstra√üe 52, Berlin, 14129</t>
  </si>
  <si>
    <t>Prater Gastst√§tte</t>
  </si>
  <si>
    <t>Kastanienallee 7-9, Berlin, 10435</t>
  </si>
  <si>
    <t>https://www.pratergarten.de/</t>
  </si>
  <si>
    <t>+49 30 4485688</t>
  </si>
  <si>
    <t>facebook: https://www.facebook.com/pratergarten, instagram: https://www.instagram.com/pratergarten</t>
  </si>
  <si>
    <t>Taverna Der Grieche</t>
  </si>
  <si>
    <t>M√ºggelseedamm 188, Berlin, 12587</t>
  </si>
  <si>
    <t>https://dergrieche-berlin.com/</t>
  </si>
  <si>
    <t>+49 30 65486889</t>
  </si>
  <si>
    <t>facebook: https://www.facebook.com/tavernadergrieche/</t>
  </si>
  <si>
    <t>Restaurant Kastaniengarten</t>
  </si>
  <si>
    <t>Sch√∂nwalder Allee 26/40, Berlin, 13587</t>
  </si>
  <si>
    <t>Keyfi Sefa</t>
  </si>
  <si>
    <t>https://keyfisefa.de/</t>
  </si>
  <si>
    <t>kontakt@keyfisefa.de</t>
  </si>
  <si>
    <t>+49 30 67936767</t>
  </si>
  <si>
    <t>Epirus</t>
  </si>
  <si>
    <t>Ruschestra√üe 64</t>
  </si>
  <si>
    <t>https://epirus-berlin.com/</t>
  </si>
  <si>
    <t>Elpro K√ºche</t>
  </si>
  <si>
    <t>The Globe</t>
  </si>
  <si>
    <t>Broad Street 12, Berlin</t>
  </si>
  <si>
    <t>http://www.globetheater.com</t>
  </si>
  <si>
    <t>+1 410-641-0784</t>
  </si>
  <si>
    <t>Blacksmith - Bar and Restaurant</t>
  </si>
  <si>
    <t>Pitts Street 104, Berlin, 21811</t>
  </si>
  <si>
    <t>https://blacksmithberlin.com/</t>
  </si>
  <si>
    <t>P2</t>
  </si>
  <si>
    <t>The Sterling Tavern</t>
  </si>
  <si>
    <t>North Main Street 119, Berlin</t>
  </si>
  <si>
    <t>Dammweg</t>
  </si>
  <si>
    <t>K√∂penicker Landstra√üe 77, Berlin, 12437</t>
  </si>
  <si>
    <t>+49 30 5323851</t>
  </si>
  <si>
    <t>Anomalie Art Garden</t>
  </si>
  <si>
    <t>Garten- &amp; Ausflugslokal Albrechtsh√∂he</t>
  </si>
  <si>
    <t>Felixstra√üe 59, Berlin, 12099</t>
  </si>
  <si>
    <t>+49 30 53159420</t>
  </si>
  <si>
    <t>Dachrestaurant</t>
  </si>
  <si>
    <t>Mediterrano Cantina Estaci√≥n</t>
  </si>
  <si>
    <t>Koppenstra√üe 3, Berlin, 10243</t>
  </si>
  <si>
    <t>+49 30 29736295</t>
  </si>
  <si>
    <t>Ajad</t>
  </si>
  <si>
    <t>F√ºrstenwalder Allee 62, Berlin, 12589</t>
  </si>
  <si>
    <t>+49 30 65489987</t>
  </si>
  <si>
    <t>Delphin Fisch &amp; Steak</t>
  </si>
  <si>
    <t>Putlitzstra√üe 1, 10551</t>
  </si>
  <si>
    <t>https://www.delphin-berlin.de/</t>
  </si>
  <si>
    <t>info@delphin-berlin.de</t>
  </si>
  <si>
    <t>facebook: https://www.facebook.com/Delphinfischsteak/?fref=ts, instagram: https://www.instagram.com/delphin.fisch.steak/</t>
  </si>
  <si>
    <t>Gastst√§tte "Waldland"</t>
  </si>
  <si>
    <t>Windfl√ºchter- Restaurantschiff</t>
  </si>
  <si>
    <t>http://strandhaus-berlin.de/de/windfluechter-berlin/</t>
  </si>
  <si>
    <t>info@windfluechter.berlin</t>
  </si>
  <si>
    <t>+49 179 2313732</t>
  </si>
  <si>
    <t>facebook: https://www.facebook.com/gestrandetmitte#, instagram: https://www.instagram.com/gestrandetmitte/</t>
  </si>
  <si>
    <t>Die Seifert's</t>
  </si>
  <si>
    <t>Pizzeria</t>
  </si>
  <si>
    <t>BELLA Culinary &amp; Events</t>
  </si>
  <si>
    <t>Brunsb√ºtteler Damm 444, Berlin, 13591</t>
  </si>
  <si>
    <t>https://www.bella-ce.de</t>
  </si>
  <si>
    <t>info@bella-ce.de</t>
  </si>
  <si>
    <t>+49 30 88061540</t>
  </si>
  <si>
    <t>facebook: https://www.facebook.com/BELLA.Culinary.Events, instagram: https://www.instagram.com/bella_ce.de/</t>
  </si>
  <si>
    <t>Vereinsgastst√§tte Feldtmannsburg</t>
  </si>
  <si>
    <t>Casino Goerzwerk</t>
  </si>
  <si>
    <t>Goerzallee 299, Berlin, 14167</t>
  </si>
  <si>
    <t>http://farkas-catering.de/casino_goerzwerk/</t>
  </si>
  <si>
    <t>+49 30 290276870</t>
  </si>
  <si>
    <t>Wayside Restaurant &amp; Bakery</t>
  </si>
  <si>
    <t>U.S. Route 302 1873, Montpelier</t>
  </si>
  <si>
    <t>Gastst√§tte Abendruh</t>
  </si>
  <si>
    <t>Kolonie Abendruh e. V. Dahlienweg 100, Berlin, 14167</t>
  </si>
  <si>
    <t>Restaurant Olympia</t>
  </si>
  <si>
    <t>Malchower Weg 45, Berlin, 13053</t>
  </si>
  <si>
    <t>https://olympiaberlin.de/</t>
  </si>
  <si>
    <t>Samui</t>
  </si>
  <si>
    <t>Zur Oase</t>
  </si>
  <si>
    <t>Angelo's Pizza</t>
  </si>
  <si>
    <t>State Route 73 2, Berlin, 08009</t>
  </si>
  <si>
    <t>Portofino's Ristorante</t>
  </si>
  <si>
    <t>New Britain Road 246, Berlin, 06037</t>
  </si>
  <si>
    <t>The Avenue</t>
  </si>
  <si>
    <t>Farmington Avenue 958, Berlin, 06037</t>
  </si>
  <si>
    <t>Joey B's</t>
  </si>
  <si>
    <t>Mill Street 83, Berlin, 06037</t>
  </si>
  <si>
    <t>Central Pizza Restaurant</t>
  </si>
  <si>
    <t>Mill Street 96, Berlin, 06037</t>
  </si>
  <si>
    <t>La Pic√° de Deli Mel</t>
  </si>
  <si>
    <t>Osteria Pizzeria Castelli Romani</t>
  </si>
  <si>
    <t>Alt-Gatow 71, Berlin, 14089</t>
  </si>
  <si>
    <t>Crush N Crab</t>
  </si>
  <si>
    <t>Sarajevo Inn Grunewald</t>
  </si>
  <si>
    <t>Eichkampstra√üe 153, Berlin, 14055</t>
  </si>
  <si>
    <t>http://www.sarajevo-inn-grunewald.com/</t>
  </si>
  <si>
    <t>info@sarajevo-inn-grunewald.com</t>
  </si>
  <si>
    <t>+49 30 89541181</t>
  </si>
  <si>
    <t>facebook: https://www.facebook.com/Restaurant.Sarajevo.Inn.Grunewald/</t>
  </si>
  <si>
    <t>Vereinsheim Kurt-P√∂thig</t>
  </si>
  <si>
    <t>Vereinsheim Heimaterde</t>
  </si>
  <si>
    <t>Vereinsheim Erpetal</t>
  </si>
  <si>
    <t>Strandcafe Gr√ºnau</t>
  </si>
  <si>
    <t>Wirtshaus Moorlake</t>
  </si>
  <si>
    <t>Moorlakeweg 6, Berlin, 14109</t>
  </si>
  <si>
    <t>https://moorlake.de/</t>
  </si>
  <si>
    <t>info@moorlake.de</t>
  </si>
  <si>
    <t>+49 30 805 5809</t>
  </si>
  <si>
    <t>Medi. Restaurant</t>
  </si>
  <si>
    <t>Genslerstra√üe 33A, Berlin, 13055</t>
  </si>
  <si>
    <t>Imperial Buffet</t>
  </si>
  <si>
    <t>KulturKantine</t>
  </si>
  <si>
    <t>Saarbr√ºcker Stra√üe 24</t>
  </si>
  <si>
    <t>http://kuka-berlin.de/</t>
  </si>
  <si>
    <t>kulturkantine@kuka-berlin.de</t>
  </si>
  <si>
    <t>+49 30 33936948</t>
  </si>
  <si>
    <t>facebook: https://www.facebook.com/KulturkantinePrenzlauerBerg</t>
  </si>
  <si>
    <t>Evelin¬¥s Cafe &amp; Restaurant</t>
  </si>
  <si>
    <t>https://www.cafebistroevelin.de/</t>
  </si>
  <si>
    <t>bistroevelin@aol.comImpressumDatenschutz</t>
  </si>
  <si>
    <t>+49 30 6555351</t>
  </si>
  <si>
    <t>Bistro Gabbiano</t>
  </si>
  <si>
    <t>East End Grille</t>
  </si>
  <si>
    <t>Main Street 1310, Berlin, 15530</t>
  </si>
  <si>
    <t>China Moon Buffet</t>
  </si>
  <si>
    <t>US-302 1400, Barre, 05641</t>
  </si>
  <si>
    <t>https://chinamoonbuffet.com/</t>
  </si>
  <si>
    <t>Brunnenst√ºbchen</t>
  </si>
  <si>
    <t>Applebee's</t>
  </si>
  <si>
    <t>Paine Turnpike North 233, Berlin, 05602</t>
  </si>
  <si>
    <t>https://restaurants.applebees.com/en-us/vt/berlin/213-paine-turnpike-n.-83077</t>
  </si>
  <si>
    <t>+1 802-229-2223</t>
  </si>
  <si>
    <t>facebook: https://www.facebook.com/applebees, twitter: https://twitter.com/applebees, instagram: https://www.instagram.com/applebees, tiktok: https://www.tiktok.com/@applebees?lang=en</t>
  </si>
  <si>
    <t>New Berlin Diner</t>
  </si>
  <si>
    <t>Hunan Wok II</t>
  </si>
  <si>
    <t>Farmington Avenue 1038, Berlin, 06037</t>
  </si>
  <si>
    <t>Pine Loft Pizzeria &amp; Cafe</t>
  </si>
  <si>
    <t>Berlin Turnpike 1468, Berlin, 06037</t>
  </si>
  <si>
    <t>Vito's Pizza</t>
  </si>
  <si>
    <t>Barrel &amp; Vine Bistro &amp; Bar</t>
  </si>
  <si>
    <t>Berlin Turnpike 1861, Berlin, 06037</t>
  </si>
  <si>
    <t>Casa Mia at the Hawthorne</t>
  </si>
  <si>
    <t>Berlin Turnpike 2421, Berlin, 06037</t>
  </si>
  <si>
    <t>https://casamiathehawthorne.com/</t>
  </si>
  <si>
    <t>facebook: https://www.facebook.com/casamiahawthorne</t>
  </si>
  <si>
    <t>Blue Lobster</t>
  </si>
  <si>
    <t>Rafih</t>
  </si>
  <si>
    <t>Teufelsseestra√üe 2, Berlin, 14055</t>
  </si>
  <si>
    <t>+49 179 2390688</t>
  </si>
  <si>
    <t>DB Casino</t>
  </si>
  <si>
    <t>Honigtopf Restaurant &amp; Caf√©</t>
  </si>
  <si>
    <t>https://honigtopf-restaurant.de/</t>
  </si>
  <si>
    <t>restaurant-honigtopf@web.de</t>
  </si>
  <si>
    <t>+49 30 28651365</t>
  </si>
  <si>
    <t>facebook: https://www.facebook.com/Honigtopf-Restaurant-Cafe-104841581074973/, instagram: https://www.instagram.com/honigtopf_restaurant/</t>
  </si>
  <si>
    <t>Schilleroase</t>
  </si>
  <si>
    <t>Dubliner Stra√üe 59</t>
  </si>
  <si>
    <t>https://schilleroase-berlin.eatbu.com</t>
  </si>
  <si>
    <t>Masoud.nayeb@yahoo.de</t>
  </si>
  <si>
    <t>Ehrlich</t>
  </si>
  <si>
    <t>Josef-Nawrocki-Stra√üe 16, Berlin, 12587</t>
  </si>
  <si>
    <t>https://restaurant-ehrlich.com/</t>
  </si>
  <si>
    <t>restaurantehrlich@web.de</t>
  </si>
  <si>
    <t>+49 30 43727634</t>
  </si>
  <si>
    <t>SPORT CAFE Restaurant</t>
  </si>
  <si>
    <t>Vorarlberger Damm 37, Berlin, 12157</t>
  </si>
  <si>
    <t>+49 173 4592821</t>
  </si>
  <si>
    <t>Ristoclub da Fabian</t>
  </si>
  <si>
    <t>McConell's Obsttresen</t>
  </si>
  <si>
    <t>Fox's Pizza Den</t>
  </si>
  <si>
    <t>Main Street 310, Berlin</t>
  </si>
  <si>
    <t>+1 814-267-2275</t>
  </si>
  <si>
    <t>Chill Out</t>
  </si>
  <si>
    <t>Cumberland Street 126, Berlin, 15530</t>
  </si>
  <si>
    <t>Kokoro Restaurant</t>
  </si>
  <si>
    <t>Gei√üenweide 6, Berlin, 12685</t>
  </si>
  <si>
    <t>https://kokoro-restaurant.de/</t>
  </si>
  <si>
    <t>+49 30 5436090</t>
  </si>
  <si>
    <t>facebook: https://www.facebook.com/Kokoro-Restaurant-Berlin-455510795267118/</t>
  </si>
  <si>
    <t>Lumo Nahbar Berlin</t>
  </si>
  <si>
    <t>Blumberger Damm 2 F, Berlin, 12683</t>
  </si>
  <si>
    <t>https://lumo-nahbar.berlin</t>
  </si>
  <si>
    <t>INFO@LUMO-NAHBAR.BERLIN</t>
  </si>
  <si>
    <t>+49 30 50931484</t>
  </si>
  <si>
    <t>facebook: https://www.facebook.com/profile.php?id=100092245436732, instagram: https://www.instagram.com/lumonahbarberlingmbh/</t>
  </si>
  <si>
    <t>Parkcaf√©</t>
  </si>
  <si>
    <t>Fehrbelliner Platz 8, Berlin, 10707</t>
  </si>
  <si>
    <t>https://www.parkcafe-berlin.de/</t>
  </si>
  <si>
    <t>+49 30 86313838</t>
  </si>
  <si>
    <t>Restaurantschiff Patio</t>
  </si>
  <si>
    <t>Helgol√§nder Ufer, Berlin, 10557</t>
  </si>
  <si>
    <t>https://www.patio-berlin.de/</t>
  </si>
  <si>
    <t>info@patio-berlin.de</t>
  </si>
  <si>
    <t>+49 30 40301700</t>
  </si>
  <si>
    <t>Exile Burrito</t>
  </si>
  <si>
    <t>Main Street 161, Berlin, 03570</t>
  </si>
  <si>
    <t>Il Bosco</t>
  </si>
  <si>
    <t>An der Schneise 1, Berlin, 13503</t>
  </si>
  <si>
    <t>+49 30 4319058</t>
  </si>
  <si>
    <t>Preu√üisches Landwirtshaus</t>
  </si>
  <si>
    <t>Flatowallee 23, Berlin, 14055</t>
  </si>
  <si>
    <t>https://www.preussisches-landwirtshaus.de/</t>
  </si>
  <si>
    <t>info@preussisches-landwirtshaus.de</t>
  </si>
  <si>
    <t>+49 30 3044023</t>
  </si>
  <si>
    <t>Sardegna A Tavola Im Waldhaus</t>
  </si>
  <si>
    <t>Heerstra√üe 138, Berlin, 14055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</si>
</sst>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BAB22-101B-854D-AA3F-AFCB89789250}">
  <sheetPr codeName="Sheet1"/>
  <dimension ref="A1:L3999"/>
  <sheetViews>
    <sheetView tabSelected="1" workbookViewId="0">
      <selection activeCell="C40" sqref="C40"/>
    </sheetView>
  </sheetViews>
  <sheetFormatPr baseColWidth="10" defaultRowHeight="16" x14ac:dyDescent="0.2"/>
  <cols>
    <col min="1" max="1" width="54" bestFit="1" customWidth="1"/>
    <col min="2" max="2" width="46.6640625" bestFit="1" customWidth="1"/>
    <col min="3" max="3" width="103.6640625" bestFit="1" customWidth="1"/>
    <col min="4" max="4" width="59.33203125" bestFit="1" customWidth="1"/>
    <col min="5" max="5" width="22.33203125" bestFit="1" customWidth="1"/>
    <col min="6" max="6" width="14.83203125" bestFit="1" customWidth="1"/>
    <col min="7" max="7" width="11.83203125" bestFit="1" customWidth="1"/>
    <col min="8" max="9" width="18.83203125" bestFit="1" customWidth="1"/>
    <col min="10" max="10" width="14" bestFit="1" customWidth="1"/>
    <col min="11" max="11" width="255.83203125" bestFit="1" customWidth="1"/>
    <col min="12" max="12" width="48.6640625" bestFit="1" customWidth="1"/>
  </cols>
  <sheetData>
    <row r="1" spans="1:11" s="3" customFormat="1" ht="54" customHeigh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s="2">
        <v>525068638</v>
      </c>
      <c r="G2" s="2">
        <v>133228585</v>
      </c>
      <c r="H2" t="s">
        <v>16</v>
      </c>
      <c r="I2" t="s">
        <v>17</v>
      </c>
      <c r="J2" t="s">
        <v>18</v>
      </c>
    </row>
    <row r="3" spans="1:11" x14ac:dyDescent="0.2">
      <c r="A3" t="s">
        <v>19</v>
      </c>
      <c r="B3" t="s">
        <v>20</v>
      </c>
      <c r="C3" t="s">
        <v>21</v>
      </c>
      <c r="D3" t="s">
        <v>22</v>
      </c>
      <c r="E3" t="s">
        <v>23</v>
      </c>
      <c r="F3" s="2">
        <v>525062119</v>
      </c>
      <c r="G3" s="2">
        <v>133180811</v>
      </c>
      <c r="H3" t="s">
        <v>24</v>
      </c>
      <c r="I3" t="s">
        <v>17</v>
      </c>
      <c r="J3" t="s">
        <v>25</v>
      </c>
    </row>
    <row r="4" spans="1:11" x14ac:dyDescent="0.2">
      <c r="A4" t="s">
        <v>26</v>
      </c>
      <c r="B4" t="s">
        <v>27</v>
      </c>
      <c r="F4" s="2">
        <v>525073199</v>
      </c>
      <c r="G4" s="2">
        <v>133207804</v>
      </c>
      <c r="H4" t="s">
        <v>28</v>
      </c>
      <c r="I4" t="s">
        <v>17</v>
      </c>
      <c r="J4" t="s">
        <v>25</v>
      </c>
    </row>
    <row r="5" spans="1:11" x14ac:dyDescent="0.2">
      <c r="A5" t="s">
        <v>29</v>
      </c>
      <c r="B5" t="s">
        <v>30</v>
      </c>
      <c r="F5" s="2">
        <v>525063184</v>
      </c>
      <c r="G5" s="2">
        <v>132846256</v>
      </c>
      <c r="H5" t="s">
        <v>28</v>
      </c>
      <c r="I5" t="s">
        <v>17</v>
      </c>
      <c r="J5" t="s">
        <v>25</v>
      </c>
    </row>
    <row r="6" spans="1:11" x14ac:dyDescent="0.2">
      <c r="A6" t="s">
        <v>31</v>
      </c>
      <c r="B6" t="s">
        <v>32</v>
      </c>
      <c r="E6" t="s">
        <v>33</v>
      </c>
      <c r="F6" s="2">
        <v>524907103</v>
      </c>
      <c r="G6" s="2">
        <v>133939814</v>
      </c>
      <c r="H6" t="s">
        <v>34</v>
      </c>
      <c r="I6" t="s">
        <v>17</v>
      </c>
      <c r="J6" t="s">
        <v>25</v>
      </c>
    </row>
    <row r="7" spans="1:11" x14ac:dyDescent="0.2">
      <c r="A7" t="s">
        <v>35</v>
      </c>
      <c r="B7" t="s">
        <v>36</v>
      </c>
      <c r="C7" t="s">
        <v>37</v>
      </c>
      <c r="E7">
        <v>493029309994</v>
      </c>
      <c r="F7" s="2">
        <v>525068889</v>
      </c>
      <c r="G7" s="2">
        <v>132839198</v>
      </c>
      <c r="H7" t="s">
        <v>38</v>
      </c>
      <c r="I7" t="s">
        <v>17</v>
      </c>
      <c r="J7" t="s">
        <v>25</v>
      </c>
    </row>
    <row r="8" spans="1:11" x14ac:dyDescent="0.2">
      <c r="A8" t="s">
        <v>39</v>
      </c>
      <c r="B8" t="s">
        <v>40</v>
      </c>
      <c r="C8" t="s">
        <v>41</v>
      </c>
      <c r="D8" t="s">
        <v>42</v>
      </c>
      <c r="E8">
        <v>493030111105</v>
      </c>
      <c r="F8" s="2">
        <v>525103223</v>
      </c>
      <c r="G8" s="2">
        <v>132829535</v>
      </c>
      <c r="H8" t="s">
        <v>24</v>
      </c>
      <c r="I8" t="s">
        <v>17</v>
      </c>
      <c r="J8" t="s">
        <v>25</v>
      </c>
    </row>
    <row r="9" spans="1:11" x14ac:dyDescent="0.2">
      <c r="A9" t="s">
        <v>43</v>
      </c>
      <c r="B9" t="s">
        <v>44</v>
      </c>
      <c r="E9" t="s">
        <v>45</v>
      </c>
      <c r="F9" s="2">
        <v>525542713</v>
      </c>
      <c r="G9" s="2">
        <v>133311277</v>
      </c>
      <c r="H9" t="s">
        <v>34</v>
      </c>
      <c r="I9" t="s">
        <v>17</v>
      </c>
      <c r="J9" t="s">
        <v>25</v>
      </c>
    </row>
    <row r="10" spans="1:11" x14ac:dyDescent="0.2">
      <c r="A10" t="s">
        <v>46</v>
      </c>
      <c r="B10" t="s">
        <v>47</v>
      </c>
      <c r="C10" t="s">
        <v>48</v>
      </c>
      <c r="D10" t="s">
        <v>49</v>
      </c>
      <c r="E10" t="s">
        <v>50</v>
      </c>
      <c r="F10" s="2">
        <v>524983826</v>
      </c>
      <c r="G10" s="2">
        <v>132969979</v>
      </c>
      <c r="H10" t="s">
        <v>51</v>
      </c>
      <c r="I10" t="s">
        <v>17</v>
      </c>
      <c r="J10" t="s">
        <v>18</v>
      </c>
      <c r="K10" t="s">
        <v>52</v>
      </c>
    </row>
    <row r="11" spans="1:11" x14ac:dyDescent="0.2">
      <c r="A11" t="s">
        <v>53</v>
      </c>
      <c r="B11" t="s">
        <v>54</v>
      </c>
      <c r="F11" s="2">
        <v>524985867</v>
      </c>
      <c r="G11" s="2">
        <v>132982491</v>
      </c>
      <c r="H11" t="s">
        <v>28</v>
      </c>
      <c r="I11" t="s">
        <v>17</v>
      </c>
      <c r="J11" t="s">
        <v>25</v>
      </c>
    </row>
    <row r="12" spans="1:11" x14ac:dyDescent="0.2">
      <c r="A12" t="s">
        <v>55</v>
      </c>
      <c r="B12" t="s">
        <v>56</v>
      </c>
      <c r="C12" t="s">
        <v>57</v>
      </c>
      <c r="D12" t="s">
        <v>58</v>
      </c>
      <c r="E12" t="s">
        <v>59</v>
      </c>
      <c r="F12" s="2">
        <v>525009791</v>
      </c>
      <c r="G12" s="2">
        <v>132976442</v>
      </c>
      <c r="H12" t="s">
        <v>24</v>
      </c>
      <c r="I12" t="s">
        <v>17</v>
      </c>
      <c r="J12" t="s">
        <v>25</v>
      </c>
    </row>
    <row r="13" spans="1:11" x14ac:dyDescent="0.2">
      <c r="A13" t="s">
        <v>60</v>
      </c>
      <c r="B13" t="s">
        <v>61</v>
      </c>
      <c r="C13" t="s">
        <v>62</v>
      </c>
      <c r="D13" t="s">
        <v>63</v>
      </c>
      <c r="E13">
        <v>49304134103</v>
      </c>
      <c r="F13" s="2">
        <v>52572519</v>
      </c>
      <c r="G13" s="2">
        <v>133082697</v>
      </c>
      <c r="H13" t="s">
        <v>24</v>
      </c>
      <c r="I13" t="s">
        <v>17</v>
      </c>
      <c r="J13" t="s">
        <v>25</v>
      </c>
    </row>
    <row r="14" spans="1:11" x14ac:dyDescent="0.2">
      <c r="A14" t="s">
        <v>64</v>
      </c>
      <c r="B14" t="s">
        <v>65</v>
      </c>
      <c r="C14" t="s">
        <v>66</v>
      </c>
      <c r="D14" t="s">
        <v>67</v>
      </c>
      <c r="E14">
        <v>493043605808</v>
      </c>
      <c r="F14" s="2">
        <v>525771153</v>
      </c>
      <c r="G14" s="2">
        <v>133073153</v>
      </c>
      <c r="H14" t="s">
        <v>24</v>
      </c>
      <c r="I14" t="s">
        <v>17</v>
      </c>
      <c r="J14" t="s">
        <v>25</v>
      </c>
    </row>
    <row r="15" spans="1:11" x14ac:dyDescent="0.2">
      <c r="A15" t="s">
        <v>68</v>
      </c>
      <c r="B15" t="s">
        <v>69</v>
      </c>
      <c r="C15" t="s">
        <v>70</v>
      </c>
      <c r="E15" t="s">
        <v>71</v>
      </c>
      <c r="F15" s="2">
        <v>524800304</v>
      </c>
      <c r="G15" s="2">
        <v>133277157</v>
      </c>
      <c r="H15" t="s">
        <v>38</v>
      </c>
      <c r="I15" t="s">
        <v>17</v>
      </c>
      <c r="J15" t="s">
        <v>25</v>
      </c>
    </row>
    <row r="16" spans="1:11" x14ac:dyDescent="0.2">
      <c r="A16" t="s">
        <v>72</v>
      </c>
      <c r="B16" t="s">
        <v>73</v>
      </c>
      <c r="C16" t="s">
        <v>74</v>
      </c>
      <c r="D16" t="s">
        <v>75</v>
      </c>
      <c r="E16" t="s">
        <v>76</v>
      </c>
      <c r="F16" s="2">
        <v>525701303</v>
      </c>
      <c r="G16" s="2">
        <v>133098188</v>
      </c>
      <c r="H16" t="s">
        <v>16</v>
      </c>
      <c r="I16" t="s">
        <v>17</v>
      </c>
      <c r="J16" t="s">
        <v>25</v>
      </c>
    </row>
    <row r="17" spans="1:11" x14ac:dyDescent="0.2">
      <c r="A17" t="s">
        <v>77</v>
      </c>
      <c r="B17" t="s">
        <v>78</v>
      </c>
      <c r="C17" t="s">
        <v>79</v>
      </c>
      <c r="E17" t="s">
        <v>80</v>
      </c>
      <c r="F17" s="2">
        <v>525096736</v>
      </c>
      <c r="G17" s="2">
        <v>132707607</v>
      </c>
      <c r="H17" t="s">
        <v>38</v>
      </c>
      <c r="I17" t="s">
        <v>17</v>
      </c>
      <c r="J17" t="s">
        <v>25</v>
      </c>
    </row>
    <row r="18" spans="1:11" x14ac:dyDescent="0.2">
      <c r="A18" t="s">
        <v>81</v>
      </c>
      <c r="B18" t="s">
        <v>82</v>
      </c>
      <c r="C18" t="s">
        <v>83</v>
      </c>
      <c r="D18" t="s">
        <v>84</v>
      </c>
      <c r="E18" t="s">
        <v>85</v>
      </c>
      <c r="F18" s="2">
        <v>52509874</v>
      </c>
      <c r="G18" s="2">
        <v>132708833</v>
      </c>
      <c r="H18" t="s">
        <v>51</v>
      </c>
      <c r="I18" t="s">
        <v>17</v>
      </c>
      <c r="J18" t="s">
        <v>18</v>
      </c>
      <c r="K18" t="s">
        <v>86</v>
      </c>
    </row>
    <row r="19" spans="1:11" x14ac:dyDescent="0.2">
      <c r="A19" t="s">
        <v>87</v>
      </c>
      <c r="B19" t="s">
        <v>88</v>
      </c>
      <c r="E19" t="s">
        <v>89</v>
      </c>
      <c r="F19" s="2">
        <v>525106205</v>
      </c>
      <c r="G19" s="2">
        <v>132716607</v>
      </c>
      <c r="H19" t="s">
        <v>34</v>
      </c>
      <c r="I19" t="s">
        <v>17</v>
      </c>
      <c r="J19" t="s">
        <v>25</v>
      </c>
    </row>
    <row r="20" spans="1:11" x14ac:dyDescent="0.2">
      <c r="A20" t="s">
        <v>90</v>
      </c>
      <c r="B20" t="s">
        <v>91</v>
      </c>
      <c r="C20" t="s">
        <v>92</v>
      </c>
      <c r="D20" t="s">
        <v>93</v>
      </c>
      <c r="F20" s="2">
        <v>525044291</v>
      </c>
      <c r="G20" s="2">
        <v>133827786</v>
      </c>
      <c r="H20" t="s">
        <v>51</v>
      </c>
      <c r="I20" t="s">
        <v>17</v>
      </c>
      <c r="J20" t="s">
        <v>18</v>
      </c>
      <c r="K20" t="s">
        <v>94</v>
      </c>
    </row>
    <row r="21" spans="1:11" x14ac:dyDescent="0.2">
      <c r="A21" t="s">
        <v>95</v>
      </c>
      <c r="B21" t="s">
        <v>96</v>
      </c>
    </row>
    <row r="22" spans="1:11" x14ac:dyDescent="0.2">
      <c r="A22" t="s">
        <v>97</v>
      </c>
      <c r="B22" t="s">
        <v>98</v>
      </c>
      <c r="C22" t="s">
        <v>99</v>
      </c>
      <c r="E22" t="s">
        <v>100</v>
      </c>
      <c r="F22" s="2">
        <v>525150034</v>
      </c>
      <c r="G22" s="2">
        <v>133903882</v>
      </c>
      <c r="H22" t="s">
        <v>38</v>
      </c>
      <c r="I22" t="s">
        <v>17</v>
      </c>
      <c r="J22" t="s">
        <v>25</v>
      </c>
    </row>
    <row r="23" spans="1:11" x14ac:dyDescent="0.2">
      <c r="A23" t="s">
        <v>101</v>
      </c>
      <c r="B23" t="s">
        <v>102</v>
      </c>
      <c r="F23" s="2">
        <v>52514689</v>
      </c>
      <c r="G23" s="2">
        <v>133909281</v>
      </c>
      <c r="H23" t="s">
        <v>28</v>
      </c>
      <c r="I23" t="s">
        <v>17</v>
      </c>
      <c r="J23" t="s">
        <v>25</v>
      </c>
    </row>
    <row r="24" spans="1:11" x14ac:dyDescent="0.2">
      <c r="A24" t="s">
        <v>103</v>
      </c>
      <c r="B24" t="s">
        <v>104</v>
      </c>
      <c r="C24" t="s">
        <v>105</v>
      </c>
      <c r="D24" t="s">
        <v>106</v>
      </c>
      <c r="E24" t="s">
        <v>107</v>
      </c>
      <c r="F24" s="2">
        <v>525132123</v>
      </c>
      <c r="G24" s="2">
        <v>133911782</v>
      </c>
      <c r="H24" t="s">
        <v>51</v>
      </c>
      <c r="I24" t="s">
        <v>17</v>
      </c>
      <c r="J24" t="s">
        <v>18</v>
      </c>
      <c r="K24" t="s">
        <v>108</v>
      </c>
    </row>
    <row r="25" spans="1:11" x14ac:dyDescent="0.2">
      <c r="A25" t="s">
        <v>109</v>
      </c>
      <c r="B25" t="s">
        <v>110</v>
      </c>
      <c r="E25" t="s">
        <v>111</v>
      </c>
      <c r="F25" s="2">
        <v>525124049</v>
      </c>
      <c r="G25" s="2">
        <v>133913074</v>
      </c>
      <c r="H25" t="s">
        <v>34</v>
      </c>
      <c r="I25" t="s">
        <v>17</v>
      </c>
      <c r="J25" t="s">
        <v>25</v>
      </c>
    </row>
    <row r="26" spans="1:11" x14ac:dyDescent="0.2">
      <c r="A26" t="s">
        <v>112</v>
      </c>
      <c r="B26" t="s">
        <v>113</v>
      </c>
      <c r="C26" t="s">
        <v>114</v>
      </c>
      <c r="D26" t="s">
        <v>115</v>
      </c>
      <c r="E26" t="s">
        <v>116</v>
      </c>
      <c r="F26" s="2">
        <v>525113441</v>
      </c>
      <c r="G26" s="2">
        <v>133891811</v>
      </c>
      <c r="H26" t="s">
        <v>51</v>
      </c>
      <c r="I26" t="s">
        <v>17</v>
      </c>
      <c r="J26" t="s">
        <v>18</v>
      </c>
      <c r="K26" t="s">
        <v>117</v>
      </c>
    </row>
    <row r="27" spans="1:11" x14ac:dyDescent="0.2">
      <c r="A27" t="s">
        <v>118</v>
      </c>
      <c r="B27" t="s">
        <v>119</v>
      </c>
      <c r="E27" t="s">
        <v>120</v>
      </c>
      <c r="F27" s="2">
        <v>52511292</v>
      </c>
      <c r="G27" s="2">
        <v>133887116</v>
      </c>
      <c r="H27" t="s">
        <v>34</v>
      </c>
      <c r="I27" t="s">
        <v>17</v>
      </c>
      <c r="J27" t="s">
        <v>25</v>
      </c>
    </row>
    <row r="28" spans="1:11" x14ac:dyDescent="0.2">
      <c r="A28" t="s">
        <v>121</v>
      </c>
      <c r="B28" t="s">
        <v>122</v>
      </c>
      <c r="C28" t="s">
        <v>123</v>
      </c>
      <c r="D28" t="s">
        <v>124</v>
      </c>
      <c r="E28" t="s">
        <v>125</v>
      </c>
      <c r="F28" s="2">
        <v>5252429</v>
      </c>
      <c r="G28" s="2">
        <v>134118534</v>
      </c>
      <c r="H28" t="s">
        <v>51</v>
      </c>
      <c r="I28" t="s">
        <v>17</v>
      </c>
      <c r="J28" t="s">
        <v>18</v>
      </c>
      <c r="K28" t="s">
        <v>126</v>
      </c>
    </row>
    <row r="29" spans="1:11" x14ac:dyDescent="0.2">
      <c r="A29" t="s">
        <v>127</v>
      </c>
      <c r="B29" t="s">
        <v>128</v>
      </c>
      <c r="C29" t="s">
        <v>129</v>
      </c>
      <c r="E29" t="s">
        <v>130</v>
      </c>
      <c r="F29" s="2">
        <v>525235991</v>
      </c>
      <c r="G29" s="2">
        <v>134109696</v>
      </c>
      <c r="H29" t="s">
        <v>38</v>
      </c>
      <c r="I29" t="s">
        <v>17</v>
      </c>
      <c r="J29" t="s">
        <v>25</v>
      </c>
    </row>
    <row r="30" spans="1:11" x14ac:dyDescent="0.2">
      <c r="A30" t="s">
        <v>131</v>
      </c>
      <c r="B30" t="s">
        <v>132</v>
      </c>
      <c r="C30" t="s">
        <v>133</v>
      </c>
      <c r="D30" t="s">
        <v>134</v>
      </c>
      <c r="E30" t="s">
        <v>135</v>
      </c>
      <c r="F30" s="2">
        <v>525214304</v>
      </c>
      <c r="G30" s="2">
        <v>134092065</v>
      </c>
      <c r="H30" t="s">
        <v>24</v>
      </c>
      <c r="I30" t="s">
        <v>17</v>
      </c>
      <c r="J30" t="s">
        <v>25</v>
      </c>
    </row>
    <row r="31" spans="1:11" x14ac:dyDescent="0.2">
      <c r="A31" t="s">
        <v>136</v>
      </c>
      <c r="B31" t="s">
        <v>137</v>
      </c>
      <c r="C31" t="s">
        <v>138</v>
      </c>
      <c r="D31" t="s">
        <v>139</v>
      </c>
      <c r="E31" t="s">
        <v>140</v>
      </c>
      <c r="F31" s="2">
        <v>525203514</v>
      </c>
      <c r="G31" s="2">
        <v>134122196</v>
      </c>
      <c r="H31" t="s">
        <v>51</v>
      </c>
      <c r="I31" t="s">
        <v>17</v>
      </c>
      <c r="J31" t="s">
        <v>18</v>
      </c>
      <c r="K31" t="s">
        <v>141</v>
      </c>
    </row>
    <row r="32" spans="1:11" x14ac:dyDescent="0.2">
      <c r="A32" t="s">
        <v>142</v>
      </c>
      <c r="F32" s="2">
        <v>525202106</v>
      </c>
      <c r="G32" s="2">
        <v>134118079</v>
      </c>
      <c r="H32" t="s">
        <v>28</v>
      </c>
      <c r="I32" t="s">
        <v>17</v>
      </c>
      <c r="J32" t="s">
        <v>25</v>
      </c>
    </row>
    <row r="33" spans="1:11" x14ac:dyDescent="0.2">
      <c r="A33" t="s">
        <v>143</v>
      </c>
      <c r="F33" s="2">
        <v>525180123</v>
      </c>
      <c r="G33" s="2">
        <v>134071626</v>
      </c>
      <c r="H33" t="s">
        <v>28</v>
      </c>
      <c r="I33" t="s">
        <v>17</v>
      </c>
      <c r="J33" t="s">
        <v>25</v>
      </c>
    </row>
    <row r="34" spans="1:11" x14ac:dyDescent="0.2">
      <c r="A34" t="s">
        <v>144</v>
      </c>
      <c r="B34" t="s">
        <v>145</v>
      </c>
      <c r="C34" t="s">
        <v>146</v>
      </c>
      <c r="D34" t="s">
        <v>147</v>
      </c>
      <c r="E34" t="s">
        <v>148</v>
      </c>
      <c r="F34" s="2">
        <v>525175872</v>
      </c>
      <c r="G34" s="2">
        <v>134058989</v>
      </c>
      <c r="H34" t="s">
        <v>51</v>
      </c>
      <c r="I34" t="s">
        <v>17</v>
      </c>
      <c r="J34" t="s">
        <v>18</v>
      </c>
      <c r="K34" t="s">
        <v>149</v>
      </c>
    </row>
    <row r="35" spans="1:11" x14ac:dyDescent="0.2">
      <c r="A35" t="s">
        <v>150</v>
      </c>
      <c r="B35" t="s">
        <v>151</v>
      </c>
      <c r="C35" t="s">
        <v>152</v>
      </c>
      <c r="D35" t="s">
        <v>153</v>
      </c>
      <c r="E35" t="s">
        <v>154</v>
      </c>
      <c r="F35" s="2">
        <v>525172681</v>
      </c>
      <c r="G35" s="2">
        <v>134050245</v>
      </c>
      <c r="H35" t="s">
        <v>51</v>
      </c>
      <c r="I35" t="s">
        <v>17</v>
      </c>
      <c r="J35" t="s">
        <v>18</v>
      </c>
      <c r="K35" t="s">
        <v>155</v>
      </c>
    </row>
    <row r="36" spans="1:11" x14ac:dyDescent="0.2">
      <c r="A36" t="s">
        <v>156</v>
      </c>
      <c r="B36" t="s">
        <v>157</v>
      </c>
      <c r="C36" t="s">
        <v>158</v>
      </c>
      <c r="D36" t="s">
        <v>159</v>
      </c>
      <c r="E36" t="s">
        <v>160</v>
      </c>
      <c r="F36" s="2">
        <v>52512146</v>
      </c>
      <c r="G36" s="2">
        <v>134081288</v>
      </c>
      <c r="H36" t="s">
        <v>24</v>
      </c>
      <c r="I36" t="s">
        <v>17</v>
      </c>
      <c r="J36" t="s">
        <v>25</v>
      </c>
    </row>
    <row r="37" spans="1:11" x14ac:dyDescent="0.2">
      <c r="A37" t="s">
        <v>161</v>
      </c>
      <c r="B37" t="s">
        <v>162</v>
      </c>
      <c r="C37" t="s">
        <v>163</v>
      </c>
      <c r="D37" t="s">
        <v>164</v>
      </c>
      <c r="E37" t="s">
        <v>165</v>
      </c>
      <c r="F37" s="2">
        <v>525827216</v>
      </c>
      <c r="G37" s="2">
        <v>132901148</v>
      </c>
      <c r="H37" t="s">
        <v>51</v>
      </c>
      <c r="I37" t="s">
        <v>17</v>
      </c>
      <c r="J37" t="s">
        <v>18</v>
      </c>
      <c r="K37" t="s">
        <v>166</v>
      </c>
    </row>
    <row r="38" spans="1:11" x14ac:dyDescent="0.2">
      <c r="A38" t="s">
        <v>167</v>
      </c>
      <c r="B38" t="s">
        <v>168</v>
      </c>
      <c r="C38" t="s">
        <v>169</v>
      </c>
      <c r="D38" t="s">
        <v>170</v>
      </c>
      <c r="E38" t="s">
        <v>171</v>
      </c>
      <c r="F38" s="2">
        <v>524293751</v>
      </c>
      <c r="G38" s="2">
        <v>135301027</v>
      </c>
      <c r="H38" t="s">
        <v>51</v>
      </c>
      <c r="I38" t="s">
        <v>17</v>
      </c>
      <c r="J38" t="s">
        <v>18</v>
      </c>
      <c r="K38" t="s">
        <v>172</v>
      </c>
    </row>
    <row r="39" spans="1:11" x14ac:dyDescent="0.2">
      <c r="A39" t="s">
        <v>173</v>
      </c>
      <c r="B39" t="s">
        <v>174</v>
      </c>
      <c r="F39" s="2">
        <v>525701846</v>
      </c>
      <c r="G39" s="2">
        <v>133206599</v>
      </c>
      <c r="H39" t="s">
        <v>28</v>
      </c>
      <c r="I39" t="s">
        <v>17</v>
      </c>
      <c r="J39" t="s">
        <v>25</v>
      </c>
    </row>
    <row r="40" spans="1:11" x14ac:dyDescent="0.2">
      <c r="A40" t="s">
        <v>175</v>
      </c>
      <c r="B40" t="s">
        <v>176</v>
      </c>
      <c r="C40" t="s">
        <v>177</v>
      </c>
      <c r="D40" t="s">
        <v>178</v>
      </c>
      <c r="E40" t="s">
        <v>179</v>
      </c>
      <c r="F40" s="2">
        <v>525225899</v>
      </c>
      <c r="G40" s="2">
        <v>133644784</v>
      </c>
      <c r="H40" t="s">
        <v>51</v>
      </c>
      <c r="I40" t="s">
        <v>17</v>
      </c>
      <c r="J40" t="s">
        <v>18</v>
      </c>
      <c r="K40" t="s">
        <v>180</v>
      </c>
    </row>
    <row r="41" spans="1:11" x14ac:dyDescent="0.2">
      <c r="A41" t="s">
        <v>181</v>
      </c>
      <c r="B41" t="s">
        <v>182</v>
      </c>
      <c r="F41" s="2">
        <v>523762307</v>
      </c>
      <c r="G41" s="2">
        <v>13657224</v>
      </c>
      <c r="H41" t="s">
        <v>28</v>
      </c>
      <c r="I41" t="s">
        <v>17</v>
      </c>
      <c r="J41" t="s">
        <v>25</v>
      </c>
    </row>
    <row r="42" spans="1:11" x14ac:dyDescent="0.2">
      <c r="A42" t="s">
        <v>183</v>
      </c>
      <c r="B42" t="s">
        <v>184</v>
      </c>
      <c r="C42" t="s">
        <v>185</v>
      </c>
      <c r="D42" t="s">
        <v>186</v>
      </c>
      <c r="E42" t="s">
        <v>187</v>
      </c>
      <c r="F42" s="2">
        <v>52461902</v>
      </c>
      <c r="G42" s="2">
        <v>13269189</v>
      </c>
      <c r="H42" t="s">
        <v>51</v>
      </c>
      <c r="I42" t="s">
        <v>17</v>
      </c>
      <c r="J42" t="s">
        <v>18</v>
      </c>
      <c r="K42" t="s">
        <v>188</v>
      </c>
    </row>
    <row r="43" spans="1:11" x14ac:dyDescent="0.2">
      <c r="A43" t="s">
        <v>189</v>
      </c>
      <c r="B43" t="s">
        <v>190</v>
      </c>
      <c r="C43" t="s">
        <v>191</v>
      </c>
      <c r="D43" t="s">
        <v>192</v>
      </c>
      <c r="E43" t="s">
        <v>193</v>
      </c>
      <c r="F43" s="2">
        <v>52536584</v>
      </c>
      <c r="G43" s="2">
        <v>1340069</v>
      </c>
      <c r="H43" t="s">
        <v>24</v>
      </c>
      <c r="I43" t="s">
        <v>17</v>
      </c>
      <c r="J43" t="s">
        <v>25</v>
      </c>
    </row>
    <row r="44" spans="1:11" x14ac:dyDescent="0.2">
      <c r="A44" t="s">
        <v>194</v>
      </c>
      <c r="B44" t="s">
        <v>195</v>
      </c>
      <c r="F44" s="2">
        <v>525893726</v>
      </c>
      <c r="G44" s="2">
        <v>133257329</v>
      </c>
      <c r="H44" t="s">
        <v>28</v>
      </c>
      <c r="I44" t="s">
        <v>17</v>
      </c>
      <c r="J44" t="s">
        <v>25</v>
      </c>
    </row>
    <row r="45" spans="1:11" x14ac:dyDescent="0.2">
      <c r="A45" t="s">
        <v>196</v>
      </c>
      <c r="F45" s="2">
        <v>525723826</v>
      </c>
      <c r="G45" s="2">
        <v>133594023</v>
      </c>
      <c r="H45" t="s">
        <v>28</v>
      </c>
      <c r="I45" t="s">
        <v>17</v>
      </c>
      <c r="J45" t="s">
        <v>25</v>
      </c>
    </row>
    <row r="46" spans="1:11" x14ac:dyDescent="0.2">
      <c r="A46" t="s">
        <v>197</v>
      </c>
      <c r="F46" s="2">
        <v>525674603</v>
      </c>
      <c r="G46" s="2">
        <v>133627545</v>
      </c>
      <c r="H46" t="s">
        <v>28</v>
      </c>
      <c r="I46" t="s">
        <v>17</v>
      </c>
      <c r="J46" t="s">
        <v>25</v>
      </c>
    </row>
    <row r="47" spans="1:11" x14ac:dyDescent="0.2">
      <c r="A47" t="s">
        <v>198</v>
      </c>
      <c r="B47" t="s">
        <v>199</v>
      </c>
      <c r="C47" t="s">
        <v>200</v>
      </c>
      <c r="D47" t="s">
        <v>201</v>
      </c>
      <c r="E47" t="s">
        <v>202</v>
      </c>
      <c r="F47" s="2">
        <v>525202629</v>
      </c>
      <c r="G47" s="2">
        <v>135556526</v>
      </c>
      <c r="H47" t="s">
        <v>24</v>
      </c>
      <c r="I47" t="s">
        <v>17</v>
      </c>
      <c r="J47" t="s">
        <v>25</v>
      </c>
    </row>
    <row r="48" spans="1:11" x14ac:dyDescent="0.2">
      <c r="A48" t="s">
        <v>203</v>
      </c>
      <c r="B48" t="s">
        <v>204</v>
      </c>
      <c r="C48" t="s">
        <v>205</v>
      </c>
      <c r="D48" t="s">
        <v>206</v>
      </c>
      <c r="E48">
        <v>493094870300</v>
      </c>
      <c r="F48" s="2">
        <v>526006677</v>
      </c>
      <c r="G48" s="2">
        <v>133030043</v>
      </c>
      <c r="H48" t="s">
        <v>24</v>
      </c>
      <c r="I48" t="s">
        <v>17</v>
      </c>
      <c r="J48" t="s">
        <v>25</v>
      </c>
    </row>
    <row r="49" spans="1:11" x14ac:dyDescent="0.2">
      <c r="A49" t="s">
        <v>207</v>
      </c>
      <c r="B49" t="s">
        <v>208</v>
      </c>
      <c r="E49" t="s">
        <v>209</v>
      </c>
      <c r="F49" s="2">
        <v>525308311</v>
      </c>
      <c r="G49" s="2">
        <v>13412464</v>
      </c>
      <c r="H49" t="s">
        <v>34</v>
      </c>
      <c r="I49" t="s">
        <v>17</v>
      </c>
      <c r="J49" t="s">
        <v>25</v>
      </c>
    </row>
    <row r="50" spans="1:11" x14ac:dyDescent="0.2">
      <c r="A50" t="s">
        <v>210</v>
      </c>
      <c r="B50" t="s">
        <v>211</v>
      </c>
      <c r="F50" s="2">
        <v>525406178</v>
      </c>
      <c r="G50" s="2">
        <v>13414039</v>
      </c>
      <c r="H50" t="s">
        <v>28</v>
      </c>
      <c r="I50" t="s">
        <v>17</v>
      </c>
      <c r="J50" t="s">
        <v>25</v>
      </c>
    </row>
    <row r="51" spans="1:11" x14ac:dyDescent="0.2">
      <c r="A51" t="s">
        <v>212</v>
      </c>
      <c r="B51" t="s">
        <v>213</v>
      </c>
      <c r="F51" s="2">
        <v>525376526</v>
      </c>
      <c r="G51" s="2">
        <v>134212143</v>
      </c>
      <c r="H51" t="s">
        <v>28</v>
      </c>
      <c r="I51" t="s">
        <v>17</v>
      </c>
      <c r="J51" t="s">
        <v>25</v>
      </c>
    </row>
    <row r="52" spans="1:11" x14ac:dyDescent="0.2">
      <c r="A52" t="s">
        <v>214</v>
      </c>
      <c r="C52" t="s">
        <v>215</v>
      </c>
      <c r="D52" t="s">
        <v>216</v>
      </c>
      <c r="E52" t="s">
        <v>217</v>
      </c>
      <c r="F52" s="2">
        <v>525361423</v>
      </c>
      <c r="G52" s="2">
        <v>134205337</v>
      </c>
      <c r="H52" t="s">
        <v>51</v>
      </c>
      <c r="I52" t="s">
        <v>17</v>
      </c>
      <c r="J52" t="s">
        <v>18</v>
      </c>
      <c r="K52" t="s">
        <v>218</v>
      </c>
    </row>
    <row r="53" spans="1:11" x14ac:dyDescent="0.2">
      <c r="A53" t="s">
        <v>219</v>
      </c>
      <c r="B53" t="s">
        <v>220</v>
      </c>
      <c r="C53" t="s">
        <v>221</v>
      </c>
      <c r="D53" t="s">
        <v>222</v>
      </c>
      <c r="E53" t="s">
        <v>223</v>
      </c>
      <c r="F53" s="2">
        <v>524417119</v>
      </c>
      <c r="G53" s="2">
        <v>136872536</v>
      </c>
      <c r="H53" t="s">
        <v>24</v>
      </c>
      <c r="I53" t="s">
        <v>17</v>
      </c>
      <c r="J53" t="s">
        <v>25</v>
      </c>
    </row>
    <row r="54" spans="1:11" x14ac:dyDescent="0.2">
      <c r="A54" t="s">
        <v>224</v>
      </c>
      <c r="B54" t="s">
        <v>225</v>
      </c>
      <c r="C54" t="s">
        <v>226</v>
      </c>
      <c r="D54" t="s">
        <v>227</v>
      </c>
      <c r="E54" t="s">
        <v>228</v>
      </c>
      <c r="F54" s="2">
        <v>52486278</v>
      </c>
      <c r="G54" s="2">
        <v>133506678</v>
      </c>
      <c r="H54" t="s">
        <v>24</v>
      </c>
      <c r="I54" t="s">
        <v>17</v>
      </c>
      <c r="J54" t="s">
        <v>25</v>
      </c>
    </row>
    <row r="55" spans="1:11" x14ac:dyDescent="0.2">
      <c r="A55" t="s">
        <v>229</v>
      </c>
      <c r="B55" t="s">
        <v>230</v>
      </c>
      <c r="C55" t="s">
        <v>231</v>
      </c>
      <c r="D55" t="s">
        <v>232</v>
      </c>
      <c r="F55" s="2">
        <v>525031309</v>
      </c>
      <c r="G55" s="2">
        <v>133271435</v>
      </c>
      <c r="H55" t="s">
        <v>24</v>
      </c>
      <c r="I55" t="s">
        <v>17</v>
      </c>
      <c r="J55" t="s">
        <v>25</v>
      </c>
    </row>
    <row r="56" spans="1:11" x14ac:dyDescent="0.2">
      <c r="A56" t="s">
        <v>233</v>
      </c>
      <c r="B56" t="s">
        <v>230</v>
      </c>
      <c r="F56" s="2">
        <v>525033238</v>
      </c>
      <c r="G56" s="2">
        <v>133272963</v>
      </c>
      <c r="H56" t="s">
        <v>28</v>
      </c>
      <c r="I56" t="s">
        <v>17</v>
      </c>
      <c r="J56" t="s">
        <v>25</v>
      </c>
    </row>
    <row r="57" spans="1:11" x14ac:dyDescent="0.2">
      <c r="A57" t="s">
        <v>234</v>
      </c>
      <c r="B57" t="s">
        <v>235</v>
      </c>
      <c r="F57" s="2">
        <v>525026926</v>
      </c>
      <c r="G57" s="2">
        <v>133318821</v>
      </c>
      <c r="H57" t="s">
        <v>28</v>
      </c>
      <c r="I57" t="s">
        <v>17</v>
      </c>
      <c r="J57" t="s">
        <v>25</v>
      </c>
    </row>
    <row r="58" spans="1:11" x14ac:dyDescent="0.2">
      <c r="A58" t="s">
        <v>236</v>
      </c>
      <c r="B58" t="s">
        <v>237</v>
      </c>
      <c r="C58" t="s">
        <v>238</v>
      </c>
      <c r="E58" t="s">
        <v>239</v>
      </c>
      <c r="F58" s="2">
        <v>524880029</v>
      </c>
      <c r="G58" s="2">
        <v>132634284</v>
      </c>
      <c r="H58" t="s">
        <v>38</v>
      </c>
      <c r="I58" t="s">
        <v>17</v>
      </c>
      <c r="J58" t="s">
        <v>25</v>
      </c>
    </row>
    <row r="59" spans="1:11" x14ac:dyDescent="0.2">
      <c r="A59" t="s">
        <v>240</v>
      </c>
      <c r="F59" s="2">
        <v>524878837</v>
      </c>
      <c r="G59" s="2">
        <v>132628406</v>
      </c>
      <c r="H59" t="s">
        <v>28</v>
      </c>
      <c r="I59" t="s">
        <v>17</v>
      </c>
      <c r="J59" t="s">
        <v>25</v>
      </c>
    </row>
    <row r="60" spans="1:11" x14ac:dyDescent="0.2">
      <c r="A60" t="s">
        <v>241</v>
      </c>
      <c r="F60" s="2">
        <v>524206302</v>
      </c>
      <c r="G60" s="2">
        <v>13165528</v>
      </c>
      <c r="H60" t="s">
        <v>28</v>
      </c>
      <c r="I60" t="s">
        <v>17</v>
      </c>
      <c r="J60" t="s">
        <v>25</v>
      </c>
    </row>
    <row r="61" spans="1:11" x14ac:dyDescent="0.2">
      <c r="A61" t="s">
        <v>242</v>
      </c>
      <c r="B61" t="s">
        <v>243</v>
      </c>
      <c r="C61" t="s">
        <v>244</v>
      </c>
      <c r="D61" t="s">
        <v>245</v>
      </c>
      <c r="E61" t="s">
        <v>246</v>
      </c>
      <c r="F61" s="2">
        <v>524244424</v>
      </c>
      <c r="G61" s="2">
        <v>131163106</v>
      </c>
      <c r="H61" t="s">
        <v>51</v>
      </c>
      <c r="I61" t="s">
        <v>17</v>
      </c>
      <c r="J61" t="s">
        <v>25</v>
      </c>
      <c r="K61" t="s">
        <v>247</v>
      </c>
    </row>
    <row r="62" spans="1:11" x14ac:dyDescent="0.2">
      <c r="A62" t="s">
        <v>248</v>
      </c>
      <c r="B62" t="s">
        <v>249</v>
      </c>
      <c r="C62" t="s">
        <v>250</v>
      </c>
      <c r="D62" t="s">
        <v>251</v>
      </c>
      <c r="E62" t="s">
        <v>252</v>
      </c>
      <c r="F62" s="2">
        <v>525462582</v>
      </c>
      <c r="G62" s="2">
        <v>132119152</v>
      </c>
      <c r="H62" t="s">
        <v>24</v>
      </c>
      <c r="I62" t="s">
        <v>17</v>
      </c>
      <c r="J62" t="s">
        <v>25</v>
      </c>
    </row>
    <row r="63" spans="1:11" x14ac:dyDescent="0.2">
      <c r="A63" t="s">
        <v>253</v>
      </c>
      <c r="C63" t="s">
        <v>254</v>
      </c>
      <c r="F63" s="2">
        <v>524877929</v>
      </c>
      <c r="G63" s="2">
        <v>134196583</v>
      </c>
      <c r="H63" t="s">
        <v>255</v>
      </c>
      <c r="I63" t="s">
        <v>17</v>
      </c>
      <c r="J63" t="s">
        <v>25</v>
      </c>
    </row>
    <row r="64" spans="1:11" x14ac:dyDescent="0.2">
      <c r="A64" t="s">
        <v>256</v>
      </c>
      <c r="B64" t="s">
        <v>257</v>
      </c>
      <c r="E64" t="s">
        <v>258</v>
      </c>
      <c r="F64" s="2">
        <v>525219316</v>
      </c>
      <c r="G64" s="2">
        <v>134047999</v>
      </c>
      <c r="H64" t="s">
        <v>34</v>
      </c>
      <c r="I64" t="s">
        <v>17</v>
      </c>
      <c r="J64" t="s">
        <v>25</v>
      </c>
    </row>
    <row r="65" spans="1:11" x14ac:dyDescent="0.2">
      <c r="A65" t="s">
        <v>259</v>
      </c>
      <c r="C65" t="s">
        <v>260</v>
      </c>
      <c r="D65" t="s">
        <v>261</v>
      </c>
      <c r="E65" t="s">
        <v>262</v>
      </c>
      <c r="F65" s="2">
        <v>525355167</v>
      </c>
      <c r="G65" s="2">
        <v>132020525</v>
      </c>
      <c r="H65" t="s">
        <v>51</v>
      </c>
      <c r="I65" t="s">
        <v>17</v>
      </c>
      <c r="J65" t="s">
        <v>25</v>
      </c>
      <c r="K65" t="s">
        <v>263</v>
      </c>
    </row>
    <row r="66" spans="1:11" x14ac:dyDescent="0.2">
      <c r="A66" t="s">
        <v>264</v>
      </c>
      <c r="B66" t="s">
        <v>265</v>
      </c>
      <c r="C66" t="s">
        <v>266</v>
      </c>
      <c r="D66" t="s">
        <v>267</v>
      </c>
      <c r="E66" t="s">
        <v>268</v>
      </c>
      <c r="F66" s="2">
        <v>525399218</v>
      </c>
      <c r="G66" s="2">
        <v>13207419</v>
      </c>
      <c r="H66" t="s">
        <v>24</v>
      </c>
      <c r="I66" t="s">
        <v>17</v>
      </c>
      <c r="J66" t="s">
        <v>25</v>
      </c>
    </row>
    <row r="67" spans="1:11" x14ac:dyDescent="0.2">
      <c r="A67" t="s">
        <v>269</v>
      </c>
      <c r="B67" t="s">
        <v>270</v>
      </c>
      <c r="C67" t="s">
        <v>271</v>
      </c>
      <c r="D67" t="s">
        <v>272</v>
      </c>
      <c r="E67">
        <v>493039896060</v>
      </c>
      <c r="F67" s="2">
        <v>524895627</v>
      </c>
      <c r="G67" s="2">
        <v>133191979</v>
      </c>
      <c r="H67" t="s">
        <v>24</v>
      </c>
      <c r="I67" t="s">
        <v>17</v>
      </c>
      <c r="J67" t="s">
        <v>25</v>
      </c>
    </row>
    <row r="68" spans="1:11" x14ac:dyDescent="0.2">
      <c r="A68" t="s">
        <v>273</v>
      </c>
      <c r="B68" t="s">
        <v>274</v>
      </c>
      <c r="F68" s="2">
        <v>524894921</v>
      </c>
      <c r="G68" s="2">
        <v>133196727</v>
      </c>
      <c r="H68" t="s">
        <v>28</v>
      </c>
      <c r="I68" t="s">
        <v>17</v>
      </c>
      <c r="J68" t="s">
        <v>25</v>
      </c>
    </row>
    <row r="69" spans="1:11" x14ac:dyDescent="0.2">
      <c r="A69" t="s">
        <v>275</v>
      </c>
      <c r="C69" t="s">
        <v>276</v>
      </c>
      <c r="F69" s="2">
        <v>525098687</v>
      </c>
      <c r="G69" s="2">
        <v>133741146</v>
      </c>
      <c r="H69" t="s">
        <v>277</v>
      </c>
      <c r="I69" t="s">
        <v>17</v>
      </c>
      <c r="J69" t="s">
        <v>25</v>
      </c>
      <c r="K69" t="s">
        <v>278</v>
      </c>
    </row>
    <row r="70" spans="1:11" x14ac:dyDescent="0.2">
      <c r="A70" t="s">
        <v>279</v>
      </c>
      <c r="B70" t="s">
        <v>280</v>
      </c>
      <c r="C70" t="s">
        <v>281</v>
      </c>
      <c r="D70" t="s">
        <v>282</v>
      </c>
      <c r="E70" t="s">
        <v>283</v>
      </c>
      <c r="F70" s="2">
        <v>525102921</v>
      </c>
      <c r="G70" s="2">
        <v>133726675</v>
      </c>
      <c r="H70" t="s">
        <v>51</v>
      </c>
      <c r="I70" t="s">
        <v>17</v>
      </c>
      <c r="J70" t="s">
        <v>25</v>
      </c>
      <c r="K70" t="s">
        <v>284</v>
      </c>
    </row>
    <row r="71" spans="1:11" x14ac:dyDescent="0.2">
      <c r="A71" t="s">
        <v>285</v>
      </c>
      <c r="F71" s="2">
        <v>524029635</v>
      </c>
      <c r="G71" s="2">
        <v>135856652</v>
      </c>
      <c r="H71" t="s">
        <v>28</v>
      </c>
      <c r="I71" t="s">
        <v>17</v>
      </c>
      <c r="J71" t="s">
        <v>25</v>
      </c>
    </row>
    <row r="72" spans="1:11" x14ac:dyDescent="0.2">
      <c r="A72" t="s">
        <v>286</v>
      </c>
      <c r="B72" t="s">
        <v>287</v>
      </c>
      <c r="C72" t="s">
        <v>288</v>
      </c>
      <c r="D72" t="s">
        <v>289</v>
      </c>
      <c r="E72">
        <v>4930453056525</v>
      </c>
      <c r="F72" s="2">
        <v>52528035</v>
      </c>
      <c r="G72" s="2">
        <v>134339677</v>
      </c>
      <c r="H72" t="s">
        <v>24</v>
      </c>
      <c r="I72" t="s">
        <v>17</v>
      </c>
      <c r="J72" t="s">
        <v>25</v>
      </c>
    </row>
    <row r="73" spans="1:11" x14ac:dyDescent="0.2">
      <c r="A73" t="s">
        <v>290</v>
      </c>
      <c r="B73" t="s">
        <v>291</v>
      </c>
      <c r="F73" s="2">
        <v>525152058</v>
      </c>
      <c r="G73" s="2">
        <v>134687505</v>
      </c>
      <c r="H73" t="s">
        <v>28</v>
      </c>
      <c r="I73" t="s">
        <v>17</v>
      </c>
      <c r="J73" t="s">
        <v>25</v>
      </c>
    </row>
    <row r="74" spans="1:11" x14ac:dyDescent="0.2">
      <c r="A74" t="s">
        <v>292</v>
      </c>
      <c r="B74" t="s">
        <v>293</v>
      </c>
      <c r="C74" t="s">
        <v>294</v>
      </c>
      <c r="E74" t="s">
        <v>295</v>
      </c>
      <c r="F74" s="2">
        <v>525193726</v>
      </c>
      <c r="G74" s="2">
        <v>134275085</v>
      </c>
      <c r="H74" t="s">
        <v>277</v>
      </c>
      <c r="I74" t="s">
        <v>17</v>
      </c>
      <c r="J74" t="s">
        <v>25</v>
      </c>
      <c r="K74" t="s">
        <v>296</v>
      </c>
    </row>
    <row r="75" spans="1:11" x14ac:dyDescent="0.2">
      <c r="A75" t="s">
        <v>297</v>
      </c>
      <c r="B75" t="s">
        <v>298</v>
      </c>
      <c r="E75">
        <v>493082717447</v>
      </c>
      <c r="F75" s="2">
        <v>525129554</v>
      </c>
      <c r="G75" s="2">
        <v>134576396</v>
      </c>
      <c r="H75" t="s">
        <v>34</v>
      </c>
      <c r="I75" t="s">
        <v>17</v>
      </c>
      <c r="J75" t="s">
        <v>25</v>
      </c>
    </row>
    <row r="76" spans="1:11" x14ac:dyDescent="0.2">
      <c r="A76" t="s">
        <v>299</v>
      </c>
      <c r="B76" t="s">
        <v>300</v>
      </c>
      <c r="C76" t="s">
        <v>301</v>
      </c>
      <c r="D76" t="s">
        <v>302</v>
      </c>
      <c r="E76" t="s">
        <v>303</v>
      </c>
      <c r="F76" s="2">
        <v>525124404</v>
      </c>
      <c r="G76" s="2">
        <v>135878692</v>
      </c>
      <c r="H76" t="s">
        <v>304</v>
      </c>
      <c r="I76" t="s">
        <v>17</v>
      </c>
      <c r="J76" t="s">
        <v>25</v>
      </c>
      <c r="K76" t="s">
        <v>305</v>
      </c>
    </row>
    <row r="77" spans="1:11" x14ac:dyDescent="0.2">
      <c r="A77" t="s">
        <v>306</v>
      </c>
      <c r="B77" t="s">
        <v>307</v>
      </c>
      <c r="C77" t="s">
        <v>308</v>
      </c>
      <c r="D77" t="s">
        <v>309</v>
      </c>
      <c r="E77" t="s">
        <v>310</v>
      </c>
      <c r="F77" s="2">
        <v>525157169</v>
      </c>
      <c r="G77" s="2">
        <v>135935903</v>
      </c>
      <c r="H77" t="s">
        <v>24</v>
      </c>
      <c r="I77" t="s">
        <v>17</v>
      </c>
      <c r="J77" t="s">
        <v>25</v>
      </c>
    </row>
    <row r="78" spans="1:11" x14ac:dyDescent="0.2">
      <c r="A78" t="s">
        <v>311</v>
      </c>
      <c r="F78" s="2">
        <v>525114588</v>
      </c>
      <c r="G78" s="2">
        <v>131813993</v>
      </c>
      <c r="H78" t="s">
        <v>28</v>
      </c>
      <c r="I78" t="s">
        <v>17</v>
      </c>
      <c r="J78" t="s">
        <v>25</v>
      </c>
    </row>
    <row r="79" spans="1:11" x14ac:dyDescent="0.2">
      <c r="A79" t="s">
        <v>312</v>
      </c>
      <c r="B79" t="s">
        <v>313</v>
      </c>
      <c r="E79" t="s">
        <v>314</v>
      </c>
      <c r="F79" s="2">
        <v>525093453</v>
      </c>
      <c r="G79" s="2">
        <v>131811526</v>
      </c>
      <c r="H79" t="s">
        <v>34</v>
      </c>
      <c r="I79" t="s">
        <v>17</v>
      </c>
      <c r="J79" t="s">
        <v>25</v>
      </c>
    </row>
    <row r="80" spans="1:11" x14ac:dyDescent="0.2">
      <c r="A80" t="s">
        <v>315</v>
      </c>
      <c r="B80" t="s">
        <v>316</v>
      </c>
      <c r="C80" t="s">
        <v>317</v>
      </c>
      <c r="E80">
        <v>49306147730</v>
      </c>
      <c r="F80" s="2">
        <v>52504153</v>
      </c>
      <c r="G80" s="2">
        <v>134177503</v>
      </c>
      <c r="H80" t="s">
        <v>38</v>
      </c>
      <c r="I80" t="s">
        <v>17</v>
      </c>
      <c r="J80" t="s">
        <v>25</v>
      </c>
    </row>
    <row r="81" spans="1:11" x14ac:dyDescent="0.2">
      <c r="A81" t="s">
        <v>318</v>
      </c>
      <c r="B81" t="s">
        <v>319</v>
      </c>
      <c r="C81" t="s">
        <v>320</v>
      </c>
      <c r="D81" t="s">
        <v>321</v>
      </c>
      <c r="E81">
        <v>493043666683</v>
      </c>
      <c r="F81" s="2">
        <v>525197141</v>
      </c>
      <c r="G81" s="2">
        <v>133877509</v>
      </c>
      <c r="H81" t="s">
        <v>51</v>
      </c>
      <c r="I81" t="s">
        <v>17</v>
      </c>
      <c r="J81" t="s">
        <v>25</v>
      </c>
      <c r="K81" t="s">
        <v>322</v>
      </c>
    </row>
    <row r="82" spans="1:11" x14ac:dyDescent="0.2">
      <c r="A82" t="s">
        <v>323</v>
      </c>
      <c r="B82" t="s">
        <v>324</v>
      </c>
      <c r="C82" t="s">
        <v>325</v>
      </c>
      <c r="D82" t="s">
        <v>326</v>
      </c>
      <c r="E82" t="s">
        <v>327</v>
      </c>
      <c r="F82" s="2">
        <v>524747998</v>
      </c>
      <c r="G82" s="2">
        <v>132781793</v>
      </c>
      <c r="H82" t="s">
        <v>24</v>
      </c>
      <c r="I82" t="s">
        <v>17</v>
      </c>
      <c r="J82" t="s">
        <v>25</v>
      </c>
    </row>
    <row r="83" spans="1:11" x14ac:dyDescent="0.2">
      <c r="A83" t="s">
        <v>328</v>
      </c>
      <c r="C83" t="s">
        <v>329</v>
      </c>
      <c r="F83" s="2">
        <v>525993861</v>
      </c>
      <c r="G83" s="2">
        <v>133011493</v>
      </c>
      <c r="H83" t="s">
        <v>38</v>
      </c>
      <c r="I83" t="s">
        <v>17</v>
      </c>
      <c r="J83" t="s">
        <v>25</v>
      </c>
    </row>
    <row r="84" spans="1:11" x14ac:dyDescent="0.2">
      <c r="A84" t="s">
        <v>330</v>
      </c>
      <c r="B84" t="s">
        <v>331</v>
      </c>
      <c r="C84" t="s">
        <v>332</v>
      </c>
      <c r="E84" t="s">
        <v>333</v>
      </c>
      <c r="F84" s="2">
        <v>524605144</v>
      </c>
      <c r="G84" s="2">
        <v>133231312</v>
      </c>
      <c r="H84" t="s">
        <v>38</v>
      </c>
      <c r="I84" t="s">
        <v>17</v>
      </c>
      <c r="J84" t="s">
        <v>25</v>
      </c>
    </row>
    <row r="85" spans="1:11" x14ac:dyDescent="0.2">
      <c r="A85" t="s">
        <v>334</v>
      </c>
      <c r="B85" t="s">
        <v>335</v>
      </c>
      <c r="C85" t="s">
        <v>336</v>
      </c>
      <c r="E85">
        <v>49308911305</v>
      </c>
      <c r="F85" s="2">
        <v>524979888</v>
      </c>
      <c r="G85" s="2">
        <v>132944721</v>
      </c>
      <c r="H85" t="s">
        <v>277</v>
      </c>
      <c r="I85" t="s">
        <v>17</v>
      </c>
      <c r="J85" t="s">
        <v>25</v>
      </c>
      <c r="K85" t="s">
        <v>337</v>
      </c>
    </row>
    <row r="86" spans="1:11" x14ac:dyDescent="0.2">
      <c r="A86" t="s">
        <v>338</v>
      </c>
      <c r="B86" t="s">
        <v>339</v>
      </c>
      <c r="C86" t="s">
        <v>340</v>
      </c>
      <c r="E86">
        <v>49308839014</v>
      </c>
      <c r="F86" s="2">
        <v>524988221</v>
      </c>
      <c r="G86" s="2">
        <v>133076456</v>
      </c>
      <c r="H86" t="s">
        <v>277</v>
      </c>
      <c r="I86" t="s">
        <v>17</v>
      </c>
      <c r="J86" t="s">
        <v>25</v>
      </c>
      <c r="K86" t="s">
        <v>341</v>
      </c>
    </row>
    <row r="87" spans="1:11" x14ac:dyDescent="0.2">
      <c r="A87" t="s">
        <v>342</v>
      </c>
      <c r="B87" t="s">
        <v>343</v>
      </c>
      <c r="C87" t="s">
        <v>344</v>
      </c>
      <c r="F87" s="2">
        <v>524968112</v>
      </c>
      <c r="G87" s="2">
        <v>133244465</v>
      </c>
      <c r="H87" t="s">
        <v>255</v>
      </c>
      <c r="I87" t="s">
        <v>17</v>
      </c>
      <c r="J87" t="s">
        <v>25</v>
      </c>
    </row>
    <row r="88" spans="1:11" x14ac:dyDescent="0.2">
      <c r="A88" t="s">
        <v>345</v>
      </c>
      <c r="B88" t="s">
        <v>346</v>
      </c>
      <c r="C88" t="s">
        <v>347</v>
      </c>
      <c r="E88" t="s">
        <v>348</v>
      </c>
      <c r="F88" s="2">
        <v>524739548</v>
      </c>
      <c r="G88" s="2">
        <v>134468535</v>
      </c>
      <c r="H88" t="s">
        <v>277</v>
      </c>
      <c r="I88" t="s">
        <v>17</v>
      </c>
      <c r="J88" t="s">
        <v>25</v>
      </c>
      <c r="K88" t="s">
        <v>349</v>
      </c>
    </row>
    <row r="89" spans="1:11" x14ac:dyDescent="0.2">
      <c r="A89" t="s">
        <v>350</v>
      </c>
      <c r="B89" t="s">
        <v>351</v>
      </c>
      <c r="C89" t="s">
        <v>352</v>
      </c>
      <c r="D89" t="s">
        <v>353</v>
      </c>
      <c r="E89" t="s">
        <v>354</v>
      </c>
      <c r="F89" s="2">
        <v>524743381</v>
      </c>
      <c r="G89" s="2">
        <v>134452803</v>
      </c>
      <c r="H89" t="s">
        <v>24</v>
      </c>
      <c r="I89" t="s">
        <v>17</v>
      </c>
      <c r="J89" t="s">
        <v>25</v>
      </c>
    </row>
    <row r="90" spans="1:11" x14ac:dyDescent="0.2">
      <c r="A90" t="s">
        <v>355</v>
      </c>
      <c r="B90" t="s">
        <v>356</v>
      </c>
      <c r="C90" t="s">
        <v>357</v>
      </c>
      <c r="D90" t="s">
        <v>358</v>
      </c>
      <c r="E90" t="s">
        <v>359</v>
      </c>
      <c r="F90" s="2">
        <v>525220908</v>
      </c>
      <c r="G90" s="2">
        <v>133488231</v>
      </c>
      <c r="H90" t="s">
        <v>51</v>
      </c>
      <c r="I90" t="s">
        <v>17</v>
      </c>
      <c r="J90" t="s">
        <v>25</v>
      </c>
      <c r="K90" t="s">
        <v>360</v>
      </c>
    </row>
    <row r="91" spans="1:11" x14ac:dyDescent="0.2">
      <c r="A91" t="s">
        <v>361</v>
      </c>
      <c r="B91" t="s">
        <v>362</v>
      </c>
      <c r="C91" t="s">
        <v>363</v>
      </c>
      <c r="D91" t="s">
        <v>364</v>
      </c>
      <c r="E91">
        <v>493039809451</v>
      </c>
      <c r="F91" s="2">
        <v>525194762</v>
      </c>
      <c r="G91" s="2">
        <v>133556992</v>
      </c>
      <c r="H91" t="s">
        <v>24</v>
      </c>
      <c r="I91" t="s">
        <v>17</v>
      </c>
      <c r="J91" t="s">
        <v>25</v>
      </c>
    </row>
    <row r="92" spans="1:11" x14ac:dyDescent="0.2">
      <c r="A92" t="s">
        <v>365</v>
      </c>
      <c r="B92" t="s">
        <v>366</v>
      </c>
      <c r="C92" t="s">
        <v>367</v>
      </c>
      <c r="D92" t="s">
        <v>368</v>
      </c>
      <c r="E92" t="s">
        <v>369</v>
      </c>
      <c r="F92" s="2">
        <v>525212821</v>
      </c>
      <c r="G92" s="2">
        <v>133668503</v>
      </c>
      <c r="H92" t="s">
        <v>51</v>
      </c>
      <c r="I92" t="s">
        <v>17</v>
      </c>
      <c r="J92" t="s">
        <v>25</v>
      </c>
      <c r="K92" t="s">
        <v>370</v>
      </c>
    </row>
    <row r="93" spans="1:11" x14ac:dyDescent="0.2">
      <c r="A93" t="s">
        <v>371</v>
      </c>
      <c r="B93" t="s">
        <v>372</v>
      </c>
      <c r="C93" t="s">
        <v>373</v>
      </c>
      <c r="D93" t="s">
        <v>374</v>
      </c>
      <c r="E93">
        <v>49303139909</v>
      </c>
      <c r="F93" s="2">
        <v>525112754</v>
      </c>
      <c r="G93" s="2">
        <v>13335988</v>
      </c>
      <c r="H93" t="s">
        <v>51</v>
      </c>
      <c r="I93" t="s">
        <v>17</v>
      </c>
      <c r="J93" t="s">
        <v>25</v>
      </c>
      <c r="K93" t="s">
        <v>375</v>
      </c>
    </row>
    <row r="94" spans="1:11" x14ac:dyDescent="0.2">
      <c r="A94" t="s">
        <v>376</v>
      </c>
      <c r="B94" t="s">
        <v>377</v>
      </c>
      <c r="C94" t="s">
        <v>378</v>
      </c>
      <c r="D94" t="s">
        <v>379</v>
      </c>
      <c r="E94" t="s">
        <v>380</v>
      </c>
      <c r="F94" s="2">
        <v>524322035</v>
      </c>
      <c r="G94" s="2">
        <v>134346212</v>
      </c>
      <c r="H94" t="s">
        <v>24</v>
      </c>
      <c r="I94" t="s">
        <v>17</v>
      </c>
      <c r="J94" t="s">
        <v>25</v>
      </c>
    </row>
    <row r="95" spans="1:11" x14ac:dyDescent="0.2">
      <c r="A95" t="s">
        <v>381</v>
      </c>
      <c r="B95" t="s">
        <v>382</v>
      </c>
      <c r="C95" t="s">
        <v>383</v>
      </c>
      <c r="D95" t="s">
        <v>384</v>
      </c>
      <c r="E95" t="s">
        <v>385</v>
      </c>
      <c r="F95" s="2">
        <v>524468121</v>
      </c>
      <c r="G95" s="2">
        <v>134377895</v>
      </c>
      <c r="H95" t="s">
        <v>51</v>
      </c>
      <c r="I95" t="s">
        <v>17</v>
      </c>
      <c r="J95" t="s">
        <v>25</v>
      </c>
      <c r="K95" t="s">
        <v>386</v>
      </c>
    </row>
    <row r="96" spans="1:11" x14ac:dyDescent="0.2">
      <c r="A96" t="s">
        <v>387</v>
      </c>
      <c r="B96" t="s">
        <v>388</v>
      </c>
      <c r="F96" s="2">
        <v>525137921</v>
      </c>
      <c r="G96" s="2">
        <v>133170309</v>
      </c>
      <c r="H96" t="s">
        <v>28</v>
      </c>
      <c r="I96" t="s">
        <v>17</v>
      </c>
      <c r="J96" t="s">
        <v>25</v>
      </c>
    </row>
    <row r="97" spans="1:11" x14ac:dyDescent="0.2">
      <c r="A97" t="s">
        <v>389</v>
      </c>
      <c r="C97" t="s">
        <v>390</v>
      </c>
      <c r="D97" t="s">
        <v>391</v>
      </c>
      <c r="F97" s="2">
        <v>524262934</v>
      </c>
      <c r="G97" s="2">
        <v>132092834</v>
      </c>
      <c r="H97" t="s">
        <v>51</v>
      </c>
      <c r="I97" t="s">
        <v>17</v>
      </c>
      <c r="J97" t="s">
        <v>25</v>
      </c>
      <c r="K97" t="s">
        <v>392</v>
      </c>
    </row>
    <row r="98" spans="1:11" x14ac:dyDescent="0.2">
      <c r="A98" t="s">
        <v>393</v>
      </c>
      <c r="B98" t="s">
        <v>394</v>
      </c>
      <c r="C98" t="s">
        <v>395</v>
      </c>
      <c r="D98" t="s">
        <v>396</v>
      </c>
      <c r="E98" t="s">
        <v>397</v>
      </c>
      <c r="F98" s="2">
        <v>525201925</v>
      </c>
      <c r="G98" s="2">
        <v>133558888</v>
      </c>
      <c r="H98" t="s">
        <v>16</v>
      </c>
      <c r="I98" t="s">
        <v>17</v>
      </c>
      <c r="J98" t="s">
        <v>25</v>
      </c>
    </row>
    <row r="99" spans="1:11" x14ac:dyDescent="0.2">
      <c r="A99" t="s">
        <v>398</v>
      </c>
      <c r="B99" t="s">
        <v>399</v>
      </c>
      <c r="C99" t="s">
        <v>400</v>
      </c>
      <c r="D99" t="s">
        <v>401</v>
      </c>
      <c r="E99" t="s">
        <v>402</v>
      </c>
      <c r="F99" s="2">
        <v>524283069</v>
      </c>
      <c r="G99" s="2">
        <v>131223345</v>
      </c>
      <c r="H99" t="s">
        <v>51</v>
      </c>
      <c r="I99" t="s">
        <v>17</v>
      </c>
      <c r="J99" t="s">
        <v>25</v>
      </c>
      <c r="K99" t="s">
        <v>403</v>
      </c>
    </row>
    <row r="100" spans="1:11" x14ac:dyDescent="0.2">
      <c r="A100" t="s">
        <v>404</v>
      </c>
      <c r="B100" t="s">
        <v>405</v>
      </c>
      <c r="C100" t="s">
        <v>406</v>
      </c>
      <c r="D100" t="s">
        <v>407</v>
      </c>
      <c r="E100" t="s">
        <v>408</v>
      </c>
      <c r="F100" s="2">
        <v>52430323</v>
      </c>
      <c r="G100" s="2">
        <v>132303697</v>
      </c>
      <c r="H100" t="s">
        <v>304</v>
      </c>
      <c r="I100" t="s">
        <v>17</v>
      </c>
      <c r="J100" t="s">
        <v>25</v>
      </c>
      <c r="K100" t="s">
        <v>409</v>
      </c>
    </row>
    <row r="101" spans="1:11" x14ac:dyDescent="0.2">
      <c r="A101" t="s">
        <v>410</v>
      </c>
      <c r="B101" t="s">
        <v>411</v>
      </c>
      <c r="C101" t="s">
        <v>412</v>
      </c>
      <c r="F101" s="2">
        <v>525001321</v>
      </c>
      <c r="G101" s="2">
        <v>134387908</v>
      </c>
      <c r="H101" t="s">
        <v>255</v>
      </c>
      <c r="I101" t="s">
        <v>17</v>
      </c>
      <c r="J101" t="s">
        <v>25</v>
      </c>
    </row>
    <row r="102" spans="1:11" x14ac:dyDescent="0.2">
      <c r="A102" t="s">
        <v>413</v>
      </c>
      <c r="B102" t="s">
        <v>414</v>
      </c>
      <c r="C102" t="s">
        <v>415</v>
      </c>
      <c r="D102" t="s">
        <v>416</v>
      </c>
      <c r="E102" t="s">
        <v>417</v>
      </c>
      <c r="F102" s="2">
        <v>524973483</v>
      </c>
      <c r="G102" s="2">
        <v>134507972</v>
      </c>
      <c r="H102" t="s">
        <v>24</v>
      </c>
      <c r="I102" t="s">
        <v>17</v>
      </c>
      <c r="J102" t="s">
        <v>25</v>
      </c>
    </row>
    <row r="103" spans="1:11" x14ac:dyDescent="0.2">
      <c r="A103" t="s">
        <v>418</v>
      </c>
      <c r="B103" t="s">
        <v>419</v>
      </c>
      <c r="E103" t="s">
        <v>420</v>
      </c>
      <c r="F103" s="2">
        <v>524881781</v>
      </c>
      <c r="G103" s="2">
        <v>13370321</v>
      </c>
      <c r="H103" t="s">
        <v>34</v>
      </c>
      <c r="I103" t="s">
        <v>17</v>
      </c>
      <c r="J103" t="s">
        <v>25</v>
      </c>
    </row>
    <row r="104" spans="1:11" x14ac:dyDescent="0.2">
      <c r="A104" t="s">
        <v>421</v>
      </c>
      <c r="B104" t="s">
        <v>422</v>
      </c>
      <c r="C104" t="s">
        <v>423</v>
      </c>
      <c r="E104" t="s">
        <v>424</v>
      </c>
      <c r="F104" s="2">
        <v>525400018</v>
      </c>
      <c r="G104" s="2">
        <v>133527311</v>
      </c>
      <c r="H104" t="s">
        <v>38</v>
      </c>
      <c r="I104" t="s">
        <v>17</v>
      </c>
      <c r="J104" t="s">
        <v>25</v>
      </c>
    </row>
    <row r="105" spans="1:11" x14ac:dyDescent="0.2">
      <c r="A105" t="s">
        <v>425</v>
      </c>
      <c r="B105" t="s">
        <v>426</v>
      </c>
      <c r="E105">
        <v>49307751014</v>
      </c>
      <c r="F105" s="2">
        <v>524339798</v>
      </c>
      <c r="G105" s="2">
        <v>133592072</v>
      </c>
      <c r="H105" t="s">
        <v>34</v>
      </c>
      <c r="I105" t="s">
        <v>17</v>
      </c>
      <c r="J105" t="s">
        <v>25</v>
      </c>
    </row>
    <row r="106" spans="1:11" x14ac:dyDescent="0.2">
      <c r="A106" t="s">
        <v>427</v>
      </c>
      <c r="B106" t="s">
        <v>428</v>
      </c>
      <c r="C106" t="s">
        <v>429</v>
      </c>
      <c r="D106" t="s">
        <v>430</v>
      </c>
      <c r="E106" t="s">
        <v>431</v>
      </c>
      <c r="F106" s="2">
        <v>524113317</v>
      </c>
      <c r="G106" s="2">
        <v>135730007</v>
      </c>
      <c r="H106" t="s">
        <v>24</v>
      </c>
      <c r="I106" t="s">
        <v>17</v>
      </c>
      <c r="J106" t="s">
        <v>25</v>
      </c>
    </row>
    <row r="107" spans="1:11" x14ac:dyDescent="0.2">
      <c r="A107" t="s">
        <v>432</v>
      </c>
      <c r="B107" t="s">
        <v>433</v>
      </c>
      <c r="C107" t="s">
        <v>434</v>
      </c>
      <c r="F107" s="2">
        <v>524645273</v>
      </c>
      <c r="G107" s="2">
        <v>133298271</v>
      </c>
      <c r="H107" t="s">
        <v>255</v>
      </c>
      <c r="I107" t="s">
        <v>17</v>
      </c>
      <c r="J107" t="s">
        <v>25</v>
      </c>
    </row>
    <row r="108" spans="1:11" x14ac:dyDescent="0.2">
      <c r="A108" t="s">
        <v>435</v>
      </c>
      <c r="B108" t="s">
        <v>436</v>
      </c>
      <c r="C108" t="s">
        <v>437</v>
      </c>
      <c r="D108" t="s">
        <v>438</v>
      </c>
      <c r="E108" t="s">
        <v>439</v>
      </c>
      <c r="F108" s="2">
        <v>524578483</v>
      </c>
      <c r="G108" s="2">
        <v>132882349</v>
      </c>
      <c r="H108" t="s">
        <v>24</v>
      </c>
      <c r="I108" t="s">
        <v>17</v>
      </c>
      <c r="J108" t="s">
        <v>25</v>
      </c>
    </row>
    <row r="109" spans="1:11" x14ac:dyDescent="0.2">
      <c r="A109" t="s">
        <v>440</v>
      </c>
      <c r="B109" t="s">
        <v>441</v>
      </c>
      <c r="F109" s="2">
        <v>524750769</v>
      </c>
      <c r="G109" s="2">
        <v>133234069</v>
      </c>
      <c r="H109" t="s">
        <v>28</v>
      </c>
      <c r="I109" t="s">
        <v>17</v>
      </c>
      <c r="J109" t="s">
        <v>25</v>
      </c>
    </row>
    <row r="110" spans="1:11" x14ac:dyDescent="0.2">
      <c r="A110" t="s">
        <v>442</v>
      </c>
      <c r="B110" t="s">
        <v>443</v>
      </c>
      <c r="C110" t="s">
        <v>444</v>
      </c>
      <c r="D110" t="s">
        <v>445</v>
      </c>
      <c r="E110" t="s">
        <v>446</v>
      </c>
      <c r="F110" s="2">
        <v>525086453</v>
      </c>
      <c r="G110" s="2">
        <v>134582032</v>
      </c>
      <c r="H110" t="s">
        <v>51</v>
      </c>
      <c r="I110" t="s">
        <v>17</v>
      </c>
      <c r="J110" t="s">
        <v>25</v>
      </c>
      <c r="K110" t="s">
        <v>447</v>
      </c>
    </row>
    <row r="111" spans="1:11" x14ac:dyDescent="0.2">
      <c r="A111" t="s">
        <v>448</v>
      </c>
      <c r="B111" t="s">
        <v>449</v>
      </c>
      <c r="C111" t="s">
        <v>450</v>
      </c>
      <c r="D111" t="s">
        <v>451</v>
      </c>
      <c r="E111" t="s">
        <v>452</v>
      </c>
      <c r="F111" s="2">
        <v>525071989</v>
      </c>
      <c r="G111" s="2">
        <v>134652987</v>
      </c>
      <c r="H111" t="s">
        <v>51</v>
      </c>
      <c r="I111" t="s">
        <v>17</v>
      </c>
      <c r="J111" t="s">
        <v>25</v>
      </c>
      <c r="K111" t="s">
        <v>453</v>
      </c>
    </row>
    <row r="112" spans="1:11" x14ac:dyDescent="0.2">
      <c r="A112" t="s">
        <v>454</v>
      </c>
      <c r="F112" s="2">
        <v>524900001</v>
      </c>
      <c r="G112" s="2">
        <v>133825068</v>
      </c>
      <c r="H112" t="s">
        <v>28</v>
      </c>
      <c r="I112" t="s">
        <v>17</v>
      </c>
      <c r="J112" t="s">
        <v>25</v>
      </c>
    </row>
    <row r="113" spans="1:11" x14ac:dyDescent="0.2">
      <c r="A113" t="s">
        <v>455</v>
      </c>
      <c r="B113" t="s">
        <v>456</v>
      </c>
      <c r="C113" t="s">
        <v>457</v>
      </c>
      <c r="D113" t="s">
        <v>458</v>
      </c>
      <c r="F113" s="2">
        <v>52489775</v>
      </c>
      <c r="G113" s="2">
        <v>133832177</v>
      </c>
      <c r="H113" t="s">
        <v>24</v>
      </c>
      <c r="I113" t="s">
        <v>17</v>
      </c>
      <c r="J113" t="s">
        <v>25</v>
      </c>
    </row>
    <row r="114" spans="1:11" x14ac:dyDescent="0.2">
      <c r="A114" t="s">
        <v>459</v>
      </c>
      <c r="C114" t="s">
        <v>460</v>
      </c>
      <c r="D114" t="s">
        <v>461</v>
      </c>
      <c r="E114" t="s">
        <v>462</v>
      </c>
      <c r="F114" s="2">
        <v>524893112</v>
      </c>
      <c r="G114" s="2">
        <v>133933939</v>
      </c>
      <c r="H114" t="s">
        <v>51</v>
      </c>
      <c r="I114" t="s">
        <v>17</v>
      </c>
      <c r="J114" t="s">
        <v>25</v>
      </c>
      <c r="K114" t="s">
        <v>463</v>
      </c>
    </row>
    <row r="115" spans="1:11" x14ac:dyDescent="0.2">
      <c r="A115" t="s">
        <v>464</v>
      </c>
      <c r="B115" t="s">
        <v>465</v>
      </c>
      <c r="E115" t="s">
        <v>466</v>
      </c>
      <c r="F115" s="2">
        <v>524586339</v>
      </c>
      <c r="G115" s="2">
        <v>131126606</v>
      </c>
      <c r="H115" t="s">
        <v>34</v>
      </c>
      <c r="I115" t="s">
        <v>17</v>
      </c>
      <c r="J115" t="s">
        <v>25</v>
      </c>
    </row>
    <row r="116" spans="1:11" x14ac:dyDescent="0.2">
      <c r="A116" t="s">
        <v>467</v>
      </c>
      <c r="B116" t="s">
        <v>468</v>
      </c>
      <c r="C116" t="s">
        <v>469</v>
      </c>
      <c r="D116" t="s">
        <v>470</v>
      </c>
      <c r="E116" t="s">
        <v>471</v>
      </c>
      <c r="F116" s="2">
        <v>52516543</v>
      </c>
      <c r="G116" s="2">
        <v>134635392</v>
      </c>
      <c r="H116" t="s">
        <v>51</v>
      </c>
      <c r="I116" t="s">
        <v>17</v>
      </c>
      <c r="J116" t="s">
        <v>25</v>
      </c>
      <c r="K116" t="s">
        <v>472</v>
      </c>
    </row>
    <row r="117" spans="1:11" x14ac:dyDescent="0.2">
      <c r="A117" t="s">
        <v>473</v>
      </c>
      <c r="B117" t="s">
        <v>474</v>
      </c>
      <c r="C117" t="s">
        <v>475</v>
      </c>
      <c r="D117" t="s">
        <v>476</v>
      </c>
      <c r="E117">
        <v>493049084579</v>
      </c>
      <c r="F117" s="2">
        <v>525131538</v>
      </c>
      <c r="G117" s="2">
        <v>134620486</v>
      </c>
      <c r="H117" t="s">
        <v>16</v>
      </c>
      <c r="I117" t="s">
        <v>17</v>
      </c>
      <c r="J117" t="s">
        <v>25</v>
      </c>
    </row>
    <row r="118" spans="1:11" x14ac:dyDescent="0.2">
      <c r="A118" t="s">
        <v>477</v>
      </c>
      <c r="B118" t="s">
        <v>478</v>
      </c>
      <c r="E118" t="s">
        <v>479</v>
      </c>
      <c r="F118" s="2">
        <v>525122684</v>
      </c>
      <c r="G118" s="2">
        <v>134614486</v>
      </c>
      <c r="H118" t="s">
        <v>34</v>
      </c>
      <c r="I118" t="s">
        <v>17</v>
      </c>
      <c r="J118" t="s">
        <v>25</v>
      </c>
    </row>
    <row r="119" spans="1:11" x14ac:dyDescent="0.2">
      <c r="A119" t="s">
        <v>480</v>
      </c>
      <c r="B119" t="s">
        <v>481</v>
      </c>
      <c r="F119" s="2">
        <v>52474763</v>
      </c>
      <c r="G119" s="2">
        <v>134469517</v>
      </c>
      <c r="H119" t="s">
        <v>28</v>
      </c>
      <c r="I119" t="s">
        <v>17</v>
      </c>
      <c r="J119" t="s">
        <v>25</v>
      </c>
    </row>
    <row r="120" spans="1:11" x14ac:dyDescent="0.2">
      <c r="A120" t="s">
        <v>482</v>
      </c>
      <c r="B120" t="s">
        <v>483</v>
      </c>
      <c r="C120" t="s">
        <v>484</v>
      </c>
      <c r="D120" t="s">
        <v>485</v>
      </c>
      <c r="E120" t="s">
        <v>486</v>
      </c>
      <c r="F120" s="2">
        <v>524742277</v>
      </c>
      <c r="G120" s="2">
        <v>134447503</v>
      </c>
      <c r="H120" t="s">
        <v>24</v>
      </c>
      <c r="I120" t="s">
        <v>17</v>
      </c>
      <c r="J120" t="s">
        <v>25</v>
      </c>
    </row>
    <row r="121" spans="1:11" x14ac:dyDescent="0.2">
      <c r="A121" t="s">
        <v>487</v>
      </c>
      <c r="B121" t="s">
        <v>488</v>
      </c>
      <c r="F121" s="2">
        <v>525264453</v>
      </c>
      <c r="G121" s="2">
        <v>133879477</v>
      </c>
      <c r="H121" t="s">
        <v>28</v>
      </c>
      <c r="I121" t="s">
        <v>17</v>
      </c>
      <c r="J121" t="s">
        <v>25</v>
      </c>
    </row>
    <row r="122" spans="1:11" x14ac:dyDescent="0.2">
      <c r="A122" t="s">
        <v>489</v>
      </c>
      <c r="B122" t="s">
        <v>490</v>
      </c>
      <c r="C122" t="s">
        <v>491</v>
      </c>
      <c r="F122" s="2">
        <v>525264338</v>
      </c>
      <c r="G122" s="2">
        <v>133877486</v>
      </c>
      <c r="H122" t="s">
        <v>255</v>
      </c>
      <c r="I122" t="s">
        <v>17</v>
      </c>
      <c r="J122" t="s">
        <v>25</v>
      </c>
    </row>
    <row r="123" spans="1:11" x14ac:dyDescent="0.2">
      <c r="A123" t="s">
        <v>492</v>
      </c>
      <c r="B123" t="s">
        <v>493</v>
      </c>
      <c r="C123" t="s">
        <v>494</v>
      </c>
      <c r="D123" t="s">
        <v>495</v>
      </c>
      <c r="E123" t="s">
        <v>496</v>
      </c>
      <c r="F123" s="2">
        <v>525259421</v>
      </c>
      <c r="G123" s="2">
        <v>133896272</v>
      </c>
      <c r="H123" t="s">
        <v>51</v>
      </c>
      <c r="I123" t="s">
        <v>17</v>
      </c>
      <c r="J123" t="s">
        <v>25</v>
      </c>
      <c r="K123" t="s">
        <v>497</v>
      </c>
    </row>
    <row r="124" spans="1:11" x14ac:dyDescent="0.2">
      <c r="A124" t="s">
        <v>498</v>
      </c>
      <c r="B124" t="s">
        <v>499</v>
      </c>
      <c r="C124" t="s">
        <v>500</v>
      </c>
      <c r="E124" t="s">
        <v>501</v>
      </c>
      <c r="F124" s="2">
        <v>525506079</v>
      </c>
      <c r="G124" s="2">
        <v>133733546</v>
      </c>
      <c r="H124" t="s">
        <v>38</v>
      </c>
      <c r="I124" t="s">
        <v>17</v>
      </c>
      <c r="J124" t="s">
        <v>25</v>
      </c>
    </row>
    <row r="125" spans="1:11" x14ac:dyDescent="0.2">
      <c r="A125" t="s">
        <v>502</v>
      </c>
      <c r="B125" t="s">
        <v>503</v>
      </c>
      <c r="C125" t="s">
        <v>504</v>
      </c>
      <c r="D125" t="s">
        <v>170</v>
      </c>
      <c r="E125" t="s">
        <v>505</v>
      </c>
      <c r="F125" s="2">
        <v>52425496</v>
      </c>
      <c r="G125" s="2">
        <v>133573392</v>
      </c>
      <c r="H125" t="s">
        <v>51</v>
      </c>
      <c r="I125" t="s">
        <v>17</v>
      </c>
      <c r="J125" t="s">
        <v>25</v>
      </c>
      <c r="K125" t="s">
        <v>172</v>
      </c>
    </row>
    <row r="126" spans="1:11" x14ac:dyDescent="0.2">
      <c r="A126" t="s">
        <v>506</v>
      </c>
      <c r="B126" t="s">
        <v>507</v>
      </c>
      <c r="C126" t="s">
        <v>508</v>
      </c>
      <c r="D126" t="s">
        <v>509</v>
      </c>
      <c r="E126" t="s">
        <v>510</v>
      </c>
      <c r="F126" s="2">
        <v>525569578</v>
      </c>
      <c r="G126" s="2">
        <v>133409564</v>
      </c>
      <c r="H126" t="s">
        <v>16</v>
      </c>
      <c r="I126" t="s">
        <v>17</v>
      </c>
      <c r="J126" t="s">
        <v>25</v>
      </c>
    </row>
    <row r="127" spans="1:11" x14ac:dyDescent="0.2">
      <c r="A127" t="s">
        <v>511</v>
      </c>
      <c r="F127" s="2">
        <v>52528823</v>
      </c>
      <c r="G127" s="2">
        <v>13342903</v>
      </c>
      <c r="H127" t="s">
        <v>28</v>
      </c>
      <c r="I127" t="s">
        <v>17</v>
      </c>
      <c r="J127" t="s">
        <v>25</v>
      </c>
    </row>
    <row r="128" spans="1:11" x14ac:dyDescent="0.2">
      <c r="A128" t="s">
        <v>512</v>
      </c>
      <c r="B128" t="s">
        <v>513</v>
      </c>
      <c r="C128" t="s">
        <v>514</v>
      </c>
      <c r="D128" t="s">
        <v>515</v>
      </c>
      <c r="E128">
        <v>493096064850</v>
      </c>
      <c r="F128" s="2">
        <v>525498822</v>
      </c>
      <c r="G128" s="2">
        <v>134626939</v>
      </c>
      <c r="H128" t="s">
        <v>24</v>
      </c>
      <c r="I128" t="s">
        <v>17</v>
      </c>
      <c r="J128" t="s">
        <v>25</v>
      </c>
    </row>
    <row r="129" spans="1:11" x14ac:dyDescent="0.2">
      <c r="A129" t="s">
        <v>516</v>
      </c>
      <c r="B129" t="s">
        <v>517</v>
      </c>
      <c r="C129" t="s">
        <v>518</v>
      </c>
      <c r="D129" t="s">
        <v>519</v>
      </c>
      <c r="E129" t="s">
        <v>520</v>
      </c>
      <c r="F129" s="2">
        <v>526350391</v>
      </c>
      <c r="G129" s="2">
        <v>134995197</v>
      </c>
      <c r="H129" t="s">
        <v>16</v>
      </c>
      <c r="I129" t="s">
        <v>17</v>
      </c>
      <c r="J129" t="s">
        <v>25</v>
      </c>
    </row>
    <row r="130" spans="1:11" x14ac:dyDescent="0.2">
      <c r="A130" t="s">
        <v>521</v>
      </c>
      <c r="B130" t="s">
        <v>522</v>
      </c>
      <c r="F130" s="2">
        <v>525453918</v>
      </c>
      <c r="G130" s="2">
        <v>134524178</v>
      </c>
      <c r="H130" t="s">
        <v>28</v>
      </c>
      <c r="I130" t="s">
        <v>17</v>
      </c>
      <c r="J130" t="s">
        <v>25</v>
      </c>
    </row>
    <row r="131" spans="1:11" x14ac:dyDescent="0.2">
      <c r="A131" t="s">
        <v>523</v>
      </c>
      <c r="B131" t="s">
        <v>524</v>
      </c>
      <c r="C131" t="s">
        <v>525</v>
      </c>
      <c r="D131" t="s">
        <v>526</v>
      </c>
      <c r="E131" t="s">
        <v>527</v>
      </c>
      <c r="F131" s="2">
        <v>52511776</v>
      </c>
      <c r="G131" s="2">
        <v>134575389</v>
      </c>
      <c r="H131" t="s">
        <v>24</v>
      </c>
      <c r="I131" t="s">
        <v>17</v>
      </c>
      <c r="J131" t="s">
        <v>25</v>
      </c>
    </row>
    <row r="132" spans="1:11" x14ac:dyDescent="0.2">
      <c r="A132" t="s">
        <v>528</v>
      </c>
      <c r="B132" t="s">
        <v>529</v>
      </c>
      <c r="C132" t="s">
        <v>530</v>
      </c>
      <c r="F132" s="2">
        <v>525118836</v>
      </c>
      <c r="G132" s="2">
        <v>134567958</v>
      </c>
      <c r="H132" t="s">
        <v>255</v>
      </c>
      <c r="I132" t="s">
        <v>17</v>
      </c>
      <c r="J132" t="s">
        <v>25</v>
      </c>
    </row>
    <row r="133" spans="1:11" x14ac:dyDescent="0.2">
      <c r="A133" t="s">
        <v>531</v>
      </c>
      <c r="B133" t="s">
        <v>532</v>
      </c>
      <c r="F133" s="2">
        <v>525091398</v>
      </c>
      <c r="G133" s="2">
        <v>134598832</v>
      </c>
      <c r="H133" t="s">
        <v>28</v>
      </c>
      <c r="I133" t="s">
        <v>17</v>
      </c>
      <c r="J133" t="s">
        <v>25</v>
      </c>
    </row>
    <row r="134" spans="1:11" x14ac:dyDescent="0.2">
      <c r="A134" t="s">
        <v>533</v>
      </c>
      <c r="B134" t="s">
        <v>534</v>
      </c>
      <c r="C134" t="s">
        <v>535</v>
      </c>
      <c r="E134" t="s">
        <v>536</v>
      </c>
      <c r="F134" s="2">
        <v>525095667</v>
      </c>
      <c r="G134" s="2">
        <v>134580847</v>
      </c>
      <c r="H134" t="s">
        <v>38</v>
      </c>
      <c r="I134" t="s">
        <v>17</v>
      </c>
      <c r="J134" t="s">
        <v>25</v>
      </c>
    </row>
    <row r="135" spans="1:11" x14ac:dyDescent="0.2">
      <c r="A135" t="s">
        <v>537</v>
      </c>
      <c r="B135" t="s">
        <v>538</v>
      </c>
      <c r="C135" t="s">
        <v>539</v>
      </c>
      <c r="E135" t="s">
        <v>540</v>
      </c>
      <c r="F135" s="2">
        <v>525124786</v>
      </c>
      <c r="G135" s="2">
        <v>134571679</v>
      </c>
      <c r="H135" t="s">
        <v>38</v>
      </c>
      <c r="I135" t="s">
        <v>17</v>
      </c>
      <c r="J135" t="s">
        <v>25</v>
      </c>
    </row>
    <row r="136" spans="1:11" x14ac:dyDescent="0.2">
      <c r="A136" t="s">
        <v>541</v>
      </c>
      <c r="B136" t="s">
        <v>542</v>
      </c>
      <c r="C136" t="s">
        <v>543</v>
      </c>
      <c r="D136" t="s">
        <v>544</v>
      </c>
      <c r="E136">
        <v>493029009920</v>
      </c>
      <c r="F136" s="2">
        <v>525133893</v>
      </c>
      <c r="G136" s="2">
        <v>134586453</v>
      </c>
      <c r="H136" t="s">
        <v>51</v>
      </c>
      <c r="I136" t="s">
        <v>17</v>
      </c>
      <c r="J136" t="s">
        <v>25</v>
      </c>
      <c r="K136" t="s">
        <v>545</v>
      </c>
    </row>
    <row r="137" spans="1:11" x14ac:dyDescent="0.2">
      <c r="A137" t="s">
        <v>546</v>
      </c>
      <c r="B137" t="s">
        <v>547</v>
      </c>
      <c r="C137" t="s">
        <v>548</v>
      </c>
      <c r="E137" t="s">
        <v>549</v>
      </c>
      <c r="F137" s="2">
        <v>525158783</v>
      </c>
      <c r="G137" s="2">
        <v>13458543</v>
      </c>
      <c r="H137" t="s">
        <v>277</v>
      </c>
      <c r="I137" t="s">
        <v>17</v>
      </c>
      <c r="J137" t="s">
        <v>25</v>
      </c>
      <c r="K137" t="s">
        <v>550</v>
      </c>
    </row>
    <row r="138" spans="1:11" x14ac:dyDescent="0.2">
      <c r="A138" t="s">
        <v>551</v>
      </c>
      <c r="B138" t="s">
        <v>552</v>
      </c>
      <c r="C138" t="s">
        <v>553</v>
      </c>
      <c r="E138" t="s">
        <v>554</v>
      </c>
      <c r="F138" s="2">
        <v>525168019</v>
      </c>
      <c r="G138" s="2">
        <v>134621382</v>
      </c>
      <c r="H138" t="s">
        <v>38</v>
      </c>
      <c r="I138" t="s">
        <v>17</v>
      </c>
      <c r="J138" t="s">
        <v>25</v>
      </c>
    </row>
    <row r="139" spans="1:11" x14ac:dyDescent="0.2">
      <c r="A139" t="s">
        <v>555</v>
      </c>
      <c r="B139" t="s">
        <v>556</v>
      </c>
      <c r="C139" t="s">
        <v>557</v>
      </c>
      <c r="E139" t="s">
        <v>558</v>
      </c>
      <c r="F139" s="2">
        <v>525174079</v>
      </c>
      <c r="G139" s="2">
        <v>134658508</v>
      </c>
      <c r="H139" t="s">
        <v>38</v>
      </c>
      <c r="I139" t="s">
        <v>17</v>
      </c>
      <c r="J139" t="s">
        <v>25</v>
      </c>
    </row>
    <row r="140" spans="1:11" x14ac:dyDescent="0.2">
      <c r="A140" t="s">
        <v>559</v>
      </c>
      <c r="B140" t="s">
        <v>560</v>
      </c>
      <c r="C140" t="s">
        <v>561</v>
      </c>
      <c r="D140" t="s">
        <v>562</v>
      </c>
      <c r="E140" t="s">
        <v>563</v>
      </c>
      <c r="F140" s="2">
        <v>52517967</v>
      </c>
      <c r="G140" s="2">
        <v>13467624</v>
      </c>
      <c r="H140" t="s">
        <v>51</v>
      </c>
      <c r="I140" t="s">
        <v>17</v>
      </c>
      <c r="J140" t="s">
        <v>25</v>
      </c>
      <c r="K140" t="s">
        <v>564</v>
      </c>
    </row>
    <row r="141" spans="1:11" x14ac:dyDescent="0.2">
      <c r="A141" t="s">
        <v>565</v>
      </c>
      <c r="B141" t="s">
        <v>566</v>
      </c>
      <c r="F141" s="2">
        <v>525153424</v>
      </c>
      <c r="G141" s="2">
        <v>13471852</v>
      </c>
      <c r="H141" t="s">
        <v>28</v>
      </c>
      <c r="I141" t="s">
        <v>17</v>
      </c>
      <c r="J141" t="s">
        <v>25</v>
      </c>
    </row>
    <row r="142" spans="1:11" x14ac:dyDescent="0.2">
      <c r="A142" t="s">
        <v>567</v>
      </c>
      <c r="B142" t="s">
        <v>568</v>
      </c>
      <c r="E142" t="s">
        <v>569</v>
      </c>
      <c r="F142" s="2">
        <v>525138719</v>
      </c>
      <c r="G142" s="2">
        <v>134709298</v>
      </c>
      <c r="H142" t="s">
        <v>34</v>
      </c>
      <c r="I142" t="s">
        <v>17</v>
      </c>
      <c r="J142" t="s">
        <v>25</v>
      </c>
    </row>
    <row r="143" spans="1:11" x14ac:dyDescent="0.2">
      <c r="A143" t="s">
        <v>570</v>
      </c>
      <c r="B143" t="s">
        <v>571</v>
      </c>
      <c r="C143" t="s">
        <v>572</v>
      </c>
      <c r="E143" t="s">
        <v>573</v>
      </c>
      <c r="F143" s="2">
        <v>525119508</v>
      </c>
      <c r="G143" s="2">
        <v>131979481</v>
      </c>
      <c r="H143" t="s">
        <v>277</v>
      </c>
      <c r="I143" t="s">
        <v>17</v>
      </c>
      <c r="J143" t="s">
        <v>25</v>
      </c>
      <c r="K143" t="s">
        <v>574</v>
      </c>
    </row>
    <row r="144" spans="1:11" x14ac:dyDescent="0.2">
      <c r="A144" t="s">
        <v>575</v>
      </c>
      <c r="F144" s="2">
        <v>524318874</v>
      </c>
      <c r="G144" s="2">
        <v>137133375</v>
      </c>
      <c r="H144" t="s">
        <v>28</v>
      </c>
      <c r="I144" t="s">
        <v>17</v>
      </c>
      <c r="J144" t="s">
        <v>25</v>
      </c>
    </row>
    <row r="145" spans="1:11" x14ac:dyDescent="0.2">
      <c r="A145" t="s">
        <v>576</v>
      </c>
      <c r="B145" t="s">
        <v>577</v>
      </c>
      <c r="C145" t="s">
        <v>578</v>
      </c>
      <c r="D145" t="s">
        <v>579</v>
      </c>
      <c r="F145" s="2">
        <v>525112327</v>
      </c>
      <c r="G145" s="2">
        <v>134608889</v>
      </c>
      <c r="H145" t="s">
        <v>304</v>
      </c>
      <c r="I145" t="s">
        <v>17</v>
      </c>
      <c r="J145" t="s">
        <v>25</v>
      </c>
      <c r="K145" t="s">
        <v>580</v>
      </c>
    </row>
    <row r="146" spans="1:11" x14ac:dyDescent="0.2">
      <c r="A146" t="s">
        <v>581</v>
      </c>
      <c r="F146" s="2">
        <v>525113289</v>
      </c>
      <c r="G146" s="2">
        <v>134585625</v>
      </c>
      <c r="H146" t="s">
        <v>28</v>
      </c>
      <c r="I146" t="s">
        <v>17</v>
      </c>
      <c r="J146" t="s">
        <v>25</v>
      </c>
    </row>
    <row r="147" spans="1:11" x14ac:dyDescent="0.2">
      <c r="A147" t="s">
        <v>582</v>
      </c>
      <c r="B147" t="s">
        <v>583</v>
      </c>
      <c r="C147" t="s">
        <v>584</v>
      </c>
      <c r="D147" t="s">
        <v>585</v>
      </c>
      <c r="E147" t="s">
        <v>586</v>
      </c>
      <c r="F147" s="2">
        <v>525116145</v>
      </c>
      <c r="G147" s="2">
        <v>134567297</v>
      </c>
      <c r="H147" t="s">
        <v>24</v>
      </c>
      <c r="I147" t="s">
        <v>17</v>
      </c>
      <c r="J147" t="s">
        <v>25</v>
      </c>
    </row>
    <row r="148" spans="1:11" x14ac:dyDescent="0.2">
      <c r="A148" t="s">
        <v>587</v>
      </c>
      <c r="B148" t="s">
        <v>588</v>
      </c>
      <c r="C148" t="s">
        <v>589</v>
      </c>
      <c r="E148" t="s">
        <v>590</v>
      </c>
      <c r="F148" s="2">
        <v>525115943</v>
      </c>
      <c r="G148" s="2">
        <v>134586892</v>
      </c>
      <c r="H148" t="s">
        <v>38</v>
      </c>
      <c r="I148" t="s">
        <v>17</v>
      </c>
      <c r="J148" t="s">
        <v>25</v>
      </c>
    </row>
    <row r="149" spans="1:11" x14ac:dyDescent="0.2">
      <c r="A149" t="s">
        <v>591</v>
      </c>
      <c r="B149" t="s">
        <v>592</v>
      </c>
      <c r="F149" s="2">
        <v>525103281</v>
      </c>
      <c r="G149" s="2">
        <v>134545378</v>
      </c>
      <c r="H149" t="s">
        <v>28</v>
      </c>
      <c r="I149" t="s">
        <v>17</v>
      </c>
      <c r="J149" t="s">
        <v>25</v>
      </c>
    </row>
    <row r="150" spans="1:11" x14ac:dyDescent="0.2">
      <c r="A150" t="s">
        <v>593</v>
      </c>
      <c r="B150" t="s">
        <v>594</v>
      </c>
      <c r="C150" t="s">
        <v>595</v>
      </c>
      <c r="E150" t="s">
        <v>596</v>
      </c>
      <c r="F150" s="2">
        <v>525124065</v>
      </c>
      <c r="G150" s="2">
        <v>13459095</v>
      </c>
      <c r="H150" t="s">
        <v>38</v>
      </c>
      <c r="I150" t="s">
        <v>17</v>
      </c>
      <c r="J150" t="s">
        <v>25</v>
      </c>
    </row>
    <row r="151" spans="1:11" x14ac:dyDescent="0.2">
      <c r="A151" t="s">
        <v>597</v>
      </c>
      <c r="B151" t="s">
        <v>598</v>
      </c>
      <c r="C151" t="s">
        <v>599</v>
      </c>
      <c r="D151" t="s">
        <v>600</v>
      </c>
      <c r="E151" t="s">
        <v>601</v>
      </c>
      <c r="F151" s="2">
        <v>525382994</v>
      </c>
      <c r="G151" s="2">
        <v>132067559</v>
      </c>
      <c r="H151" t="s">
        <v>24</v>
      </c>
      <c r="I151" t="s">
        <v>17</v>
      </c>
      <c r="J151" t="s">
        <v>25</v>
      </c>
    </row>
    <row r="152" spans="1:11" x14ac:dyDescent="0.2">
      <c r="A152" t="s">
        <v>602</v>
      </c>
      <c r="B152" t="s">
        <v>603</v>
      </c>
      <c r="C152" t="s">
        <v>604</v>
      </c>
      <c r="D152" t="s">
        <v>605</v>
      </c>
      <c r="E152">
        <v>443037591628</v>
      </c>
      <c r="F152" s="2">
        <v>525063437</v>
      </c>
      <c r="G152" s="2">
        <v>133155769</v>
      </c>
      <c r="H152" t="s">
        <v>24</v>
      </c>
      <c r="I152" t="s">
        <v>17</v>
      </c>
      <c r="J152" t="s">
        <v>25</v>
      </c>
    </row>
    <row r="153" spans="1:11" x14ac:dyDescent="0.2">
      <c r="A153" t="s">
        <v>606</v>
      </c>
      <c r="B153" t="s">
        <v>607</v>
      </c>
      <c r="C153" t="s">
        <v>608</v>
      </c>
      <c r="D153" t="s">
        <v>609</v>
      </c>
      <c r="F153" s="2">
        <v>524953274</v>
      </c>
      <c r="G153" s="2">
        <v>134303555</v>
      </c>
      <c r="H153" t="s">
        <v>51</v>
      </c>
      <c r="I153" t="s">
        <v>17</v>
      </c>
      <c r="J153" t="s">
        <v>25</v>
      </c>
      <c r="K153" t="s">
        <v>610</v>
      </c>
    </row>
    <row r="154" spans="1:11" x14ac:dyDescent="0.2">
      <c r="A154" t="s">
        <v>611</v>
      </c>
      <c r="B154" t="s">
        <v>612</v>
      </c>
      <c r="F154" s="2">
        <v>524940969</v>
      </c>
      <c r="G154" s="2">
        <v>134286005</v>
      </c>
      <c r="H154" t="s">
        <v>28</v>
      </c>
      <c r="I154" t="s">
        <v>17</v>
      </c>
      <c r="J154" t="s">
        <v>25</v>
      </c>
    </row>
    <row r="155" spans="1:11" x14ac:dyDescent="0.2">
      <c r="A155" t="s">
        <v>613</v>
      </c>
      <c r="B155" t="s">
        <v>614</v>
      </c>
      <c r="E155">
        <v>493061101695</v>
      </c>
      <c r="F155" s="2">
        <v>524919428</v>
      </c>
      <c r="G155" s="2">
        <v>134211845</v>
      </c>
      <c r="H155" t="s">
        <v>34</v>
      </c>
      <c r="I155" t="s">
        <v>17</v>
      </c>
      <c r="J155" t="s">
        <v>25</v>
      </c>
    </row>
    <row r="156" spans="1:11" x14ac:dyDescent="0.2">
      <c r="A156" t="s">
        <v>615</v>
      </c>
      <c r="B156" t="s">
        <v>616</v>
      </c>
      <c r="F156" s="2">
        <v>524929941</v>
      </c>
      <c r="G156" s="2">
        <v>134143954</v>
      </c>
      <c r="H156" t="s">
        <v>28</v>
      </c>
      <c r="I156" t="s">
        <v>17</v>
      </c>
      <c r="J156" t="s">
        <v>25</v>
      </c>
    </row>
    <row r="157" spans="1:11" x14ac:dyDescent="0.2">
      <c r="A157" t="s">
        <v>617</v>
      </c>
      <c r="B157" t="s">
        <v>618</v>
      </c>
      <c r="C157" t="s">
        <v>619</v>
      </c>
      <c r="E157" t="s">
        <v>620</v>
      </c>
      <c r="F157" s="2">
        <v>524989849</v>
      </c>
      <c r="G157" s="2">
        <v>134642845</v>
      </c>
      <c r="H157" t="s">
        <v>38</v>
      </c>
      <c r="I157" t="s">
        <v>17</v>
      </c>
      <c r="J157" t="s">
        <v>25</v>
      </c>
    </row>
    <row r="158" spans="1:11" x14ac:dyDescent="0.2">
      <c r="A158" t="s">
        <v>621</v>
      </c>
      <c r="B158" t="s">
        <v>622</v>
      </c>
      <c r="C158" t="s">
        <v>623</v>
      </c>
      <c r="D158" t="s">
        <v>624</v>
      </c>
      <c r="E158" t="s">
        <v>625</v>
      </c>
      <c r="F158" s="2">
        <v>525609827</v>
      </c>
      <c r="G158" s="2">
        <v>134237284</v>
      </c>
      <c r="H158" t="s">
        <v>16</v>
      </c>
      <c r="I158" t="s">
        <v>17</v>
      </c>
      <c r="J158" t="s">
        <v>25</v>
      </c>
    </row>
    <row r="159" spans="1:11" x14ac:dyDescent="0.2">
      <c r="A159" t="s">
        <v>626</v>
      </c>
      <c r="B159" t="s">
        <v>627</v>
      </c>
      <c r="C159" t="s">
        <v>628</v>
      </c>
      <c r="D159" t="s">
        <v>629</v>
      </c>
      <c r="E159" t="s">
        <v>630</v>
      </c>
      <c r="F159" s="2">
        <v>524925901</v>
      </c>
      <c r="G159" s="2">
        <v>134171934</v>
      </c>
      <c r="H159" t="s">
        <v>24</v>
      </c>
      <c r="I159" t="s">
        <v>17</v>
      </c>
      <c r="J159" t="s">
        <v>25</v>
      </c>
    </row>
    <row r="160" spans="1:11" x14ac:dyDescent="0.2">
      <c r="A160" t="s">
        <v>631</v>
      </c>
      <c r="B160" t="s">
        <v>632</v>
      </c>
      <c r="C160" t="s">
        <v>633</v>
      </c>
      <c r="E160" t="s">
        <v>634</v>
      </c>
      <c r="F160" s="2">
        <v>525203123</v>
      </c>
      <c r="G160" s="2">
        <v>131877687</v>
      </c>
      <c r="H160" t="s">
        <v>38</v>
      </c>
      <c r="I160" t="s">
        <v>17</v>
      </c>
      <c r="J160" t="s">
        <v>25</v>
      </c>
    </row>
    <row r="161" spans="1:11" x14ac:dyDescent="0.2">
      <c r="A161" t="s">
        <v>635</v>
      </c>
      <c r="B161" t="s">
        <v>636</v>
      </c>
      <c r="C161" t="s">
        <v>637</v>
      </c>
      <c r="D161" t="s">
        <v>638</v>
      </c>
      <c r="E161" t="s">
        <v>639</v>
      </c>
      <c r="F161" s="2">
        <v>52542687</v>
      </c>
      <c r="G161" s="2">
        <v>134382723</v>
      </c>
      <c r="H161" t="s">
        <v>51</v>
      </c>
      <c r="I161" t="s">
        <v>17</v>
      </c>
      <c r="J161" t="s">
        <v>25</v>
      </c>
      <c r="K161" t="s">
        <v>640</v>
      </c>
    </row>
    <row r="162" spans="1:11" x14ac:dyDescent="0.2">
      <c r="A162" t="s">
        <v>641</v>
      </c>
      <c r="B162" t="s">
        <v>642</v>
      </c>
      <c r="F162" s="2">
        <v>525124653</v>
      </c>
      <c r="G162" s="2">
        <v>134588561</v>
      </c>
      <c r="H162" t="s">
        <v>28</v>
      </c>
      <c r="I162" t="s">
        <v>17</v>
      </c>
      <c r="J162" t="s">
        <v>25</v>
      </c>
    </row>
    <row r="163" spans="1:11" x14ac:dyDescent="0.2">
      <c r="A163" t="s">
        <v>643</v>
      </c>
      <c r="B163" t="s">
        <v>642</v>
      </c>
      <c r="E163" t="s">
        <v>644</v>
      </c>
      <c r="F163" s="2">
        <v>525124787</v>
      </c>
      <c r="G163" s="2">
        <v>134587818</v>
      </c>
      <c r="H163" t="s">
        <v>34</v>
      </c>
      <c r="I163" t="s">
        <v>17</v>
      </c>
      <c r="J163" t="s">
        <v>25</v>
      </c>
    </row>
    <row r="164" spans="1:11" x14ac:dyDescent="0.2">
      <c r="A164" t="s">
        <v>645</v>
      </c>
      <c r="F164" s="2">
        <v>525953151</v>
      </c>
      <c r="G164" s="2">
        <v>133353055</v>
      </c>
      <c r="H164" t="s">
        <v>28</v>
      </c>
      <c r="I164" t="s">
        <v>17</v>
      </c>
      <c r="J164" t="s">
        <v>25</v>
      </c>
    </row>
    <row r="165" spans="1:11" x14ac:dyDescent="0.2">
      <c r="A165" t="s">
        <v>646</v>
      </c>
      <c r="F165" s="2">
        <v>524268637</v>
      </c>
      <c r="G165" s="2">
        <v>136290994</v>
      </c>
      <c r="H165" t="s">
        <v>28</v>
      </c>
      <c r="I165" t="s">
        <v>17</v>
      </c>
      <c r="J165" t="s">
        <v>25</v>
      </c>
    </row>
    <row r="166" spans="1:11" x14ac:dyDescent="0.2">
      <c r="A166" t="s">
        <v>647</v>
      </c>
      <c r="B166" t="s">
        <v>648</v>
      </c>
      <c r="C166" t="s">
        <v>649</v>
      </c>
      <c r="F166" s="2">
        <v>525076989</v>
      </c>
      <c r="G166" s="2">
        <v>133180576</v>
      </c>
      <c r="H166" t="s">
        <v>255</v>
      </c>
      <c r="I166" t="s">
        <v>17</v>
      </c>
      <c r="J166" t="s">
        <v>25</v>
      </c>
    </row>
    <row r="167" spans="1:11" x14ac:dyDescent="0.2">
      <c r="A167" t="s">
        <v>650</v>
      </c>
      <c r="C167" t="s">
        <v>651</v>
      </c>
      <c r="F167" s="2">
        <v>524977937</v>
      </c>
      <c r="G167" s="2">
        <v>133246353</v>
      </c>
      <c r="H167" t="s">
        <v>38</v>
      </c>
      <c r="I167" t="s">
        <v>17</v>
      </c>
      <c r="J167" t="s">
        <v>25</v>
      </c>
    </row>
    <row r="168" spans="1:11" x14ac:dyDescent="0.2">
      <c r="A168" t="s">
        <v>652</v>
      </c>
      <c r="B168" t="s">
        <v>653</v>
      </c>
      <c r="C168" t="s">
        <v>654</v>
      </c>
      <c r="D168" t="s">
        <v>655</v>
      </c>
      <c r="E168" t="s">
        <v>656</v>
      </c>
      <c r="F168" s="2">
        <v>52506665</v>
      </c>
      <c r="G168" s="2">
        <v>133098529</v>
      </c>
      <c r="H168" t="s">
        <v>51</v>
      </c>
      <c r="I168" t="s">
        <v>17</v>
      </c>
      <c r="J168" t="s">
        <v>25</v>
      </c>
      <c r="K168" t="s">
        <v>657</v>
      </c>
    </row>
    <row r="169" spans="1:11" x14ac:dyDescent="0.2">
      <c r="A169" t="s">
        <v>658</v>
      </c>
      <c r="F169" s="2">
        <v>525924426</v>
      </c>
      <c r="G169" s="2">
        <v>133263936</v>
      </c>
      <c r="H169" t="s">
        <v>28</v>
      </c>
      <c r="I169" t="s">
        <v>17</v>
      </c>
      <c r="J169" t="s">
        <v>25</v>
      </c>
    </row>
    <row r="170" spans="1:11" x14ac:dyDescent="0.2">
      <c r="A170" t="s">
        <v>659</v>
      </c>
      <c r="B170" t="s">
        <v>660</v>
      </c>
      <c r="C170" t="s">
        <v>661</v>
      </c>
      <c r="D170" t="s">
        <v>662</v>
      </c>
      <c r="E170" t="s">
        <v>663</v>
      </c>
      <c r="F170" s="2">
        <v>525134101</v>
      </c>
      <c r="G170" s="2">
        <v>134480647</v>
      </c>
      <c r="H170" t="s">
        <v>51</v>
      </c>
      <c r="I170" t="s">
        <v>17</v>
      </c>
      <c r="J170" t="s">
        <v>25</v>
      </c>
      <c r="K170" t="s">
        <v>664</v>
      </c>
    </row>
    <row r="171" spans="1:11" x14ac:dyDescent="0.2">
      <c r="A171" t="s">
        <v>665</v>
      </c>
      <c r="B171" t="s">
        <v>666</v>
      </c>
      <c r="C171" t="s">
        <v>667</v>
      </c>
      <c r="D171" t="s">
        <v>668</v>
      </c>
      <c r="E171" t="s">
        <v>669</v>
      </c>
      <c r="F171" s="2">
        <v>525417561</v>
      </c>
      <c r="G171" s="2">
        <v>131993753</v>
      </c>
      <c r="H171" t="s">
        <v>24</v>
      </c>
      <c r="I171" t="s">
        <v>17</v>
      </c>
      <c r="J171" t="s">
        <v>25</v>
      </c>
    </row>
    <row r="172" spans="1:11" x14ac:dyDescent="0.2">
      <c r="A172" t="s">
        <v>670</v>
      </c>
      <c r="C172" t="s">
        <v>671</v>
      </c>
      <c r="E172" t="s">
        <v>672</v>
      </c>
      <c r="F172" s="2">
        <v>524147548</v>
      </c>
      <c r="G172" s="2">
        <v>131769686</v>
      </c>
      <c r="H172" t="s">
        <v>38</v>
      </c>
      <c r="I172" t="s">
        <v>17</v>
      </c>
      <c r="J172" t="s">
        <v>25</v>
      </c>
    </row>
    <row r="173" spans="1:11" x14ac:dyDescent="0.2">
      <c r="A173" t="s">
        <v>673</v>
      </c>
      <c r="B173" t="s">
        <v>493</v>
      </c>
      <c r="C173" t="s">
        <v>674</v>
      </c>
      <c r="E173">
        <v>493028040505</v>
      </c>
      <c r="F173" s="2">
        <v>525259949</v>
      </c>
      <c r="G173" s="2">
        <v>133894424</v>
      </c>
      <c r="H173" t="s">
        <v>38</v>
      </c>
      <c r="I173" t="s">
        <v>17</v>
      </c>
      <c r="J173" t="s">
        <v>25</v>
      </c>
    </row>
    <row r="174" spans="1:11" x14ac:dyDescent="0.2">
      <c r="A174" t="s">
        <v>675</v>
      </c>
      <c r="B174" t="s">
        <v>676</v>
      </c>
      <c r="F174" s="2">
        <v>524913193</v>
      </c>
      <c r="G174" s="2">
        <v>134201402</v>
      </c>
      <c r="H174" t="s">
        <v>28</v>
      </c>
      <c r="I174" t="s">
        <v>17</v>
      </c>
      <c r="J174" t="s">
        <v>25</v>
      </c>
    </row>
    <row r="175" spans="1:11" x14ac:dyDescent="0.2">
      <c r="A175" t="s">
        <v>677</v>
      </c>
      <c r="B175" t="s">
        <v>678</v>
      </c>
      <c r="E175" t="s">
        <v>679</v>
      </c>
      <c r="F175" s="2">
        <v>524949133</v>
      </c>
      <c r="G175" s="2">
        <v>134155131</v>
      </c>
      <c r="H175" t="s">
        <v>34</v>
      </c>
      <c r="I175" t="s">
        <v>17</v>
      </c>
      <c r="J175" t="s">
        <v>25</v>
      </c>
    </row>
    <row r="176" spans="1:11" x14ac:dyDescent="0.2">
      <c r="A176" t="s">
        <v>680</v>
      </c>
      <c r="B176" t="s">
        <v>681</v>
      </c>
      <c r="C176" t="s">
        <v>682</v>
      </c>
      <c r="E176">
        <v>49305675283</v>
      </c>
      <c r="F176" s="2">
        <v>524955607</v>
      </c>
      <c r="G176" s="2">
        <v>136113563</v>
      </c>
      <c r="H176" t="s">
        <v>277</v>
      </c>
      <c r="I176" t="s">
        <v>17</v>
      </c>
      <c r="J176" t="s">
        <v>25</v>
      </c>
      <c r="K176" t="s">
        <v>683</v>
      </c>
    </row>
    <row r="177" spans="1:11" x14ac:dyDescent="0.2">
      <c r="A177" t="s">
        <v>684</v>
      </c>
      <c r="B177" t="s">
        <v>685</v>
      </c>
      <c r="C177" t="s">
        <v>686</v>
      </c>
      <c r="D177" t="s">
        <v>687</v>
      </c>
      <c r="E177" t="s">
        <v>688</v>
      </c>
      <c r="F177" s="2">
        <v>525200654</v>
      </c>
      <c r="G177" s="2">
        <v>133469194</v>
      </c>
      <c r="H177" t="s">
        <v>51</v>
      </c>
      <c r="I177" t="s">
        <v>17</v>
      </c>
      <c r="J177" t="s">
        <v>25</v>
      </c>
      <c r="K177" t="s">
        <v>689</v>
      </c>
    </row>
    <row r="178" spans="1:11" x14ac:dyDescent="0.2">
      <c r="A178" t="s">
        <v>690</v>
      </c>
      <c r="B178" t="s">
        <v>691</v>
      </c>
      <c r="F178" s="2">
        <v>524923209</v>
      </c>
      <c r="G178" s="2">
        <v>134182784</v>
      </c>
      <c r="H178" t="s">
        <v>28</v>
      </c>
      <c r="I178" t="s">
        <v>17</v>
      </c>
      <c r="J178" t="s">
        <v>25</v>
      </c>
    </row>
    <row r="179" spans="1:11" x14ac:dyDescent="0.2">
      <c r="A179" t="s">
        <v>692</v>
      </c>
      <c r="B179" t="s">
        <v>693</v>
      </c>
      <c r="C179" t="s">
        <v>694</v>
      </c>
      <c r="D179" t="s">
        <v>695</v>
      </c>
      <c r="E179" t="s">
        <v>696</v>
      </c>
      <c r="F179" s="2">
        <v>524814663</v>
      </c>
      <c r="G179" s="2">
        <v>133483784</v>
      </c>
      <c r="H179" t="s">
        <v>24</v>
      </c>
      <c r="I179" t="s">
        <v>17</v>
      </c>
      <c r="J179" t="s">
        <v>25</v>
      </c>
    </row>
    <row r="180" spans="1:11" x14ac:dyDescent="0.2">
      <c r="A180" t="s">
        <v>697</v>
      </c>
      <c r="F180" s="2">
        <v>526331209</v>
      </c>
      <c r="G180" s="2">
        <v>132886358</v>
      </c>
      <c r="H180" t="s">
        <v>28</v>
      </c>
      <c r="I180" t="s">
        <v>17</v>
      </c>
      <c r="J180" t="s">
        <v>25</v>
      </c>
    </row>
    <row r="181" spans="1:11" x14ac:dyDescent="0.2">
      <c r="A181" t="s">
        <v>698</v>
      </c>
      <c r="B181" t="s">
        <v>699</v>
      </c>
      <c r="C181" t="s">
        <v>700</v>
      </c>
      <c r="E181" t="s">
        <v>701</v>
      </c>
      <c r="F181" s="2">
        <v>525881097</v>
      </c>
      <c r="G181" s="2">
        <v>132855979</v>
      </c>
      <c r="H181" t="s">
        <v>38</v>
      </c>
      <c r="I181" t="s">
        <v>17</v>
      </c>
      <c r="J181" t="s">
        <v>25</v>
      </c>
    </row>
    <row r="182" spans="1:11" ht="17" x14ac:dyDescent="0.2">
      <c r="A182" s="1" t="s">
        <v>702</v>
      </c>
    </row>
    <row r="183" spans="1:11" x14ac:dyDescent="0.2">
      <c r="A183" t="s">
        <v>703</v>
      </c>
      <c r="B183" t="s">
        <v>704</v>
      </c>
      <c r="C183" t="s">
        <v>705</v>
      </c>
      <c r="E183" t="s">
        <v>706</v>
      </c>
      <c r="F183" s="2">
        <v>525442796</v>
      </c>
      <c r="G183" s="2">
        <v>132040241</v>
      </c>
      <c r="H183" t="s">
        <v>38</v>
      </c>
      <c r="I183" t="s">
        <v>17</v>
      </c>
      <c r="J183" t="s">
        <v>25</v>
      </c>
    </row>
    <row r="184" spans="1:11" x14ac:dyDescent="0.2">
      <c r="A184" t="s">
        <v>707</v>
      </c>
      <c r="B184" t="s">
        <v>708</v>
      </c>
      <c r="E184" t="s">
        <v>709</v>
      </c>
      <c r="F184" s="2">
        <v>52544422</v>
      </c>
      <c r="G184" s="2">
        <v>132043698</v>
      </c>
      <c r="H184" t="s">
        <v>34</v>
      </c>
      <c r="I184" t="s">
        <v>17</v>
      </c>
      <c r="J184" t="s">
        <v>25</v>
      </c>
    </row>
    <row r="185" spans="1:11" x14ac:dyDescent="0.2">
      <c r="A185" t="s">
        <v>710</v>
      </c>
      <c r="B185" t="s">
        <v>711</v>
      </c>
      <c r="C185" t="s">
        <v>712</v>
      </c>
      <c r="E185" t="s">
        <v>713</v>
      </c>
      <c r="F185" s="2">
        <v>526196845</v>
      </c>
      <c r="G185" s="2">
        <v>133134918</v>
      </c>
      <c r="H185" t="s">
        <v>277</v>
      </c>
      <c r="I185" t="s">
        <v>17</v>
      </c>
      <c r="J185" t="s">
        <v>25</v>
      </c>
      <c r="K185" t="s">
        <v>714</v>
      </c>
    </row>
    <row r="186" spans="1:11" x14ac:dyDescent="0.2">
      <c r="A186" t="s">
        <v>715</v>
      </c>
      <c r="B186" t="s">
        <v>716</v>
      </c>
      <c r="E186">
        <v>493040584815</v>
      </c>
      <c r="F186" s="2">
        <v>526178576</v>
      </c>
      <c r="G186" s="2">
        <v>133270593</v>
      </c>
      <c r="H186" t="s">
        <v>34</v>
      </c>
      <c r="I186" t="s">
        <v>17</v>
      </c>
      <c r="J186" t="s">
        <v>25</v>
      </c>
    </row>
    <row r="187" spans="1:11" x14ac:dyDescent="0.2">
      <c r="A187" t="s">
        <v>717</v>
      </c>
      <c r="B187" t="s">
        <v>718</v>
      </c>
      <c r="C187" t="s">
        <v>719</v>
      </c>
      <c r="D187" t="s">
        <v>720</v>
      </c>
      <c r="E187" t="s">
        <v>721</v>
      </c>
      <c r="F187" s="2">
        <v>526201531</v>
      </c>
      <c r="G187" s="2">
        <v>133563271</v>
      </c>
      <c r="H187" t="s">
        <v>24</v>
      </c>
      <c r="I187" t="s">
        <v>17</v>
      </c>
      <c r="J187" t="s">
        <v>25</v>
      </c>
    </row>
    <row r="188" spans="1:11" x14ac:dyDescent="0.2">
      <c r="A188" t="s">
        <v>722</v>
      </c>
      <c r="B188" t="s">
        <v>723</v>
      </c>
      <c r="C188" t="s">
        <v>724</v>
      </c>
      <c r="E188" t="s">
        <v>725</v>
      </c>
      <c r="F188" s="2">
        <v>525003573</v>
      </c>
      <c r="G188" s="2">
        <v>133075025</v>
      </c>
      <c r="H188" t="s">
        <v>38</v>
      </c>
      <c r="I188" t="s">
        <v>17</v>
      </c>
      <c r="J188" t="s">
        <v>25</v>
      </c>
    </row>
    <row r="189" spans="1:11" x14ac:dyDescent="0.2">
      <c r="A189" t="s">
        <v>726</v>
      </c>
      <c r="B189" t="s">
        <v>727</v>
      </c>
      <c r="C189" t="s">
        <v>728</v>
      </c>
      <c r="D189" t="s">
        <v>729</v>
      </c>
      <c r="E189" t="s">
        <v>730</v>
      </c>
      <c r="F189" s="2">
        <v>525428561</v>
      </c>
      <c r="G189" s="2">
        <v>133764121</v>
      </c>
      <c r="H189" t="s">
        <v>16</v>
      </c>
      <c r="I189" t="s">
        <v>17</v>
      </c>
      <c r="J189" t="s">
        <v>25</v>
      </c>
    </row>
    <row r="190" spans="1:11" x14ac:dyDescent="0.2">
      <c r="A190" t="s">
        <v>731</v>
      </c>
      <c r="B190" t="s">
        <v>732</v>
      </c>
      <c r="C190" t="s">
        <v>733</v>
      </c>
      <c r="D190" t="s">
        <v>734</v>
      </c>
      <c r="F190" s="2">
        <v>52544969</v>
      </c>
      <c r="G190" s="2">
        <v>133682112</v>
      </c>
      <c r="H190" t="s">
        <v>16</v>
      </c>
      <c r="I190" t="s">
        <v>17</v>
      </c>
      <c r="J190" t="s">
        <v>25</v>
      </c>
    </row>
    <row r="191" spans="1:11" x14ac:dyDescent="0.2">
      <c r="A191" t="s">
        <v>735</v>
      </c>
      <c r="B191" t="s">
        <v>736</v>
      </c>
      <c r="F191" s="2">
        <v>525069518</v>
      </c>
      <c r="G191" s="2">
        <v>132980143</v>
      </c>
      <c r="H191" t="s">
        <v>28</v>
      </c>
      <c r="I191" t="s">
        <v>17</v>
      </c>
      <c r="J191" t="s">
        <v>25</v>
      </c>
    </row>
    <row r="192" spans="1:11" x14ac:dyDescent="0.2">
      <c r="A192" t="s">
        <v>737</v>
      </c>
      <c r="B192" t="s">
        <v>738</v>
      </c>
      <c r="C192" t="s">
        <v>739</v>
      </c>
      <c r="D192" t="s">
        <v>740</v>
      </c>
      <c r="E192" t="s">
        <v>741</v>
      </c>
      <c r="F192" s="2">
        <v>525103534</v>
      </c>
      <c r="G192" s="2">
        <v>13291892</v>
      </c>
      <c r="H192" t="s">
        <v>24</v>
      </c>
      <c r="I192" t="s">
        <v>17</v>
      </c>
      <c r="J192" t="s">
        <v>25</v>
      </c>
    </row>
    <row r="193" spans="1:11" x14ac:dyDescent="0.2">
      <c r="A193" t="s">
        <v>742</v>
      </c>
      <c r="B193" t="s">
        <v>743</v>
      </c>
      <c r="C193" t="s">
        <v>744</v>
      </c>
      <c r="E193" t="s">
        <v>745</v>
      </c>
      <c r="F193" s="2">
        <v>524666443</v>
      </c>
      <c r="G193" s="2">
        <v>133249631</v>
      </c>
      <c r="H193" t="s">
        <v>38</v>
      </c>
      <c r="I193" t="s">
        <v>17</v>
      </c>
      <c r="J193" t="s">
        <v>25</v>
      </c>
    </row>
    <row r="194" spans="1:11" x14ac:dyDescent="0.2">
      <c r="A194" t="s">
        <v>746</v>
      </c>
      <c r="B194" t="s">
        <v>747</v>
      </c>
      <c r="C194" t="s">
        <v>748</v>
      </c>
      <c r="D194" t="s">
        <v>749</v>
      </c>
      <c r="E194" t="s">
        <v>750</v>
      </c>
      <c r="F194" s="2">
        <v>525278248</v>
      </c>
      <c r="G194" s="2">
        <v>134517323</v>
      </c>
      <c r="H194" t="s">
        <v>51</v>
      </c>
      <c r="I194" t="s">
        <v>17</v>
      </c>
      <c r="J194" t="s">
        <v>25</v>
      </c>
      <c r="K194" t="s">
        <v>751</v>
      </c>
    </row>
    <row r="195" spans="1:11" x14ac:dyDescent="0.2">
      <c r="A195" t="s">
        <v>752</v>
      </c>
      <c r="B195" t="s">
        <v>753</v>
      </c>
      <c r="C195" t="s">
        <v>754</v>
      </c>
      <c r="D195" t="s">
        <v>755</v>
      </c>
      <c r="E195">
        <v>493025931200</v>
      </c>
      <c r="F195" s="2">
        <v>525232113</v>
      </c>
      <c r="G195" s="2">
        <v>134533349</v>
      </c>
      <c r="H195" t="s">
        <v>24</v>
      </c>
      <c r="I195" t="s">
        <v>17</v>
      </c>
      <c r="J195" t="s">
        <v>25</v>
      </c>
    </row>
    <row r="196" spans="1:11" x14ac:dyDescent="0.2">
      <c r="A196" t="s">
        <v>756</v>
      </c>
      <c r="B196" t="s">
        <v>757</v>
      </c>
      <c r="C196" t="s">
        <v>758</v>
      </c>
      <c r="D196" t="s">
        <v>759</v>
      </c>
      <c r="E196" t="s">
        <v>760</v>
      </c>
      <c r="F196" s="2">
        <v>525557801</v>
      </c>
      <c r="G196" s="2">
        <v>134342268</v>
      </c>
      <c r="H196" t="s">
        <v>24</v>
      </c>
      <c r="I196" t="s">
        <v>17</v>
      </c>
      <c r="J196" t="s">
        <v>25</v>
      </c>
    </row>
    <row r="197" spans="1:11" x14ac:dyDescent="0.2">
      <c r="A197" t="s">
        <v>761</v>
      </c>
      <c r="B197" t="s">
        <v>762</v>
      </c>
      <c r="C197" t="s">
        <v>763</v>
      </c>
      <c r="D197" t="s">
        <v>764</v>
      </c>
      <c r="E197" t="s">
        <v>765</v>
      </c>
      <c r="F197" s="2">
        <v>525884273</v>
      </c>
      <c r="G197" s="2">
        <v>132747189</v>
      </c>
      <c r="H197" t="s">
        <v>24</v>
      </c>
      <c r="I197" t="s">
        <v>17</v>
      </c>
      <c r="J197" t="s">
        <v>25</v>
      </c>
    </row>
    <row r="198" spans="1:11" x14ac:dyDescent="0.2">
      <c r="A198" t="s">
        <v>766</v>
      </c>
      <c r="B198" t="s">
        <v>767</v>
      </c>
      <c r="F198" s="2">
        <v>525458705</v>
      </c>
      <c r="G198" s="2">
        <v>133578292</v>
      </c>
      <c r="H198" t="s">
        <v>28</v>
      </c>
      <c r="I198" t="s">
        <v>17</v>
      </c>
      <c r="J198" t="s">
        <v>25</v>
      </c>
    </row>
    <row r="199" spans="1:11" x14ac:dyDescent="0.2">
      <c r="A199" t="s">
        <v>768</v>
      </c>
      <c r="B199" t="s">
        <v>769</v>
      </c>
      <c r="C199" t="s">
        <v>770</v>
      </c>
      <c r="E199">
        <v>4915170828695</v>
      </c>
      <c r="F199" s="2">
        <v>524296331</v>
      </c>
      <c r="G199" s="2">
        <v>135374711</v>
      </c>
      <c r="H199" t="s">
        <v>277</v>
      </c>
      <c r="I199" t="s">
        <v>17</v>
      </c>
      <c r="J199" t="s">
        <v>25</v>
      </c>
      <c r="K199" t="s">
        <v>771</v>
      </c>
    </row>
    <row r="200" spans="1:11" x14ac:dyDescent="0.2">
      <c r="A200" t="s">
        <v>772</v>
      </c>
      <c r="B200" t="s">
        <v>773</v>
      </c>
      <c r="F200" s="2">
        <v>525201134</v>
      </c>
      <c r="G200" s="2">
        <v>13449987</v>
      </c>
      <c r="H200" t="s">
        <v>28</v>
      </c>
      <c r="I200" t="s">
        <v>17</v>
      </c>
      <c r="J200" t="s">
        <v>25</v>
      </c>
    </row>
    <row r="201" spans="1:11" x14ac:dyDescent="0.2">
      <c r="A201" t="s">
        <v>774</v>
      </c>
      <c r="B201" t="s">
        <v>775</v>
      </c>
      <c r="C201" t="s">
        <v>776</v>
      </c>
      <c r="D201" t="s">
        <v>777</v>
      </c>
      <c r="E201" t="s">
        <v>778</v>
      </c>
      <c r="F201" s="2">
        <v>525222924</v>
      </c>
      <c r="G201" s="2">
        <v>134497069</v>
      </c>
      <c r="H201" t="s">
        <v>16</v>
      </c>
      <c r="I201" t="s">
        <v>17</v>
      </c>
      <c r="J201" t="s">
        <v>25</v>
      </c>
    </row>
    <row r="202" spans="1:11" x14ac:dyDescent="0.2">
      <c r="A202" t="s">
        <v>779</v>
      </c>
      <c r="C202" t="s">
        <v>780</v>
      </c>
      <c r="F202" s="2">
        <v>524599593</v>
      </c>
      <c r="G202" s="2">
        <v>133121913</v>
      </c>
      <c r="H202" t="s">
        <v>255</v>
      </c>
      <c r="I202" t="s">
        <v>17</v>
      </c>
      <c r="J202" t="s">
        <v>25</v>
      </c>
    </row>
    <row r="203" spans="1:11" x14ac:dyDescent="0.2">
      <c r="A203" t="s">
        <v>781</v>
      </c>
      <c r="B203" t="s">
        <v>782</v>
      </c>
      <c r="C203" t="s">
        <v>783</v>
      </c>
      <c r="E203" t="s">
        <v>784</v>
      </c>
      <c r="F203" s="2">
        <v>525148686</v>
      </c>
      <c r="G203" s="2">
        <v>133811135</v>
      </c>
      <c r="H203" t="s">
        <v>38</v>
      </c>
      <c r="I203" t="s">
        <v>17</v>
      </c>
      <c r="J203" t="s">
        <v>25</v>
      </c>
    </row>
    <row r="204" spans="1:11" x14ac:dyDescent="0.2">
      <c r="A204" t="s">
        <v>785</v>
      </c>
      <c r="B204" t="s">
        <v>786</v>
      </c>
      <c r="F204" s="2">
        <v>525217</v>
      </c>
      <c r="G204" s="2">
        <v>134352292</v>
      </c>
      <c r="H204" t="s">
        <v>28</v>
      </c>
      <c r="I204" t="s">
        <v>17</v>
      </c>
      <c r="J204" t="s">
        <v>25</v>
      </c>
    </row>
    <row r="205" spans="1:11" x14ac:dyDescent="0.2">
      <c r="A205" t="s">
        <v>787</v>
      </c>
      <c r="B205" t="s">
        <v>788</v>
      </c>
      <c r="C205" t="s">
        <v>789</v>
      </c>
      <c r="D205" t="s">
        <v>790</v>
      </c>
      <c r="E205" t="s">
        <v>791</v>
      </c>
      <c r="F205" s="2">
        <v>525296371</v>
      </c>
      <c r="G205" s="2">
        <v>134363335</v>
      </c>
      <c r="H205" t="s">
        <v>51</v>
      </c>
      <c r="I205" t="s">
        <v>17</v>
      </c>
      <c r="J205" t="s">
        <v>25</v>
      </c>
      <c r="K205" t="s">
        <v>792</v>
      </c>
    </row>
    <row r="206" spans="1:11" x14ac:dyDescent="0.2">
      <c r="A206" t="s">
        <v>793</v>
      </c>
      <c r="B206" t="s">
        <v>794</v>
      </c>
      <c r="F206" s="2">
        <v>525163455</v>
      </c>
      <c r="G206" s="2">
        <v>134455639</v>
      </c>
      <c r="H206" t="s">
        <v>28</v>
      </c>
      <c r="I206" t="s">
        <v>17</v>
      </c>
      <c r="J206" t="s">
        <v>25</v>
      </c>
    </row>
    <row r="207" spans="1:11" x14ac:dyDescent="0.2">
      <c r="A207" t="s">
        <v>795</v>
      </c>
      <c r="B207" t="s">
        <v>796</v>
      </c>
      <c r="C207" t="s">
        <v>797</v>
      </c>
      <c r="D207" t="s">
        <v>798</v>
      </c>
      <c r="E207" t="s">
        <v>799</v>
      </c>
      <c r="F207" s="2">
        <v>52534207</v>
      </c>
      <c r="G207" s="2">
        <v>13405011</v>
      </c>
      <c r="H207" t="s">
        <v>51</v>
      </c>
      <c r="I207" t="s">
        <v>17</v>
      </c>
      <c r="J207" t="s">
        <v>25</v>
      </c>
      <c r="K207" t="s">
        <v>800</v>
      </c>
    </row>
    <row r="208" spans="1:11" x14ac:dyDescent="0.2">
      <c r="A208" t="s">
        <v>801</v>
      </c>
      <c r="B208" t="s">
        <v>802</v>
      </c>
      <c r="C208" t="s">
        <v>803</v>
      </c>
      <c r="E208" t="s">
        <v>804</v>
      </c>
      <c r="F208" s="2">
        <v>525339909</v>
      </c>
      <c r="G208" s="2">
        <v>134048341</v>
      </c>
      <c r="H208" t="s">
        <v>38</v>
      </c>
      <c r="I208" t="s">
        <v>17</v>
      </c>
      <c r="J208" t="s">
        <v>25</v>
      </c>
    </row>
    <row r="209" spans="1:11" x14ac:dyDescent="0.2">
      <c r="A209" t="s">
        <v>805</v>
      </c>
      <c r="B209" t="s">
        <v>806</v>
      </c>
      <c r="F209" s="2">
        <v>525767714</v>
      </c>
      <c r="G209" s="2">
        <v>132936581</v>
      </c>
      <c r="H209" t="s">
        <v>28</v>
      </c>
      <c r="I209" t="s">
        <v>17</v>
      </c>
      <c r="J209" t="s">
        <v>25</v>
      </c>
    </row>
    <row r="210" spans="1:11" x14ac:dyDescent="0.2">
      <c r="A210" t="s">
        <v>807</v>
      </c>
      <c r="F210" s="2">
        <v>525326585</v>
      </c>
      <c r="G210" s="2">
        <v>134528749</v>
      </c>
      <c r="H210" t="s">
        <v>28</v>
      </c>
      <c r="I210" t="s">
        <v>17</v>
      </c>
      <c r="J210" t="s">
        <v>25</v>
      </c>
    </row>
    <row r="211" spans="1:11" x14ac:dyDescent="0.2">
      <c r="A211" t="s">
        <v>808</v>
      </c>
      <c r="B211" t="s">
        <v>809</v>
      </c>
      <c r="C211" t="s">
        <v>810</v>
      </c>
      <c r="F211" s="2">
        <v>525342862</v>
      </c>
      <c r="G211" s="2">
        <v>134050916</v>
      </c>
      <c r="H211" t="s">
        <v>255</v>
      </c>
      <c r="I211" t="s">
        <v>17</v>
      </c>
      <c r="J211" t="s">
        <v>25</v>
      </c>
    </row>
    <row r="212" spans="1:11" x14ac:dyDescent="0.2">
      <c r="A212" t="s">
        <v>811</v>
      </c>
      <c r="B212" t="s">
        <v>812</v>
      </c>
      <c r="F212" s="2">
        <v>525298272</v>
      </c>
      <c r="G212" s="2">
        <v>134447868</v>
      </c>
      <c r="H212" t="s">
        <v>28</v>
      </c>
      <c r="I212" t="s">
        <v>17</v>
      </c>
      <c r="J212" t="s">
        <v>25</v>
      </c>
    </row>
    <row r="213" spans="1:11" x14ac:dyDescent="0.2">
      <c r="A213" t="s">
        <v>813</v>
      </c>
      <c r="F213" s="2">
        <v>525963736</v>
      </c>
      <c r="G213" s="2">
        <v>133461978</v>
      </c>
      <c r="H213" t="s">
        <v>28</v>
      </c>
      <c r="I213" t="s">
        <v>17</v>
      </c>
      <c r="J213" t="s">
        <v>25</v>
      </c>
    </row>
    <row r="214" spans="1:11" x14ac:dyDescent="0.2">
      <c r="A214" t="s">
        <v>814</v>
      </c>
      <c r="F214" s="2">
        <v>525286027</v>
      </c>
      <c r="G214" s="2">
        <v>134491113</v>
      </c>
      <c r="H214" t="s">
        <v>28</v>
      </c>
      <c r="I214" t="s">
        <v>17</v>
      </c>
      <c r="J214" t="s">
        <v>25</v>
      </c>
    </row>
    <row r="215" spans="1:11" x14ac:dyDescent="0.2">
      <c r="A215" t="s">
        <v>815</v>
      </c>
      <c r="B215" t="s">
        <v>816</v>
      </c>
      <c r="F215" s="2">
        <v>524137071</v>
      </c>
      <c r="G215" s="2">
        <v>133637958</v>
      </c>
      <c r="H215" t="s">
        <v>28</v>
      </c>
      <c r="I215" t="s">
        <v>17</v>
      </c>
      <c r="J215" t="s">
        <v>25</v>
      </c>
    </row>
    <row r="216" spans="1:11" x14ac:dyDescent="0.2">
      <c r="A216" t="s">
        <v>817</v>
      </c>
      <c r="B216" t="s">
        <v>818</v>
      </c>
      <c r="C216" t="s">
        <v>819</v>
      </c>
      <c r="D216" t="s">
        <v>820</v>
      </c>
      <c r="E216">
        <v>49307216016</v>
      </c>
      <c r="F216" s="2">
        <v>524134914</v>
      </c>
      <c r="G216" s="2">
        <v>133624551</v>
      </c>
      <c r="H216" t="s">
        <v>304</v>
      </c>
      <c r="I216" t="s">
        <v>17</v>
      </c>
      <c r="J216" t="s">
        <v>25</v>
      </c>
      <c r="K216" t="s">
        <v>821</v>
      </c>
    </row>
    <row r="217" spans="1:11" x14ac:dyDescent="0.2">
      <c r="A217" t="s">
        <v>822</v>
      </c>
      <c r="B217" t="s">
        <v>823</v>
      </c>
      <c r="C217" t="s">
        <v>824</v>
      </c>
      <c r="E217" t="s">
        <v>825</v>
      </c>
      <c r="F217" s="2">
        <v>524131836</v>
      </c>
      <c r="G217" s="2">
        <v>133634937</v>
      </c>
      <c r="H217" t="s">
        <v>38</v>
      </c>
      <c r="I217" t="s">
        <v>17</v>
      </c>
      <c r="J217" t="s">
        <v>25</v>
      </c>
    </row>
    <row r="218" spans="1:11" x14ac:dyDescent="0.2">
      <c r="A218" t="s">
        <v>826</v>
      </c>
      <c r="B218" t="s">
        <v>827</v>
      </c>
      <c r="C218" t="s">
        <v>828</v>
      </c>
      <c r="D218" t="s">
        <v>829</v>
      </c>
      <c r="E218" t="s">
        <v>830</v>
      </c>
      <c r="F218" s="2">
        <v>524141666</v>
      </c>
      <c r="G218" s="2">
        <v>133635792</v>
      </c>
      <c r="H218" t="s">
        <v>24</v>
      </c>
      <c r="I218" t="s">
        <v>17</v>
      </c>
      <c r="J218" t="s">
        <v>25</v>
      </c>
    </row>
    <row r="219" spans="1:11" x14ac:dyDescent="0.2">
      <c r="A219" t="s">
        <v>831</v>
      </c>
      <c r="B219" t="s">
        <v>832</v>
      </c>
      <c r="F219" s="2">
        <v>525192592</v>
      </c>
      <c r="G219" s="2">
        <v>132986637</v>
      </c>
      <c r="H219" t="s">
        <v>28</v>
      </c>
      <c r="I219" t="s">
        <v>17</v>
      </c>
      <c r="J219" t="s">
        <v>25</v>
      </c>
    </row>
    <row r="220" spans="1:11" x14ac:dyDescent="0.2">
      <c r="A220" t="s">
        <v>833</v>
      </c>
      <c r="B220" t="s">
        <v>834</v>
      </c>
      <c r="C220" t="s">
        <v>835</v>
      </c>
      <c r="D220" t="s">
        <v>836</v>
      </c>
      <c r="E220">
        <v>493024729110</v>
      </c>
      <c r="F220" s="2">
        <v>52534363</v>
      </c>
      <c r="G220" s="2">
        <v>13403029</v>
      </c>
      <c r="H220" t="s">
        <v>51</v>
      </c>
      <c r="I220" t="s">
        <v>17</v>
      </c>
      <c r="J220" t="s">
        <v>25</v>
      </c>
      <c r="K220" t="s">
        <v>837</v>
      </c>
    </row>
    <row r="221" spans="1:11" x14ac:dyDescent="0.2">
      <c r="A221" t="s">
        <v>838</v>
      </c>
      <c r="B221" t="s">
        <v>839</v>
      </c>
      <c r="C221" t="s">
        <v>840</v>
      </c>
      <c r="E221" t="s">
        <v>841</v>
      </c>
      <c r="F221" s="2">
        <v>525235718</v>
      </c>
      <c r="G221" s="2">
        <v>134068594</v>
      </c>
      <c r="H221" t="s">
        <v>38</v>
      </c>
      <c r="I221" t="s">
        <v>17</v>
      </c>
      <c r="J221" t="s">
        <v>25</v>
      </c>
    </row>
    <row r="222" spans="1:11" x14ac:dyDescent="0.2">
      <c r="A222" t="s">
        <v>842</v>
      </c>
      <c r="F222" s="2">
        <v>52534069</v>
      </c>
      <c r="G222" s="2">
        <v>13404568</v>
      </c>
      <c r="H222" t="s">
        <v>28</v>
      </c>
      <c r="I222" t="s">
        <v>17</v>
      </c>
      <c r="J222" t="s">
        <v>25</v>
      </c>
    </row>
    <row r="223" spans="1:11" x14ac:dyDescent="0.2">
      <c r="A223" t="s">
        <v>843</v>
      </c>
      <c r="B223" t="s">
        <v>844</v>
      </c>
      <c r="E223">
        <v>493044032771</v>
      </c>
      <c r="F223" s="2">
        <v>525336497</v>
      </c>
      <c r="G223" s="2">
        <v>134034671</v>
      </c>
      <c r="H223" t="s">
        <v>34</v>
      </c>
      <c r="I223" t="s">
        <v>17</v>
      </c>
      <c r="J223" t="s">
        <v>25</v>
      </c>
    </row>
    <row r="224" spans="1:11" x14ac:dyDescent="0.2">
      <c r="A224" t="s">
        <v>845</v>
      </c>
      <c r="B224" t="s">
        <v>846</v>
      </c>
      <c r="F224" s="2">
        <v>52533767</v>
      </c>
      <c r="G224" s="2">
        <v>13405399</v>
      </c>
      <c r="H224" t="s">
        <v>28</v>
      </c>
      <c r="I224" t="s">
        <v>17</v>
      </c>
      <c r="J224" t="s">
        <v>25</v>
      </c>
    </row>
    <row r="225" spans="1:11" x14ac:dyDescent="0.2">
      <c r="A225" t="s">
        <v>847</v>
      </c>
      <c r="B225" t="s">
        <v>848</v>
      </c>
      <c r="C225" t="s">
        <v>849</v>
      </c>
      <c r="D225" t="s">
        <v>850</v>
      </c>
      <c r="E225" t="s">
        <v>851</v>
      </c>
      <c r="F225" s="2">
        <v>525089244</v>
      </c>
      <c r="G225" s="2">
        <v>133220054</v>
      </c>
      <c r="H225" t="s">
        <v>51</v>
      </c>
      <c r="I225" t="s">
        <v>17</v>
      </c>
      <c r="J225" t="s">
        <v>25</v>
      </c>
      <c r="K225" t="s">
        <v>852</v>
      </c>
    </row>
    <row r="226" spans="1:11" x14ac:dyDescent="0.2">
      <c r="A226" t="s">
        <v>853</v>
      </c>
      <c r="B226" t="s">
        <v>854</v>
      </c>
      <c r="C226" t="s">
        <v>855</v>
      </c>
      <c r="F226" s="2">
        <v>524870643</v>
      </c>
      <c r="G226" s="2">
        <v>133552616</v>
      </c>
      <c r="H226" t="s">
        <v>255</v>
      </c>
      <c r="I226" t="s">
        <v>17</v>
      </c>
      <c r="J226" t="s">
        <v>25</v>
      </c>
    </row>
    <row r="227" spans="1:11" x14ac:dyDescent="0.2">
      <c r="A227" t="s">
        <v>856</v>
      </c>
      <c r="B227" t="s">
        <v>857</v>
      </c>
      <c r="C227" t="s">
        <v>858</v>
      </c>
      <c r="D227" t="s">
        <v>859</v>
      </c>
      <c r="E227" t="s">
        <v>860</v>
      </c>
      <c r="F227" s="2">
        <v>524885454</v>
      </c>
      <c r="G227" s="2">
        <v>134073498</v>
      </c>
      <c r="H227" t="s">
        <v>24</v>
      </c>
      <c r="I227" t="s">
        <v>17</v>
      </c>
      <c r="J227" t="s">
        <v>25</v>
      </c>
    </row>
    <row r="228" spans="1:11" x14ac:dyDescent="0.2">
      <c r="A228" t="s">
        <v>861</v>
      </c>
      <c r="B228" t="s">
        <v>862</v>
      </c>
      <c r="C228" t="s">
        <v>863</v>
      </c>
      <c r="D228" t="s">
        <v>864</v>
      </c>
      <c r="E228" t="s">
        <v>865</v>
      </c>
      <c r="F228" s="2">
        <v>525212101</v>
      </c>
      <c r="G228" s="2">
        <v>133853311</v>
      </c>
      <c r="H228" t="s">
        <v>24</v>
      </c>
      <c r="I228" t="s">
        <v>17</v>
      </c>
      <c r="J228" t="s">
        <v>25</v>
      </c>
    </row>
    <row r="229" spans="1:11" x14ac:dyDescent="0.2">
      <c r="A229" t="s">
        <v>866</v>
      </c>
      <c r="B229" t="s">
        <v>867</v>
      </c>
      <c r="F229" s="2">
        <v>525215872</v>
      </c>
      <c r="G229" s="2">
        <v>133850713</v>
      </c>
      <c r="H229" t="s">
        <v>28</v>
      </c>
      <c r="I229" t="s">
        <v>17</v>
      </c>
      <c r="J229" t="s">
        <v>25</v>
      </c>
    </row>
    <row r="230" spans="1:11" x14ac:dyDescent="0.2">
      <c r="A230" t="s">
        <v>868</v>
      </c>
      <c r="B230" t="s">
        <v>869</v>
      </c>
      <c r="C230" t="s">
        <v>870</v>
      </c>
      <c r="D230" t="s">
        <v>871</v>
      </c>
      <c r="E230">
        <v>493027572164</v>
      </c>
      <c r="F230" s="2">
        <v>525223526</v>
      </c>
      <c r="G230" s="2">
        <v>13379881</v>
      </c>
      <c r="H230" t="s">
        <v>24</v>
      </c>
      <c r="I230" t="s">
        <v>17</v>
      </c>
      <c r="J230" t="s">
        <v>25</v>
      </c>
    </row>
    <row r="231" spans="1:11" x14ac:dyDescent="0.2">
      <c r="A231" t="s">
        <v>872</v>
      </c>
      <c r="B231" t="s">
        <v>873</v>
      </c>
      <c r="C231" t="s">
        <v>874</v>
      </c>
      <c r="D231" t="s">
        <v>875</v>
      </c>
      <c r="E231" t="s">
        <v>876</v>
      </c>
      <c r="F231" s="2">
        <v>525210049</v>
      </c>
      <c r="G231" s="2">
        <v>133850412</v>
      </c>
      <c r="H231" t="s">
        <v>24</v>
      </c>
      <c r="I231" t="s">
        <v>17</v>
      </c>
      <c r="J231" t="s">
        <v>25</v>
      </c>
    </row>
    <row r="232" spans="1:11" x14ac:dyDescent="0.2">
      <c r="A232" t="s">
        <v>877</v>
      </c>
      <c r="B232" t="s">
        <v>878</v>
      </c>
      <c r="C232" t="s">
        <v>879</v>
      </c>
      <c r="D232" t="s">
        <v>880</v>
      </c>
      <c r="E232" t="s">
        <v>881</v>
      </c>
      <c r="F232" s="2">
        <v>525212138</v>
      </c>
      <c r="G232" s="2">
        <v>133849693</v>
      </c>
      <c r="H232" t="s">
        <v>51</v>
      </c>
      <c r="I232" t="s">
        <v>17</v>
      </c>
      <c r="J232" t="s">
        <v>25</v>
      </c>
      <c r="K232" t="s">
        <v>882</v>
      </c>
    </row>
    <row r="233" spans="1:11" x14ac:dyDescent="0.2">
      <c r="A233" t="s">
        <v>883</v>
      </c>
      <c r="B233" t="s">
        <v>884</v>
      </c>
      <c r="C233" t="s">
        <v>885</v>
      </c>
      <c r="D233" t="s">
        <v>886</v>
      </c>
      <c r="E233">
        <v>493088714195</v>
      </c>
      <c r="F233" s="2">
        <v>525101889</v>
      </c>
      <c r="G233" s="2">
        <v>13376349</v>
      </c>
      <c r="H233" t="s">
        <v>24</v>
      </c>
      <c r="I233" t="s">
        <v>17</v>
      </c>
      <c r="J233" t="s">
        <v>25</v>
      </c>
    </row>
    <row r="234" spans="1:11" x14ac:dyDescent="0.2">
      <c r="A234" t="s">
        <v>887</v>
      </c>
      <c r="B234" t="s">
        <v>888</v>
      </c>
      <c r="C234" t="s">
        <v>889</v>
      </c>
      <c r="D234" t="s">
        <v>890</v>
      </c>
      <c r="E234" t="s">
        <v>891</v>
      </c>
      <c r="F234" s="2">
        <v>525228146</v>
      </c>
      <c r="G234" s="2">
        <v>133824135</v>
      </c>
      <c r="H234" t="s">
        <v>51</v>
      </c>
      <c r="I234" t="s">
        <v>17</v>
      </c>
      <c r="J234" t="s">
        <v>25</v>
      </c>
      <c r="K234" t="s">
        <v>892</v>
      </c>
    </row>
    <row r="235" spans="1:11" x14ac:dyDescent="0.2">
      <c r="A235" t="s">
        <v>893</v>
      </c>
      <c r="B235" t="s">
        <v>894</v>
      </c>
      <c r="F235" s="2">
        <v>525236266</v>
      </c>
      <c r="G235" s="2">
        <v>133853444</v>
      </c>
      <c r="H235" t="s">
        <v>28</v>
      </c>
      <c r="I235" t="s">
        <v>17</v>
      </c>
      <c r="J235" t="s">
        <v>25</v>
      </c>
    </row>
    <row r="236" spans="1:11" x14ac:dyDescent="0.2">
      <c r="A236" t="s">
        <v>895</v>
      </c>
      <c r="C236" t="s">
        <v>896</v>
      </c>
      <c r="D236" t="s">
        <v>897</v>
      </c>
      <c r="F236" s="2">
        <v>525238004</v>
      </c>
      <c r="G236" s="2">
        <v>133865223</v>
      </c>
      <c r="H236" t="s">
        <v>24</v>
      </c>
      <c r="I236" t="s">
        <v>17</v>
      </c>
      <c r="J236" t="s">
        <v>25</v>
      </c>
    </row>
    <row r="237" spans="1:11" x14ac:dyDescent="0.2">
      <c r="A237" t="s">
        <v>898</v>
      </c>
      <c r="F237" s="2">
        <v>525238713</v>
      </c>
      <c r="G237" s="2">
        <v>133868725</v>
      </c>
      <c r="H237" t="s">
        <v>28</v>
      </c>
      <c r="I237" t="s">
        <v>17</v>
      </c>
      <c r="J237" t="s">
        <v>25</v>
      </c>
    </row>
    <row r="238" spans="1:11" x14ac:dyDescent="0.2">
      <c r="A238" t="s">
        <v>899</v>
      </c>
      <c r="B238" t="s">
        <v>900</v>
      </c>
      <c r="C238" t="s">
        <v>901</v>
      </c>
      <c r="D238" t="s">
        <v>902</v>
      </c>
      <c r="E238" t="s">
        <v>903</v>
      </c>
      <c r="F238" s="2">
        <v>525231491</v>
      </c>
      <c r="G238" s="2">
        <v>133884968</v>
      </c>
      <c r="H238" t="s">
        <v>51</v>
      </c>
      <c r="I238" t="s">
        <v>17</v>
      </c>
      <c r="J238" t="s">
        <v>25</v>
      </c>
      <c r="K238" t="s">
        <v>904</v>
      </c>
    </row>
    <row r="239" spans="1:11" x14ac:dyDescent="0.2">
      <c r="A239" t="s">
        <v>905</v>
      </c>
      <c r="B239" t="s">
        <v>906</v>
      </c>
      <c r="C239" t="s">
        <v>907</v>
      </c>
      <c r="D239" t="s">
        <v>908</v>
      </c>
      <c r="E239" t="s">
        <v>909</v>
      </c>
      <c r="F239" s="2">
        <v>525208138</v>
      </c>
      <c r="G239" s="2">
        <v>133884622</v>
      </c>
      <c r="H239" t="s">
        <v>24</v>
      </c>
      <c r="I239" t="s">
        <v>17</v>
      </c>
      <c r="J239" t="s">
        <v>25</v>
      </c>
    </row>
    <row r="240" spans="1:11" x14ac:dyDescent="0.2">
      <c r="A240" t="s">
        <v>910</v>
      </c>
      <c r="B240" t="s">
        <v>911</v>
      </c>
      <c r="F240" s="2">
        <v>524297742</v>
      </c>
      <c r="G240" s="2">
        <v>133333174</v>
      </c>
      <c r="H240" t="s">
        <v>28</v>
      </c>
      <c r="I240" t="s">
        <v>17</v>
      </c>
      <c r="J240" t="s">
        <v>25</v>
      </c>
    </row>
    <row r="241" spans="1:11" x14ac:dyDescent="0.2">
      <c r="A241" t="s">
        <v>912</v>
      </c>
      <c r="B241" t="s">
        <v>913</v>
      </c>
      <c r="C241" t="s">
        <v>914</v>
      </c>
      <c r="D241" t="s">
        <v>915</v>
      </c>
      <c r="E241" t="s">
        <v>916</v>
      </c>
      <c r="F241" s="2">
        <v>524390321</v>
      </c>
      <c r="G241" s="2">
        <v>133440299</v>
      </c>
      <c r="H241" t="s">
        <v>24</v>
      </c>
      <c r="I241" t="s">
        <v>17</v>
      </c>
      <c r="J241" t="s">
        <v>25</v>
      </c>
    </row>
    <row r="242" spans="1:11" x14ac:dyDescent="0.2">
      <c r="A242" t="s">
        <v>917</v>
      </c>
      <c r="F242" s="2">
        <v>524396315</v>
      </c>
      <c r="G242" s="2">
        <v>133422947</v>
      </c>
      <c r="H242" t="s">
        <v>28</v>
      </c>
      <c r="I242" t="s">
        <v>17</v>
      </c>
      <c r="J242" t="s">
        <v>25</v>
      </c>
    </row>
    <row r="243" spans="1:11" x14ac:dyDescent="0.2">
      <c r="A243" t="s">
        <v>918</v>
      </c>
      <c r="B243" t="s">
        <v>919</v>
      </c>
      <c r="C243" t="s">
        <v>920</v>
      </c>
      <c r="E243" t="s">
        <v>921</v>
      </c>
      <c r="F243" s="2">
        <v>525278753</v>
      </c>
      <c r="G243" s="2">
        <v>13394901</v>
      </c>
      <c r="H243" t="s">
        <v>38</v>
      </c>
      <c r="I243" t="s">
        <v>17</v>
      </c>
      <c r="J243" t="s">
        <v>25</v>
      </c>
    </row>
    <row r="244" spans="1:11" x14ac:dyDescent="0.2">
      <c r="A244" t="s">
        <v>922</v>
      </c>
      <c r="B244" t="s">
        <v>923</v>
      </c>
      <c r="C244" t="s">
        <v>924</v>
      </c>
      <c r="E244" t="s">
        <v>925</v>
      </c>
      <c r="F244" s="2">
        <v>525274962</v>
      </c>
      <c r="G244" s="2">
        <v>133926644</v>
      </c>
      <c r="H244" t="s">
        <v>38</v>
      </c>
      <c r="I244" t="s">
        <v>17</v>
      </c>
      <c r="J244" t="s">
        <v>25</v>
      </c>
    </row>
    <row r="245" spans="1:11" x14ac:dyDescent="0.2">
      <c r="A245" t="s">
        <v>926</v>
      </c>
      <c r="B245" t="s">
        <v>927</v>
      </c>
      <c r="C245" t="s">
        <v>928</v>
      </c>
      <c r="D245" t="s">
        <v>929</v>
      </c>
      <c r="E245" t="s">
        <v>930</v>
      </c>
      <c r="F245" s="2">
        <v>52521472</v>
      </c>
      <c r="G245" s="2">
        <v>13385871</v>
      </c>
      <c r="H245" t="s">
        <v>51</v>
      </c>
      <c r="I245" t="s">
        <v>17</v>
      </c>
      <c r="J245" t="s">
        <v>25</v>
      </c>
      <c r="K245" t="s">
        <v>931</v>
      </c>
    </row>
    <row r="246" spans="1:11" x14ac:dyDescent="0.2">
      <c r="A246" t="s">
        <v>932</v>
      </c>
      <c r="B246" t="s">
        <v>933</v>
      </c>
      <c r="C246" t="s">
        <v>934</v>
      </c>
      <c r="D246" t="s">
        <v>935</v>
      </c>
      <c r="E246">
        <v>493028599046</v>
      </c>
      <c r="F246" s="2">
        <v>52521721</v>
      </c>
      <c r="G246" s="2">
        <v>133863157</v>
      </c>
      <c r="H246" t="s">
        <v>51</v>
      </c>
      <c r="I246" t="s">
        <v>17</v>
      </c>
      <c r="J246" t="s">
        <v>25</v>
      </c>
      <c r="K246" t="s">
        <v>936</v>
      </c>
    </row>
    <row r="247" spans="1:11" x14ac:dyDescent="0.2">
      <c r="A247" t="s">
        <v>937</v>
      </c>
      <c r="B247" t="s">
        <v>938</v>
      </c>
      <c r="C247" t="s">
        <v>939</v>
      </c>
      <c r="E247" t="s">
        <v>940</v>
      </c>
      <c r="F247" s="2">
        <v>525161429</v>
      </c>
      <c r="G247" s="2">
        <v>133899146</v>
      </c>
      <c r="H247" t="s">
        <v>38</v>
      </c>
      <c r="I247" t="s">
        <v>17</v>
      </c>
      <c r="J247" t="s">
        <v>25</v>
      </c>
    </row>
    <row r="248" spans="1:11" x14ac:dyDescent="0.2">
      <c r="A248" t="s">
        <v>941</v>
      </c>
      <c r="B248" t="s">
        <v>942</v>
      </c>
      <c r="C248" t="s">
        <v>943</v>
      </c>
      <c r="E248" t="s">
        <v>944</v>
      </c>
      <c r="F248" s="2">
        <v>525291046</v>
      </c>
      <c r="G248" s="2">
        <v>133954604</v>
      </c>
      <c r="H248" t="s">
        <v>277</v>
      </c>
      <c r="I248" t="s">
        <v>17</v>
      </c>
      <c r="J248" t="s">
        <v>25</v>
      </c>
      <c r="K248" t="s">
        <v>945</v>
      </c>
    </row>
    <row r="249" spans="1:11" x14ac:dyDescent="0.2">
      <c r="A249" t="s">
        <v>946</v>
      </c>
      <c r="C249" t="s">
        <v>947</v>
      </c>
      <c r="F249" s="2">
        <v>524517727</v>
      </c>
      <c r="G249" s="2">
        <v>13309887</v>
      </c>
      <c r="H249" t="s">
        <v>255</v>
      </c>
      <c r="I249" t="s">
        <v>17</v>
      </c>
      <c r="J249" t="s">
        <v>25</v>
      </c>
    </row>
    <row r="250" spans="1:11" x14ac:dyDescent="0.2">
      <c r="A250" t="s">
        <v>948</v>
      </c>
      <c r="B250" t="s">
        <v>949</v>
      </c>
      <c r="C250" t="s">
        <v>950</v>
      </c>
      <c r="D250" t="s">
        <v>951</v>
      </c>
      <c r="E250" t="s">
        <v>952</v>
      </c>
      <c r="F250" s="2">
        <v>524576996</v>
      </c>
      <c r="G250" s="2">
        <v>132907097</v>
      </c>
      <c r="H250" t="s">
        <v>24</v>
      </c>
      <c r="I250" t="s">
        <v>17</v>
      </c>
      <c r="J250" t="s">
        <v>25</v>
      </c>
    </row>
    <row r="251" spans="1:11" x14ac:dyDescent="0.2">
      <c r="A251" t="s">
        <v>953</v>
      </c>
      <c r="B251" t="s">
        <v>954</v>
      </c>
      <c r="F251" s="2">
        <v>524673215</v>
      </c>
      <c r="G251" s="2">
        <v>133217196</v>
      </c>
      <c r="H251" t="s">
        <v>28</v>
      </c>
      <c r="I251" t="s">
        <v>17</v>
      </c>
      <c r="J251" t="s">
        <v>25</v>
      </c>
    </row>
    <row r="252" spans="1:11" x14ac:dyDescent="0.2">
      <c r="A252" t="s">
        <v>955</v>
      </c>
      <c r="B252" t="s">
        <v>956</v>
      </c>
      <c r="C252" t="s">
        <v>957</v>
      </c>
      <c r="D252" t="s">
        <v>958</v>
      </c>
      <c r="E252" t="s">
        <v>959</v>
      </c>
      <c r="F252" s="2">
        <v>52443374</v>
      </c>
      <c r="G252" s="2">
        <v>132951737</v>
      </c>
      <c r="H252" t="s">
        <v>24</v>
      </c>
      <c r="I252" t="s">
        <v>17</v>
      </c>
      <c r="J252" t="s">
        <v>25</v>
      </c>
    </row>
    <row r="253" spans="1:11" x14ac:dyDescent="0.2">
      <c r="A253" t="s">
        <v>960</v>
      </c>
      <c r="B253" t="s">
        <v>961</v>
      </c>
      <c r="C253" t="s">
        <v>962</v>
      </c>
      <c r="D253" t="s">
        <v>963</v>
      </c>
      <c r="E253" t="s">
        <v>964</v>
      </c>
      <c r="F253" s="2">
        <v>524726746</v>
      </c>
      <c r="G253" s="2">
        <v>133217637</v>
      </c>
      <c r="H253" t="s">
        <v>51</v>
      </c>
      <c r="I253" t="s">
        <v>17</v>
      </c>
      <c r="J253" t="s">
        <v>25</v>
      </c>
      <c r="K253" t="s">
        <v>965</v>
      </c>
    </row>
    <row r="254" spans="1:11" x14ac:dyDescent="0.2">
      <c r="A254" t="s">
        <v>966</v>
      </c>
      <c r="B254" t="s">
        <v>967</v>
      </c>
      <c r="C254" t="s">
        <v>968</v>
      </c>
      <c r="D254" t="s">
        <v>969</v>
      </c>
      <c r="F254" s="2">
        <v>524246828</v>
      </c>
      <c r="G254" s="2">
        <v>13330777</v>
      </c>
      <c r="H254" t="s">
        <v>51</v>
      </c>
      <c r="I254" t="s">
        <v>17</v>
      </c>
      <c r="J254" t="s">
        <v>25</v>
      </c>
      <c r="K254" t="s">
        <v>970</v>
      </c>
    </row>
    <row r="255" spans="1:11" x14ac:dyDescent="0.2">
      <c r="A255" t="s">
        <v>971</v>
      </c>
      <c r="B255" t="s">
        <v>972</v>
      </c>
      <c r="C255" t="s">
        <v>973</v>
      </c>
      <c r="D255" t="s">
        <v>974</v>
      </c>
      <c r="E255" t="s">
        <v>975</v>
      </c>
      <c r="F255" s="2">
        <v>525192482</v>
      </c>
      <c r="G255" s="2">
        <v>132984365</v>
      </c>
      <c r="H255" t="s">
        <v>51</v>
      </c>
      <c r="I255" t="s">
        <v>17</v>
      </c>
      <c r="J255" t="s">
        <v>25</v>
      </c>
      <c r="K255" t="s">
        <v>976</v>
      </c>
    </row>
    <row r="256" spans="1:11" x14ac:dyDescent="0.2">
      <c r="A256" t="s">
        <v>977</v>
      </c>
      <c r="B256" t="s">
        <v>978</v>
      </c>
      <c r="C256" t="s">
        <v>979</v>
      </c>
      <c r="D256" t="s">
        <v>980</v>
      </c>
      <c r="E256" t="s">
        <v>981</v>
      </c>
      <c r="F256" s="2">
        <v>525140217</v>
      </c>
      <c r="G256" s="2">
        <v>132973968</v>
      </c>
      <c r="H256" t="s">
        <v>51</v>
      </c>
      <c r="I256" t="s">
        <v>17</v>
      </c>
      <c r="J256" t="s">
        <v>25</v>
      </c>
      <c r="K256" t="s">
        <v>982</v>
      </c>
    </row>
    <row r="257" spans="1:11" x14ac:dyDescent="0.2">
      <c r="A257" t="s">
        <v>983</v>
      </c>
      <c r="B257" t="s">
        <v>984</v>
      </c>
      <c r="C257" t="s">
        <v>985</v>
      </c>
      <c r="D257" t="s">
        <v>986</v>
      </c>
      <c r="E257" t="s">
        <v>987</v>
      </c>
      <c r="F257" s="2">
        <v>524458169</v>
      </c>
      <c r="G257" s="2">
        <v>132428177</v>
      </c>
      <c r="H257" t="s">
        <v>51</v>
      </c>
      <c r="I257" t="s">
        <v>17</v>
      </c>
      <c r="J257" t="s">
        <v>25</v>
      </c>
      <c r="K257" t="s">
        <v>988</v>
      </c>
    </row>
    <row r="258" spans="1:11" x14ac:dyDescent="0.2">
      <c r="A258" t="s">
        <v>989</v>
      </c>
      <c r="B258" t="s">
        <v>990</v>
      </c>
      <c r="F258" s="2">
        <v>525006932</v>
      </c>
      <c r="G258" s="2">
        <v>134316156</v>
      </c>
      <c r="H258" t="s">
        <v>28</v>
      </c>
      <c r="I258" t="s">
        <v>17</v>
      </c>
      <c r="J258" t="s">
        <v>25</v>
      </c>
    </row>
    <row r="259" spans="1:11" x14ac:dyDescent="0.2">
      <c r="A259" t="s">
        <v>991</v>
      </c>
      <c r="F259" s="2">
        <v>524710833</v>
      </c>
      <c r="G259" s="2">
        <v>135652273</v>
      </c>
      <c r="H259" t="s">
        <v>28</v>
      </c>
      <c r="I259" t="s">
        <v>17</v>
      </c>
      <c r="J259" t="s">
        <v>25</v>
      </c>
    </row>
    <row r="260" spans="1:11" x14ac:dyDescent="0.2">
      <c r="A260" t="s">
        <v>992</v>
      </c>
      <c r="B260" t="s">
        <v>993</v>
      </c>
      <c r="E260" t="s">
        <v>994</v>
      </c>
      <c r="F260" s="2">
        <v>524682137</v>
      </c>
      <c r="G260" s="2">
        <v>135142493</v>
      </c>
      <c r="H260" t="s">
        <v>34</v>
      </c>
      <c r="I260" t="s">
        <v>17</v>
      </c>
      <c r="J260" t="s">
        <v>25</v>
      </c>
    </row>
    <row r="261" spans="1:11" x14ac:dyDescent="0.2">
      <c r="A261" t="s">
        <v>995</v>
      </c>
      <c r="B261" t="s">
        <v>996</v>
      </c>
      <c r="C261" t="s">
        <v>997</v>
      </c>
      <c r="F261" s="2">
        <v>524557061</v>
      </c>
      <c r="G261" s="2">
        <v>13552511</v>
      </c>
      <c r="H261" t="s">
        <v>38</v>
      </c>
      <c r="I261" t="s">
        <v>17</v>
      </c>
      <c r="J261" t="s">
        <v>25</v>
      </c>
    </row>
    <row r="262" spans="1:11" x14ac:dyDescent="0.2">
      <c r="A262" t="s">
        <v>998</v>
      </c>
      <c r="B262" t="s">
        <v>999</v>
      </c>
      <c r="C262" t="s">
        <v>1000</v>
      </c>
      <c r="D262" t="s">
        <v>1001</v>
      </c>
      <c r="E262" t="s">
        <v>1002</v>
      </c>
      <c r="F262" s="2">
        <v>525328438</v>
      </c>
      <c r="G262" s="2">
        <v>134086146</v>
      </c>
      <c r="H262" t="s">
        <v>51</v>
      </c>
      <c r="I262" t="s">
        <v>17</v>
      </c>
      <c r="J262" t="s">
        <v>25</v>
      </c>
      <c r="K262" t="s">
        <v>1003</v>
      </c>
    </row>
    <row r="263" spans="1:11" x14ac:dyDescent="0.2">
      <c r="A263" t="s">
        <v>1004</v>
      </c>
      <c r="B263" t="s">
        <v>1005</v>
      </c>
      <c r="C263" t="s">
        <v>1006</v>
      </c>
      <c r="E263" t="s">
        <v>1007</v>
      </c>
      <c r="F263" s="2">
        <v>52427003</v>
      </c>
      <c r="G263" s="2">
        <v>132180894</v>
      </c>
      <c r="H263" t="s">
        <v>38</v>
      </c>
      <c r="I263" t="s">
        <v>17</v>
      </c>
      <c r="J263" t="s">
        <v>25</v>
      </c>
    </row>
    <row r="264" spans="1:11" x14ac:dyDescent="0.2">
      <c r="A264" t="s">
        <v>1008</v>
      </c>
      <c r="F264" s="2">
        <v>524171466</v>
      </c>
      <c r="G264" s="2">
        <v>133244761</v>
      </c>
      <c r="H264" t="s">
        <v>28</v>
      </c>
      <c r="I264" t="s">
        <v>17</v>
      </c>
      <c r="J264" t="s">
        <v>25</v>
      </c>
    </row>
    <row r="265" spans="1:11" x14ac:dyDescent="0.2">
      <c r="A265" t="s">
        <v>1009</v>
      </c>
      <c r="B265" t="s">
        <v>1010</v>
      </c>
      <c r="C265" t="s">
        <v>1011</v>
      </c>
      <c r="E265" t="s">
        <v>1012</v>
      </c>
      <c r="F265" s="2">
        <v>525079886</v>
      </c>
      <c r="G265" s="2">
        <v>133092361</v>
      </c>
      <c r="H265" t="s">
        <v>277</v>
      </c>
      <c r="I265" t="s">
        <v>17</v>
      </c>
      <c r="J265" t="s">
        <v>25</v>
      </c>
      <c r="K265" t="s">
        <v>1013</v>
      </c>
    </row>
    <row r="266" spans="1:11" x14ac:dyDescent="0.2">
      <c r="A266" t="s">
        <v>1014</v>
      </c>
      <c r="B266" t="s">
        <v>1015</v>
      </c>
      <c r="C266" t="s">
        <v>1016</v>
      </c>
      <c r="F266" s="2">
        <v>524864909</v>
      </c>
      <c r="G266" s="2">
        <v>13526496</v>
      </c>
      <c r="H266" t="s">
        <v>277</v>
      </c>
      <c r="I266" t="s">
        <v>17</v>
      </c>
      <c r="J266" t="s">
        <v>25</v>
      </c>
      <c r="K266" t="s">
        <v>1017</v>
      </c>
    </row>
    <row r="267" spans="1:11" x14ac:dyDescent="0.2">
      <c r="A267" t="s">
        <v>1018</v>
      </c>
      <c r="B267" t="s">
        <v>1019</v>
      </c>
      <c r="C267" t="s">
        <v>1020</v>
      </c>
      <c r="E267" t="s">
        <v>1021</v>
      </c>
      <c r="F267" s="2">
        <v>524866486</v>
      </c>
      <c r="G267" s="2">
        <v>135272175</v>
      </c>
      <c r="H267" t="s">
        <v>38</v>
      </c>
      <c r="I267" t="s">
        <v>17</v>
      </c>
      <c r="J267" t="s">
        <v>25</v>
      </c>
    </row>
    <row r="268" spans="1:11" x14ac:dyDescent="0.2">
      <c r="A268" t="s">
        <v>1022</v>
      </c>
      <c r="B268" t="s">
        <v>1023</v>
      </c>
      <c r="C268" t="s">
        <v>1024</v>
      </c>
      <c r="D268" t="s">
        <v>1025</v>
      </c>
      <c r="E268" t="s">
        <v>1026</v>
      </c>
      <c r="F268" s="2">
        <v>52507721</v>
      </c>
      <c r="G268" s="2">
        <v>133113863</v>
      </c>
      <c r="H268" t="s">
        <v>16</v>
      </c>
      <c r="I268" t="s">
        <v>17</v>
      </c>
      <c r="J268" t="s">
        <v>25</v>
      </c>
    </row>
    <row r="269" spans="1:11" x14ac:dyDescent="0.2">
      <c r="A269" t="s">
        <v>1027</v>
      </c>
      <c r="B269" t="s">
        <v>1028</v>
      </c>
      <c r="E269" t="s">
        <v>1029</v>
      </c>
      <c r="F269" s="2">
        <v>525230939</v>
      </c>
      <c r="G269" s="2">
        <v>133597499</v>
      </c>
      <c r="H269" t="s">
        <v>34</v>
      </c>
      <c r="I269" t="s">
        <v>17</v>
      </c>
      <c r="J269" t="s">
        <v>25</v>
      </c>
    </row>
    <row r="270" spans="1:11" x14ac:dyDescent="0.2">
      <c r="A270" t="s">
        <v>1030</v>
      </c>
      <c r="B270" t="s">
        <v>1031</v>
      </c>
      <c r="C270" t="s">
        <v>1032</v>
      </c>
      <c r="D270" t="s">
        <v>1033</v>
      </c>
      <c r="E270" t="s">
        <v>1034</v>
      </c>
      <c r="F270" s="2">
        <v>525370279</v>
      </c>
      <c r="G270" s="2">
        <v>134084251</v>
      </c>
      <c r="H270" t="s">
        <v>24</v>
      </c>
      <c r="I270" t="s">
        <v>17</v>
      </c>
      <c r="J270" t="s">
        <v>25</v>
      </c>
    </row>
    <row r="271" spans="1:11" x14ac:dyDescent="0.2">
      <c r="A271" t="s">
        <v>1035</v>
      </c>
      <c r="B271" t="s">
        <v>1036</v>
      </c>
      <c r="C271" t="s">
        <v>1037</v>
      </c>
      <c r="D271" t="s">
        <v>1038</v>
      </c>
      <c r="E271" t="s">
        <v>1039</v>
      </c>
      <c r="F271" s="2">
        <v>525474445</v>
      </c>
      <c r="G271" s="2">
        <v>134143029</v>
      </c>
      <c r="H271" t="s">
        <v>24</v>
      </c>
      <c r="I271" t="s">
        <v>17</v>
      </c>
      <c r="J271" t="s">
        <v>25</v>
      </c>
    </row>
    <row r="272" spans="1:11" x14ac:dyDescent="0.2">
      <c r="A272" t="s">
        <v>1040</v>
      </c>
      <c r="B272" t="s">
        <v>1041</v>
      </c>
      <c r="C272" t="s">
        <v>1042</v>
      </c>
      <c r="D272" t="s">
        <v>1043</v>
      </c>
      <c r="E272" t="s">
        <v>1044</v>
      </c>
      <c r="F272" s="2">
        <v>525476774</v>
      </c>
      <c r="G272" s="2">
        <v>134147301</v>
      </c>
      <c r="H272" t="s">
        <v>51</v>
      </c>
      <c r="I272" t="s">
        <v>17</v>
      </c>
      <c r="J272" t="s">
        <v>25</v>
      </c>
      <c r="K272" t="s">
        <v>1045</v>
      </c>
    </row>
    <row r="273" spans="1:11" x14ac:dyDescent="0.2">
      <c r="A273" t="s">
        <v>1046</v>
      </c>
      <c r="B273" t="s">
        <v>1047</v>
      </c>
      <c r="C273" t="s">
        <v>1048</v>
      </c>
      <c r="D273" t="s">
        <v>1049</v>
      </c>
      <c r="E273">
        <v>49303128368</v>
      </c>
      <c r="F273" s="2">
        <v>525113714</v>
      </c>
      <c r="G273" s="2">
        <v>133078414</v>
      </c>
      <c r="H273" t="s">
        <v>24</v>
      </c>
      <c r="I273" t="s">
        <v>17</v>
      </c>
      <c r="J273" t="s">
        <v>25</v>
      </c>
    </row>
    <row r="274" spans="1:11" x14ac:dyDescent="0.2">
      <c r="A274" t="s">
        <v>1050</v>
      </c>
      <c r="B274" t="s">
        <v>1051</v>
      </c>
      <c r="F274" s="2">
        <v>525462471</v>
      </c>
      <c r="G274" s="2">
        <v>134126291</v>
      </c>
      <c r="H274" t="s">
        <v>28</v>
      </c>
      <c r="I274" t="s">
        <v>17</v>
      </c>
      <c r="J274" t="s">
        <v>25</v>
      </c>
    </row>
    <row r="275" spans="1:11" x14ac:dyDescent="0.2">
      <c r="A275" t="s">
        <v>1052</v>
      </c>
      <c r="B275" t="s">
        <v>1053</v>
      </c>
      <c r="C275" t="s">
        <v>1054</v>
      </c>
      <c r="E275" t="s">
        <v>1055</v>
      </c>
      <c r="F275" s="2">
        <v>525452831</v>
      </c>
      <c r="G275" s="2">
        <v>134214478</v>
      </c>
      <c r="H275" t="s">
        <v>38</v>
      </c>
      <c r="I275" t="s">
        <v>17</v>
      </c>
      <c r="J275" t="s">
        <v>25</v>
      </c>
    </row>
    <row r="276" spans="1:11" x14ac:dyDescent="0.2">
      <c r="A276" t="s">
        <v>1056</v>
      </c>
      <c r="B276" t="s">
        <v>1057</v>
      </c>
      <c r="C276" t="s">
        <v>1058</v>
      </c>
      <c r="D276" t="s">
        <v>1059</v>
      </c>
      <c r="E276" t="s">
        <v>1060</v>
      </c>
      <c r="F276" s="2">
        <v>52550285</v>
      </c>
      <c r="G276" s="2">
        <v>134193202</v>
      </c>
      <c r="H276" t="s">
        <v>51</v>
      </c>
      <c r="I276" t="s">
        <v>17</v>
      </c>
      <c r="J276" t="s">
        <v>25</v>
      </c>
      <c r="K276" t="s">
        <v>1061</v>
      </c>
    </row>
    <row r="277" spans="1:11" x14ac:dyDescent="0.2">
      <c r="A277" t="s">
        <v>1062</v>
      </c>
      <c r="B277" t="s">
        <v>1063</v>
      </c>
      <c r="C277" t="s">
        <v>1064</v>
      </c>
      <c r="E277" t="s">
        <v>1065</v>
      </c>
      <c r="F277" s="2">
        <v>5253209</v>
      </c>
      <c r="G277" s="2">
        <v>13396302</v>
      </c>
      <c r="H277" t="s">
        <v>38</v>
      </c>
      <c r="I277" t="s">
        <v>17</v>
      </c>
      <c r="J277" t="s">
        <v>25</v>
      </c>
    </row>
    <row r="278" spans="1:11" x14ac:dyDescent="0.2">
      <c r="A278" t="s">
        <v>1066</v>
      </c>
      <c r="B278" t="s">
        <v>1067</v>
      </c>
      <c r="C278" t="s">
        <v>1068</v>
      </c>
      <c r="D278" t="s">
        <v>1069</v>
      </c>
      <c r="E278">
        <v>493027907167</v>
      </c>
      <c r="F278" s="2">
        <v>525315752</v>
      </c>
      <c r="G278" s="2">
        <v>133965969</v>
      </c>
      <c r="H278" t="s">
        <v>304</v>
      </c>
      <c r="I278" t="s">
        <v>17</v>
      </c>
      <c r="J278" t="s">
        <v>25</v>
      </c>
      <c r="K278" t="s">
        <v>1070</v>
      </c>
    </row>
    <row r="279" spans="1:11" x14ac:dyDescent="0.2">
      <c r="A279" t="s">
        <v>1071</v>
      </c>
      <c r="B279" t="s">
        <v>1072</v>
      </c>
      <c r="E279" t="s">
        <v>1073</v>
      </c>
      <c r="F279" s="2">
        <v>525178945</v>
      </c>
      <c r="G279" s="2">
        <v>133882827</v>
      </c>
      <c r="H279" t="s">
        <v>34</v>
      </c>
      <c r="I279" t="s">
        <v>17</v>
      </c>
      <c r="J279" t="s">
        <v>25</v>
      </c>
    </row>
    <row r="280" spans="1:11" x14ac:dyDescent="0.2">
      <c r="A280" t="s">
        <v>1074</v>
      </c>
      <c r="B280" t="s">
        <v>1075</v>
      </c>
      <c r="C280" t="s">
        <v>1076</v>
      </c>
      <c r="F280" s="2">
        <v>525093265</v>
      </c>
      <c r="G280" s="2">
        <v>134579704</v>
      </c>
      <c r="H280" t="s">
        <v>38</v>
      </c>
      <c r="I280" t="s">
        <v>17</v>
      </c>
      <c r="J280" t="s">
        <v>25</v>
      </c>
    </row>
    <row r="281" spans="1:11" x14ac:dyDescent="0.2">
      <c r="A281" t="s">
        <v>1077</v>
      </c>
      <c r="B281" t="s">
        <v>1078</v>
      </c>
      <c r="C281" t="s">
        <v>1079</v>
      </c>
      <c r="D281" t="s">
        <v>1080</v>
      </c>
      <c r="E281" t="s">
        <v>1081</v>
      </c>
      <c r="F281" s="2">
        <v>524239489</v>
      </c>
      <c r="G281" s="2">
        <v>133306356</v>
      </c>
      <c r="H281" t="s">
        <v>24</v>
      </c>
      <c r="I281" t="s">
        <v>17</v>
      </c>
      <c r="J281" t="s">
        <v>25</v>
      </c>
    </row>
    <row r="282" spans="1:11" x14ac:dyDescent="0.2">
      <c r="A282" t="s">
        <v>1082</v>
      </c>
      <c r="F282" s="2">
        <v>525339232</v>
      </c>
      <c r="G282" s="2">
        <v>134020087</v>
      </c>
      <c r="H282" t="s">
        <v>28</v>
      </c>
      <c r="I282" t="s">
        <v>17</v>
      </c>
      <c r="J282" t="s">
        <v>25</v>
      </c>
    </row>
    <row r="283" spans="1:11" x14ac:dyDescent="0.2">
      <c r="A283" t="s">
        <v>1083</v>
      </c>
      <c r="B283" t="s">
        <v>1084</v>
      </c>
      <c r="C283" t="s">
        <v>1085</v>
      </c>
      <c r="E283" t="s">
        <v>1086</v>
      </c>
      <c r="F283" s="2">
        <v>525226168</v>
      </c>
      <c r="G283" s="2">
        <v>133882443</v>
      </c>
      <c r="H283" t="s">
        <v>38</v>
      </c>
      <c r="I283" t="s">
        <v>17</v>
      </c>
      <c r="J283" t="s">
        <v>25</v>
      </c>
    </row>
    <row r="284" spans="1:11" x14ac:dyDescent="0.2">
      <c r="A284" t="s">
        <v>1087</v>
      </c>
      <c r="B284" t="s">
        <v>1088</v>
      </c>
      <c r="F284" s="2">
        <v>524987072</v>
      </c>
      <c r="G284" s="2">
        <v>132987243</v>
      </c>
      <c r="H284" t="s">
        <v>28</v>
      </c>
      <c r="I284" t="s">
        <v>17</v>
      </c>
      <c r="J284" t="s">
        <v>25</v>
      </c>
    </row>
    <row r="285" spans="1:11" x14ac:dyDescent="0.2">
      <c r="A285" t="s">
        <v>1089</v>
      </c>
      <c r="B285" t="s">
        <v>1090</v>
      </c>
      <c r="F285" s="2">
        <v>525931545</v>
      </c>
      <c r="G285" s="2">
        <v>133819714</v>
      </c>
      <c r="H285" t="s">
        <v>28</v>
      </c>
      <c r="I285" t="s">
        <v>17</v>
      </c>
      <c r="J285" t="s">
        <v>25</v>
      </c>
    </row>
    <row r="286" spans="1:11" x14ac:dyDescent="0.2">
      <c r="A286" t="s">
        <v>1091</v>
      </c>
      <c r="B286" t="s">
        <v>1092</v>
      </c>
      <c r="C286" t="s">
        <v>1093</v>
      </c>
      <c r="E286" t="s">
        <v>1094</v>
      </c>
      <c r="F286" s="2">
        <v>525050491</v>
      </c>
      <c r="G286" s="2">
        <v>13468952</v>
      </c>
      <c r="H286" t="s">
        <v>38</v>
      </c>
      <c r="I286" t="s">
        <v>17</v>
      </c>
      <c r="J286" t="s">
        <v>25</v>
      </c>
    </row>
    <row r="287" spans="1:11" x14ac:dyDescent="0.2">
      <c r="A287" t="s">
        <v>1095</v>
      </c>
      <c r="B287" t="s">
        <v>1096</v>
      </c>
      <c r="E287">
        <v>49303654381</v>
      </c>
      <c r="F287" s="2">
        <v>524508283</v>
      </c>
      <c r="G287" s="2">
        <v>131466473</v>
      </c>
      <c r="H287" t="s">
        <v>34</v>
      </c>
      <c r="I287" t="s">
        <v>17</v>
      </c>
      <c r="J287" t="s">
        <v>25</v>
      </c>
    </row>
    <row r="288" spans="1:11" x14ac:dyDescent="0.2">
      <c r="A288" t="s">
        <v>1097</v>
      </c>
      <c r="E288" t="s">
        <v>1098</v>
      </c>
    </row>
    <row r="289" spans="1:11" x14ac:dyDescent="0.2">
      <c r="A289" t="s">
        <v>1099</v>
      </c>
      <c r="B289" t="s">
        <v>1100</v>
      </c>
      <c r="C289" t="s">
        <v>1101</v>
      </c>
      <c r="D289" t="s">
        <v>1102</v>
      </c>
      <c r="E289">
        <v>493044034896</v>
      </c>
      <c r="F289" s="2">
        <v>526151487</v>
      </c>
      <c r="G289" s="2">
        <v>134846529</v>
      </c>
      <c r="H289" t="s">
        <v>51</v>
      </c>
      <c r="I289" t="s">
        <v>17</v>
      </c>
      <c r="J289" t="s">
        <v>25</v>
      </c>
      <c r="K289" t="s">
        <v>1103</v>
      </c>
    </row>
    <row r="290" spans="1:11" x14ac:dyDescent="0.2">
      <c r="A290" t="s">
        <v>1104</v>
      </c>
      <c r="B290" t="s">
        <v>1105</v>
      </c>
      <c r="D290" t="s">
        <v>1106</v>
      </c>
      <c r="E290">
        <v>49303417653</v>
      </c>
      <c r="F290" s="2">
        <v>52432327</v>
      </c>
      <c r="G290" s="2">
        <v>13713346</v>
      </c>
      <c r="H290" t="s">
        <v>1107</v>
      </c>
      <c r="I290" t="s">
        <v>17</v>
      </c>
      <c r="J290" t="s">
        <v>25</v>
      </c>
    </row>
    <row r="291" spans="1:11" x14ac:dyDescent="0.2">
      <c r="A291" t="s">
        <v>1108</v>
      </c>
      <c r="B291" t="s">
        <v>1109</v>
      </c>
      <c r="C291" t="s">
        <v>1110</v>
      </c>
      <c r="E291" t="s">
        <v>1111</v>
      </c>
      <c r="F291" s="2">
        <v>52431252</v>
      </c>
      <c r="G291" s="2">
        <v>137085775</v>
      </c>
      <c r="H291" t="s">
        <v>38</v>
      </c>
      <c r="I291" t="s">
        <v>17</v>
      </c>
      <c r="J291" t="s">
        <v>25</v>
      </c>
    </row>
    <row r="292" spans="1:11" x14ac:dyDescent="0.2">
      <c r="A292" t="s">
        <v>1112</v>
      </c>
      <c r="B292" t="s">
        <v>1113</v>
      </c>
      <c r="C292" t="s">
        <v>1114</v>
      </c>
      <c r="D292" t="s">
        <v>1115</v>
      </c>
      <c r="E292" t="s">
        <v>1116</v>
      </c>
      <c r="F292" s="2">
        <v>525524002</v>
      </c>
      <c r="G292" s="2">
        <v>134487348</v>
      </c>
      <c r="H292" t="s">
        <v>16</v>
      </c>
      <c r="I292" t="s">
        <v>17</v>
      </c>
      <c r="J292" t="s">
        <v>25</v>
      </c>
    </row>
    <row r="293" spans="1:11" x14ac:dyDescent="0.2">
      <c r="A293" t="s">
        <v>1117</v>
      </c>
      <c r="B293" t="s">
        <v>1118</v>
      </c>
      <c r="C293" t="s">
        <v>1119</v>
      </c>
      <c r="D293" t="s">
        <v>1120</v>
      </c>
      <c r="E293" t="s">
        <v>1121</v>
      </c>
      <c r="F293" s="2">
        <v>524992112</v>
      </c>
      <c r="G293" s="2">
        <v>133016415</v>
      </c>
      <c r="H293" t="s">
        <v>51</v>
      </c>
      <c r="I293" t="s">
        <v>17</v>
      </c>
      <c r="J293" t="s">
        <v>25</v>
      </c>
      <c r="K293" t="s">
        <v>1122</v>
      </c>
    </row>
    <row r="294" spans="1:11" x14ac:dyDescent="0.2">
      <c r="A294" t="s">
        <v>1123</v>
      </c>
      <c r="B294" t="s">
        <v>1124</v>
      </c>
      <c r="C294" t="s">
        <v>1125</v>
      </c>
      <c r="D294" t="s">
        <v>1126</v>
      </c>
      <c r="E294" t="s">
        <v>1127</v>
      </c>
      <c r="F294" s="2">
        <v>524874226</v>
      </c>
      <c r="G294" s="2">
        <v>133521024</v>
      </c>
      <c r="H294" t="s">
        <v>24</v>
      </c>
      <c r="I294" t="s">
        <v>17</v>
      </c>
      <c r="J294" t="s">
        <v>25</v>
      </c>
    </row>
    <row r="295" spans="1:11" x14ac:dyDescent="0.2">
      <c r="A295" t="s">
        <v>1128</v>
      </c>
      <c r="B295" t="s">
        <v>1129</v>
      </c>
      <c r="C295" t="s">
        <v>1130</v>
      </c>
      <c r="D295" t="s">
        <v>1131</v>
      </c>
      <c r="E295" t="s">
        <v>1132</v>
      </c>
      <c r="F295" s="2">
        <v>524585364</v>
      </c>
      <c r="G295" s="2">
        <v>133165662</v>
      </c>
      <c r="H295" t="s">
        <v>51</v>
      </c>
      <c r="I295" t="s">
        <v>17</v>
      </c>
      <c r="J295" t="s">
        <v>25</v>
      </c>
      <c r="K295" t="s">
        <v>1133</v>
      </c>
    </row>
    <row r="296" spans="1:11" x14ac:dyDescent="0.2">
      <c r="A296" t="s">
        <v>1134</v>
      </c>
      <c r="B296" t="s">
        <v>1135</v>
      </c>
      <c r="C296" t="s">
        <v>1136</v>
      </c>
      <c r="D296" t="s">
        <v>1137</v>
      </c>
      <c r="E296" t="s">
        <v>1138</v>
      </c>
      <c r="F296" s="2">
        <v>525933981</v>
      </c>
      <c r="G296" s="2">
        <v>134025984</v>
      </c>
      <c r="H296" t="s">
        <v>16</v>
      </c>
      <c r="I296" t="s">
        <v>17</v>
      </c>
      <c r="J296" t="s">
        <v>25</v>
      </c>
    </row>
    <row r="297" spans="1:11" x14ac:dyDescent="0.2">
      <c r="A297" t="s">
        <v>1139</v>
      </c>
      <c r="B297" t="s">
        <v>1140</v>
      </c>
      <c r="C297" t="s">
        <v>1141</v>
      </c>
      <c r="D297" t="s">
        <v>1142</v>
      </c>
      <c r="F297" s="2">
        <v>524900553</v>
      </c>
      <c r="G297" s="2">
        <v>134338383</v>
      </c>
      <c r="H297" t="s">
        <v>24</v>
      </c>
      <c r="I297" t="s">
        <v>17</v>
      </c>
      <c r="J297" t="s">
        <v>25</v>
      </c>
    </row>
    <row r="298" spans="1:11" x14ac:dyDescent="0.2">
      <c r="A298" t="s">
        <v>1143</v>
      </c>
      <c r="B298" t="s">
        <v>1144</v>
      </c>
      <c r="C298" t="s">
        <v>1145</v>
      </c>
      <c r="D298" t="s">
        <v>1146</v>
      </c>
      <c r="F298" s="2">
        <v>524999531</v>
      </c>
      <c r="G298" s="2">
        <v>134435706</v>
      </c>
      <c r="H298" t="s">
        <v>24</v>
      </c>
      <c r="I298" t="s">
        <v>17</v>
      </c>
      <c r="J298" t="s">
        <v>25</v>
      </c>
    </row>
    <row r="299" spans="1:11" x14ac:dyDescent="0.2">
      <c r="A299" t="s">
        <v>1147</v>
      </c>
      <c r="B299" t="s">
        <v>1148</v>
      </c>
      <c r="C299" t="s">
        <v>1149</v>
      </c>
      <c r="E299" t="s">
        <v>1150</v>
      </c>
      <c r="F299" s="2">
        <v>524917372</v>
      </c>
      <c r="G299" s="2">
        <v>134331113</v>
      </c>
      <c r="H299" t="s">
        <v>38</v>
      </c>
      <c r="I299" t="s">
        <v>17</v>
      </c>
      <c r="J299" t="s">
        <v>25</v>
      </c>
    </row>
    <row r="300" spans="1:11" x14ac:dyDescent="0.2">
      <c r="A300" t="s">
        <v>1151</v>
      </c>
      <c r="B300" t="s">
        <v>1152</v>
      </c>
      <c r="E300" t="s">
        <v>1153</v>
      </c>
      <c r="F300" s="2">
        <v>525006645</v>
      </c>
      <c r="G300" s="2">
        <v>134422489</v>
      </c>
      <c r="H300" t="s">
        <v>34</v>
      </c>
      <c r="I300" t="s">
        <v>17</v>
      </c>
      <c r="J300" t="s">
        <v>25</v>
      </c>
    </row>
    <row r="301" spans="1:11" x14ac:dyDescent="0.2">
      <c r="A301" t="s">
        <v>1154</v>
      </c>
      <c r="B301" t="s">
        <v>1155</v>
      </c>
      <c r="F301" s="2">
        <v>524994429</v>
      </c>
      <c r="G301" s="2">
        <v>134454305</v>
      </c>
      <c r="H301" t="s">
        <v>28</v>
      </c>
      <c r="I301" t="s">
        <v>17</v>
      </c>
      <c r="J301" t="s">
        <v>25</v>
      </c>
    </row>
    <row r="302" spans="1:11" x14ac:dyDescent="0.2">
      <c r="A302" t="s">
        <v>1156</v>
      </c>
      <c r="F302" s="2">
        <v>526202937</v>
      </c>
      <c r="G302" s="2">
        <v>133137992</v>
      </c>
      <c r="H302" t="s">
        <v>28</v>
      </c>
      <c r="I302" t="s">
        <v>17</v>
      </c>
      <c r="J302" t="s">
        <v>25</v>
      </c>
    </row>
    <row r="303" spans="1:11" x14ac:dyDescent="0.2">
      <c r="A303" t="s">
        <v>1157</v>
      </c>
      <c r="B303" t="s">
        <v>1158</v>
      </c>
      <c r="C303" t="s">
        <v>1159</v>
      </c>
      <c r="E303" t="s">
        <v>1160</v>
      </c>
      <c r="F303" s="2">
        <v>525884453</v>
      </c>
      <c r="G303" s="2">
        <v>133872163</v>
      </c>
      <c r="H303" t="s">
        <v>38</v>
      </c>
      <c r="I303" t="s">
        <v>17</v>
      </c>
      <c r="J303" t="s">
        <v>25</v>
      </c>
    </row>
    <row r="304" spans="1:11" x14ac:dyDescent="0.2">
      <c r="A304" t="s">
        <v>1161</v>
      </c>
      <c r="C304" t="s">
        <v>1162</v>
      </c>
      <c r="D304" t="s">
        <v>1163</v>
      </c>
      <c r="F304" s="2">
        <v>525408964</v>
      </c>
      <c r="G304" s="2">
        <v>13414157</v>
      </c>
      <c r="H304" t="s">
        <v>24</v>
      </c>
      <c r="I304" t="s">
        <v>17</v>
      </c>
      <c r="J304" t="s">
        <v>25</v>
      </c>
    </row>
    <row r="305" spans="1:11" x14ac:dyDescent="0.2">
      <c r="A305" t="s">
        <v>1164</v>
      </c>
      <c r="B305" t="s">
        <v>1165</v>
      </c>
      <c r="C305" t="s">
        <v>1166</v>
      </c>
      <c r="F305" s="2">
        <v>525050078</v>
      </c>
      <c r="G305" s="2">
        <v>135817977</v>
      </c>
      <c r="H305" t="s">
        <v>255</v>
      </c>
      <c r="I305" t="s">
        <v>17</v>
      </c>
      <c r="J305" t="s">
        <v>25</v>
      </c>
    </row>
    <row r="306" spans="1:11" x14ac:dyDescent="0.2">
      <c r="A306" t="s">
        <v>1167</v>
      </c>
      <c r="B306" t="s">
        <v>1168</v>
      </c>
      <c r="C306" t="s">
        <v>1169</v>
      </c>
      <c r="D306" t="s">
        <v>1170</v>
      </c>
      <c r="E306" t="s">
        <v>1171</v>
      </c>
      <c r="F306" s="2">
        <v>525174527</v>
      </c>
      <c r="G306" s="2">
        <v>134137758</v>
      </c>
      <c r="H306" t="s">
        <v>51</v>
      </c>
      <c r="I306" t="s">
        <v>17</v>
      </c>
      <c r="J306" t="s">
        <v>25</v>
      </c>
      <c r="K306" t="s">
        <v>1172</v>
      </c>
    </row>
    <row r="307" spans="1:11" x14ac:dyDescent="0.2">
      <c r="A307" t="s">
        <v>1173</v>
      </c>
      <c r="B307" t="s">
        <v>1174</v>
      </c>
      <c r="C307" t="s">
        <v>1175</v>
      </c>
      <c r="E307" t="s">
        <v>1176</v>
      </c>
      <c r="F307" s="2">
        <v>525044792</v>
      </c>
      <c r="G307" s="2">
        <v>13327536</v>
      </c>
      <c r="H307" t="s">
        <v>38</v>
      </c>
      <c r="I307" t="s">
        <v>17</v>
      </c>
      <c r="J307" t="s">
        <v>25</v>
      </c>
    </row>
    <row r="308" spans="1:11" x14ac:dyDescent="0.2">
      <c r="A308" t="s">
        <v>1177</v>
      </c>
      <c r="B308" t="s">
        <v>1178</v>
      </c>
      <c r="C308" t="s">
        <v>1179</v>
      </c>
      <c r="D308" t="s">
        <v>1180</v>
      </c>
      <c r="E308" t="s">
        <v>1181</v>
      </c>
      <c r="F308" s="2">
        <v>524535811</v>
      </c>
      <c r="G308" s="2">
        <v>133151201</v>
      </c>
      <c r="H308" t="s">
        <v>51</v>
      </c>
      <c r="I308" t="s">
        <v>17</v>
      </c>
      <c r="J308" t="s">
        <v>25</v>
      </c>
      <c r="K308" t="s">
        <v>1182</v>
      </c>
    </row>
    <row r="309" spans="1:11" x14ac:dyDescent="0.2">
      <c r="A309" t="s">
        <v>1183</v>
      </c>
      <c r="B309" t="s">
        <v>1184</v>
      </c>
      <c r="C309" t="s">
        <v>1185</v>
      </c>
      <c r="D309" t="s">
        <v>1186</v>
      </c>
      <c r="E309" t="s">
        <v>1187</v>
      </c>
      <c r="F309" s="2">
        <v>52541897</v>
      </c>
      <c r="G309" s="2">
        <v>134204637</v>
      </c>
      <c r="H309" t="s">
        <v>51</v>
      </c>
      <c r="I309" t="s">
        <v>17</v>
      </c>
      <c r="J309" t="s">
        <v>25</v>
      </c>
      <c r="K309" t="s">
        <v>1188</v>
      </c>
    </row>
    <row r="310" spans="1:11" x14ac:dyDescent="0.2">
      <c r="A310" t="s">
        <v>1189</v>
      </c>
      <c r="B310" t="s">
        <v>1190</v>
      </c>
      <c r="C310" t="s">
        <v>1191</v>
      </c>
      <c r="F310" s="2">
        <v>525416295</v>
      </c>
      <c r="G310" s="2">
        <v>134214974</v>
      </c>
      <c r="H310" t="s">
        <v>38</v>
      </c>
      <c r="I310" t="s">
        <v>17</v>
      </c>
      <c r="J310" t="s">
        <v>25</v>
      </c>
    </row>
    <row r="311" spans="1:11" x14ac:dyDescent="0.2">
      <c r="A311" t="s">
        <v>1192</v>
      </c>
      <c r="B311" t="s">
        <v>1193</v>
      </c>
      <c r="C311" t="s">
        <v>1194</v>
      </c>
      <c r="D311" t="s">
        <v>1195</v>
      </c>
      <c r="E311" t="s">
        <v>1196</v>
      </c>
      <c r="F311" s="2">
        <v>52544443</v>
      </c>
      <c r="G311" s="2">
        <v>134163098</v>
      </c>
      <c r="H311" t="s">
        <v>51</v>
      </c>
      <c r="I311" t="s">
        <v>17</v>
      </c>
      <c r="J311" t="s">
        <v>25</v>
      </c>
      <c r="K311" t="s">
        <v>1197</v>
      </c>
    </row>
    <row r="312" spans="1:11" x14ac:dyDescent="0.2">
      <c r="A312" t="s">
        <v>1198</v>
      </c>
      <c r="B312" t="s">
        <v>1199</v>
      </c>
      <c r="C312" t="s">
        <v>1200</v>
      </c>
      <c r="E312" t="s">
        <v>1201</v>
      </c>
      <c r="F312" s="2">
        <v>525442713</v>
      </c>
      <c r="G312" s="2">
        <v>134184056</v>
      </c>
      <c r="H312" t="s">
        <v>38</v>
      </c>
      <c r="I312" t="s">
        <v>17</v>
      </c>
      <c r="J312" t="s">
        <v>25</v>
      </c>
    </row>
    <row r="313" spans="1:11" x14ac:dyDescent="0.2">
      <c r="A313" t="s">
        <v>1202</v>
      </c>
      <c r="B313" t="s">
        <v>1203</v>
      </c>
      <c r="C313" t="s">
        <v>1204</v>
      </c>
      <c r="D313" t="s">
        <v>1205</v>
      </c>
      <c r="E313" t="s">
        <v>1206</v>
      </c>
      <c r="F313" s="2">
        <v>525415085</v>
      </c>
      <c r="G313" s="2">
        <v>134148581</v>
      </c>
      <c r="H313" t="s">
        <v>51</v>
      </c>
      <c r="I313" t="s">
        <v>17</v>
      </c>
      <c r="J313" t="s">
        <v>25</v>
      </c>
      <c r="K313" t="s">
        <v>1207</v>
      </c>
    </row>
    <row r="314" spans="1:11" x14ac:dyDescent="0.2">
      <c r="A314" t="s">
        <v>1208</v>
      </c>
      <c r="B314" t="s">
        <v>1209</v>
      </c>
      <c r="C314" t="s">
        <v>1210</v>
      </c>
      <c r="D314" t="s">
        <v>1211</v>
      </c>
      <c r="E314" t="s">
        <v>1212</v>
      </c>
      <c r="F314" s="2">
        <v>525464705</v>
      </c>
      <c r="G314" s="2">
        <v>134179349</v>
      </c>
      <c r="H314" t="s">
        <v>304</v>
      </c>
      <c r="I314" t="s">
        <v>17</v>
      </c>
      <c r="J314" t="s">
        <v>25</v>
      </c>
      <c r="K314" t="s">
        <v>1213</v>
      </c>
    </row>
    <row r="315" spans="1:11" x14ac:dyDescent="0.2">
      <c r="A315" t="s">
        <v>1214</v>
      </c>
      <c r="B315" t="s">
        <v>1215</v>
      </c>
      <c r="C315" t="s">
        <v>1216</v>
      </c>
      <c r="D315" t="s">
        <v>1217</v>
      </c>
      <c r="E315" t="s">
        <v>1218</v>
      </c>
      <c r="F315" s="2">
        <v>525467004</v>
      </c>
      <c r="G315" s="2">
        <v>134181417</v>
      </c>
      <c r="H315" t="s">
        <v>51</v>
      </c>
      <c r="I315" t="s">
        <v>17</v>
      </c>
      <c r="J315" t="s">
        <v>25</v>
      </c>
      <c r="K315" t="s">
        <v>1219</v>
      </c>
    </row>
    <row r="316" spans="1:11" x14ac:dyDescent="0.2">
      <c r="A316" t="s">
        <v>1220</v>
      </c>
      <c r="B316" t="s">
        <v>1221</v>
      </c>
      <c r="C316" t="s">
        <v>1222</v>
      </c>
      <c r="E316" t="s">
        <v>1223</v>
      </c>
      <c r="F316" s="2">
        <v>525465503</v>
      </c>
      <c r="G316" s="2">
        <v>13418534</v>
      </c>
      <c r="H316" t="s">
        <v>38</v>
      </c>
      <c r="I316" t="s">
        <v>17</v>
      </c>
      <c r="J316" t="s">
        <v>25</v>
      </c>
    </row>
    <row r="317" spans="1:11" x14ac:dyDescent="0.2">
      <c r="A317" t="s">
        <v>1224</v>
      </c>
      <c r="B317" t="s">
        <v>1225</v>
      </c>
      <c r="C317" t="s">
        <v>1226</v>
      </c>
      <c r="D317" t="s">
        <v>1227</v>
      </c>
      <c r="E317" t="s">
        <v>1228</v>
      </c>
      <c r="F317" s="2">
        <v>525438549</v>
      </c>
      <c r="G317" s="2">
        <v>134174888</v>
      </c>
      <c r="H317" t="s">
        <v>51</v>
      </c>
      <c r="I317" t="s">
        <v>17</v>
      </c>
      <c r="J317" t="s">
        <v>25</v>
      </c>
      <c r="K317" t="s">
        <v>1229</v>
      </c>
    </row>
    <row r="318" spans="1:11" x14ac:dyDescent="0.2">
      <c r="A318" t="s">
        <v>1230</v>
      </c>
      <c r="B318" t="s">
        <v>1231</v>
      </c>
      <c r="C318" t="s">
        <v>1232</v>
      </c>
      <c r="E318" t="s">
        <v>1233</v>
      </c>
      <c r="F318" s="2">
        <v>524885059</v>
      </c>
      <c r="G318" s="2">
        <v>133535892</v>
      </c>
      <c r="H318" t="s">
        <v>277</v>
      </c>
      <c r="I318" t="s">
        <v>17</v>
      </c>
      <c r="J318" t="s">
        <v>25</v>
      </c>
      <c r="K318" t="s">
        <v>640</v>
      </c>
    </row>
    <row r="319" spans="1:11" x14ac:dyDescent="0.2">
      <c r="A319" t="s">
        <v>1234</v>
      </c>
      <c r="B319" t="s">
        <v>1235</v>
      </c>
      <c r="C319" t="s">
        <v>1236</v>
      </c>
      <c r="D319" t="s">
        <v>1237</v>
      </c>
      <c r="E319" t="s">
        <v>1238</v>
      </c>
      <c r="F319" s="2">
        <v>524873737</v>
      </c>
      <c r="G319" s="2">
        <v>133539428</v>
      </c>
      <c r="H319" t="s">
        <v>24</v>
      </c>
      <c r="I319" t="s">
        <v>17</v>
      </c>
      <c r="J319" t="s">
        <v>25</v>
      </c>
    </row>
    <row r="320" spans="1:11" x14ac:dyDescent="0.2">
      <c r="A320" t="s">
        <v>1239</v>
      </c>
      <c r="B320" t="s">
        <v>1240</v>
      </c>
      <c r="C320" t="s">
        <v>1241</v>
      </c>
      <c r="E320" t="s">
        <v>1242</v>
      </c>
      <c r="F320" s="2">
        <v>524438246</v>
      </c>
      <c r="G320" s="2">
        <v>132933907</v>
      </c>
      <c r="H320" t="s">
        <v>38</v>
      </c>
      <c r="I320" t="s">
        <v>17</v>
      </c>
      <c r="J320" t="s">
        <v>25</v>
      </c>
    </row>
    <row r="321" spans="1:11" x14ac:dyDescent="0.2">
      <c r="A321" t="s">
        <v>1243</v>
      </c>
      <c r="B321" t="s">
        <v>1244</v>
      </c>
      <c r="C321" t="s">
        <v>1245</v>
      </c>
      <c r="D321" t="s">
        <v>1246</v>
      </c>
      <c r="E321" t="s">
        <v>1247</v>
      </c>
      <c r="F321" s="2">
        <v>524891914</v>
      </c>
      <c r="G321" s="2">
        <v>133546489</v>
      </c>
      <c r="H321" t="s">
        <v>51</v>
      </c>
      <c r="I321" t="s">
        <v>17</v>
      </c>
      <c r="J321" t="s">
        <v>25</v>
      </c>
      <c r="K321" t="s">
        <v>1248</v>
      </c>
    </row>
    <row r="322" spans="1:11" x14ac:dyDescent="0.2">
      <c r="A322" t="s">
        <v>1249</v>
      </c>
      <c r="B322" t="s">
        <v>1244</v>
      </c>
      <c r="C322" t="s">
        <v>1250</v>
      </c>
      <c r="D322" t="s">
        <v>1251</v>
      </c>
      <c r="E322" t="s">
        <v>1252</v>
      </c>
      <c r="F322" s="2">
        <v>524892061</v>
      </c>
      <c r="G322" s="2">
        <v>133544624</v>
      </c>
      <c r="H322" t="s">
        <v>51</v>
      </c>
      <c r="I322" t="s">
        <v>17</v>
      </c>
      <c r="J322" t="s">
        <v>25</v>
      </c>
      <c r="K322" t="s">
        <v>1253</v>
      </c>
    </row>
    <row r="323" spans="1:11" x14ac:dyDescent="0.2">
      <c r="A323" t="s">
        <v>1254</v>
      </c>
      <c r="B323" t="s">
        <v>1255</v>
      </c>
      <c r="C323" t="s">
        <v>1256</v>
      </c>
      <c r="D323" t="s">
        <v>1257</v>
      </c>
      <c r="E323" t="s">
        <v>1258</v>
      </c>
      <c r="F323" s="2">
        <v>525229748</v>
      </c>
      <c r="G323" s="2">
        <v>133342</v>
      </c>
      <c r="H323" t="s">
        <v>24</v>
      </c>
      <c r="I323" t="s">
        <v>17</v>
      </c>
      <c r="J323" t="s">
        <v>25</v>
      </c>
    </row>
    <row r="324" spans="1:11" x14ac:dyDescent="0.2">
      <c r="A324" t="s">
        <v>1259</v>
      </c>
      <c r="B324" t="s">
        <v>1260</v>
      </c>
      <c r="C324" t="s">
        <v>1261</v>
      </c>
      <c r="D324" t="s">
        <v>1262</v>
      </c>
      <c r="E324" t="s">
        <v>1263</v>
      </c>
      <c r="F324" s="2">
        <v>525240507</v>
      </c>
      <c r="G324" s="2">
        <v>133394417</v>
      </c>
      <c r="H324" t="s">
        <v>24</v>
      </c>
      <c r="I324" t="s">
        <v>17</v>
      </c>
      <c r="J324" t="s">
        <v>25</v>
      </c>
    </row>
    <row r="325" spans="1:11" x14ac:dyDescent="0.2">
      <c r="A325" t="s">
        <v>1264</v>
      </c>
      <c r="B325" t="s">
        <v>1265</v>
      </c>
      <c r="C325" t="s">
        <v>1266</v>
      </c>
      <c r="D325" t="s">
        <v>1267</v>
      </c>
      <c r="E325" t="s">
        <v>1268</v>
      </c>
      <c r="F325" s="2">
        <v>524931928</v>
      </c>
      <c r="G325" s="2">
        <v>134651593</v>
      </c>
      <c r="H325" t="s">
        <v>51</v>
      </c>
      <c r="I325" t="s">
        <v>17</v>
      </c>
      <c r="J325" t="s">
        <v>25</v>
      </c>
      <c r="K325" t="s">
        <v>1269</v>
      </c>
    </row>
    <row r="326" spans="1:11" x14ac:dyDescent="0.2">
      <c r="A326" t="s">
        <v>1270</v>
      </c>
      <c r="B326" t="s">
        <v>1271</v>
      </c>
      <c r="C326" t="s">
        <v>1272</v>
      </c>
      <c r="D326" t="s">
        <v>609</v>
      </c>
      <c r="E326" t="s">
        <v>1273</v>
      </c>
      <c r="F326" s="2">
        <v>525415706</v>
      </c>
      <c r="G326" s="2">
        <v>134230203</v>
      </c>
      <c r="H326" t="s">
        <v>51</v>
      </c>
      <c r="I326" t="s">
        <v>17</v>
      </c>
      <c r="J326" t="s">
        <v>25</v>
      </c>
      <c r="K326" t="s">
        <v>1274</v>
      </c>
    </row>
    <row r="327" spans="1:11" x14ac:dyDescent="0.2">
      <c r="A327" t="s">
        <v>1275</v>
      </c>
      <c r="B327" t="s">
        <v>1276</v>
      </c>
      <c r="C327" t="s">
        <v>1277</v>
      </c>
      <c r="D327" t="s">
        <v>1278</v>
      </c>
      <c r="E327" t="s">
        <v>1279</v>
      </c>
      <c r="F327" s="2">
        <v>525199967</v>
      </c>
      <c r="G327" s="2">
        <v>132998164</v>
      </c>
      <c r="H327" t="s">
        <v>51</v>
      </c>
      <c r="I327" t="s">
        <v>17</v>
      </c>
      <c r="J327" t="s">
        <v>25</v>
      </c>
      <c r="K327" t="s">
        <v>1280</v>
      </c>
    </row>
    <row r="328" spans="1:11" x14ac:dyDescent="0.2">
      <c r="A328" t="s">
        <v>1281</v>
      </c>
      <c r="B328" t="s">
        <v>1282</v>
      </c>
      <c r="F328" s="2">
        <v>525263335</v>
      </c>
      <c r="G328" s="2">
        <v>132977576</v>
      </c>
      <c r="H328" t="s">
        <v>28</v>
      </c>
      <c r="I328" t="s">
        <v>17</v>
      </c>
      <c r="J328" t="s">
        <v>25</v>
      </c>
    </row>
    <row r="329" spans="1:11" x14ac:dyDescent="0.2">
      <c r="A329" t="s">
        <v>1283</v>
      </c>
      <c r="B329" t="s">
        <v>1284</v>
      </c>
      <c r="C329" t="s">
        <v>1285</v>
      </c>
      <c r="D329" t="s">
        <v>1286</v>
      </c>
      <c r="E329" t="s">
        <v>1287</v>
      </c>
      <c r="F329" s="2">
        <v>525117446</v>
      </c>
      <c r="G329" s="2">
        <v>132008364</v>
      </c>
      <c r="H329" t="s">
        <v>16</v>
      </c>
      <c r="I329" t="s">
        <v>17</v>
      </c>
      <c r="J329" t="s">
        <v>25</v>
      </c>
    </row>
    <row r="330" spans="1:11" x14ac:dyDescent="0.2">
      <c r="A330" t="s">
        <v>1288</v>
      </c>
      <c r="B330" t="s">
        <v>1289</v>
      </c>
      <c r="C330" t="s">
        <v>1290</v>
      </c>
      <c r="D330" t="s">
        <v>1291</v>
      </c>
      <c r="E330" t="s">
        <v>1292</v>
      </c>
      <c r="F330" s="2">
        <v>525275979</v>
      </c>
      <c r="G330" s="2">
        <v>133929966</v>
      </c>
      <c r="H330" t="s">
        <v>51</v>
      </c>
      <c r="I330" t="s">
        <v>17</v>
      </c>
      <c r="J330" t="s">
        <v>25</v>
      </c>
      <c r="K330" t="s">
        <v>1293</v>
      </c>
    </row>
    <row r="331" spans="1:11" x14ac:dyDescent="0.2">
      <c r="A331" t="s">
        <v>1294</v>
      </c>
      <c r="B331" t="s">
        <v>1295</v>
      </c>
      <c r="C331" t="s">
        <v>1296</v>
      </c>
      <c r="D331" t="s">
        <v>1297</v>
      </c>
      <c r="E331" t="s">
        <v>1298</v>
      </c>
      <c r="F331" s="2">
        <v>525500834</v>
      </c>
      <c r="G331" s="2">
        <v>133851298</v>
      </c>
      <c r="H331" t="s">
        <v>51</v>
      </c>
      <c r="I331" t="s">
        <v>17</v>
      </c>
      <c r="J331" t="s">
        <v>25</v>
      </c>
      <c r="K331" t="s">
        <v>1299</v>
      </c>
    </row>
    <row r="332" spans="1:11" x14ac:dyDescent="0.2">
      <c r="A332" t="s">
        <v>1300</v>
      </c>
      <c r="B332" t="s">
        <v>331</v>
      </c>
      <c r="C332" t="s">
        <v>1301</v>
      </c>
      <c r="D332" t="s">
        <v>1302</v>
      </c>
      <c r="E332">
        <v>493079744564</v>
      </c>
      <c r="F332" s="2">
        <v>524604524</v>
      </c>
      <c r="G332" s="2">
        <v>133232543</v>
      </c>
      <c r="H332" t="s">
        <v>24</v>
      </c>
      <c r="I332" t="s">
        <v>17</v>
      </c>
      <c r="J332" t="s">
        <v>25</v>
      </c>
    </row>
    <row r="333" spans="1:11" x14ac:dyDescent="0.2">
      <c r="A333" t="s">
        <v>1303</v>
      </c>
      <c r="B333" t="s">
        <v>1304</v>
      </c>
      <c r="C333" t="s">
        <v>1305</v>
      </c>
      <c r="D333" t="s">
        <v>1306</v>
      </c>
      <c r="E333" t="s">
        <v>1307</v>
      </c>
      <c r="F333" s="2">
        <v>524467346</v>
      </c>
      <c r="G333" s="2">
        <v>133149563</v>
      </c>
      <c r="H333" t="s">
        <v>51</v>
      </c>
      <c r="I333" t="s">
        <v>17</v>
      </c>
      <c r="J333" t="s">
        <v>25</v>
      </c>
      <c r="K333" t="s">
        <v>1308</v>
      </c>
    </row>
    <row r="334" spans="1:11" x14ac:dyDescent="0.2">
      <c r="A334" t="s">
        <v>1309</v>
      </c>
      <c r="B334" t="s">
        <v>1310</v>
      </c>
      <c r="C334" t="s">
        <v>1311</v>
      </c>
      <c r="D334" t="s">
        <v>1312</v>
      </c>
      <c r="F334" s="2">
        <v>525018681</v>
      </c>
      <c r="G334" s="2">
        <v>133105132</v>
      </c>
      <c r="H334" t="s">
        <v>51</v>
      </c>
      <c r="I334" t="s">
        <v>17</v>
      </c>
      <c r="J334" t="s">
        <v>25</v>
      </c>
      <c r="K334" t="s">
        <v>1313</v>
      </c>
    </row>
    <row r="335" spans="1:11" x14ac:dyDescent="0.2">
      <c r="A335" t="s">
        <v>1314</v>
      </c>
      <c r="B335" t="s">
        <v>1315</v>
      </c>
      <c r="C335" t="s">
        <v>1316</v>
      </c>
      <c r="D335" t="s">
        <v>1317</v>
      </c>
      <c r="E335" t="s">
        <v>1318</v>
      </c>
      <c r="F335" s="2">
        <v>525157506</v>
      </c>
      <c r="G335" s="2">
        <v>134646065</v>
      </c>
      <c r="H335" t="s">
        <v>16</v>
      </c>
      <c r="I335" t="s">
        <v>17</v>
      </c>
      <c r="J335" t="s">
        <v>25</v>
      </c>
    </row>
    <row r="336" spans="1:11" x14ac:dyDescent="0.2">
      <c r="A336" t="s">
        <v>1319</v>
      </c>
      <c r="B336" t="s">
        <v>1320</v>
      </c>
      <c r="E336" t="s">
        <v>1321</v>
      </c>
      <c r="F336" s="2">
        <v>525290596</v>
      </c>
      <c r="G336" s="2">
        <v>133953395</v>
      </c>
      <c r="H336" t="s">
        <v>34</v>
      </c>
      <c r="I336" t="s">
        <v>17</v>
      </c>
      <c r="J336" t="s">
        <v>25</v>
      </c>
    </row>
    <row r="337" spans="1:11" x14ac:dyDescent="0.2">
      <c r="A337" t="s">
        <v>1322</v>
      </c>
      <c r="F337" s="2">
        <v>526128827</v>
      </c>
      <c r="G337" s="2">
        <v>134308377</v>
      </c>
      <c r="H337" t="s">
        <v>28</v>
      </c>
      <c r="I337" t="s">
        <v>17</v>
      </c>
      <c r="J337" t="s">
        <v>25</v>
      </c>
    </row>
    <row r="338" spans="1:11" x14ac:dyDescent="0.2">
      <c r="A338" t="s">
        <v>1323</v>
      </c>
      <c r="B338" t="s">
        <v>1324</v>
      </c>
      <c r="C338" t="s">
        <v>1325</v>
      </c>
      <c r="D338" t="s">
        <v>1326</v>
      </c>
      <c r="F338" s="2">
        <v>525172176</v>
      </c>
      <c r="G338" s="2">
        <v>132794606</v>
      </c>
      <c r="H338" t="s">
        <v>24</v>
      </c>
      <c r="I338" t="s">
        <v>17</v>
      </c>
      <c r="J338" t="s">
        <v>25</v>
      </c>
    </row>
    <row r="339" spans="1:11" x14ac:dyDescent="0.2">
      <c r="A339" t="s">
        <v>1327</v>
      </c>
      <c r="B339" t="s">
        <v>1328</v>
      </c>
      <c r="F339" s="2">
        <v>525549089</v>
      </c>
      <c r="G339" s="2">
        <v>134584972</v>
      </c>
      <c r="H339" t="s">
        <v>28</v>
      </c>
      <c r="I339" t="s">
        <v>17</v>
      </c>
      <c r="J339" t="s">
        <v>25</v>
      </c>
    </row>
    <row r="340" spans="1:11" x14ac:dyDescent="0.2">
      <c r="A340" t="s">
        <v>1329</v>
      </c>
      <c r="B340" t="s">
        <v>1330</v>
      </c>
      <c r="C340" t="s">
        <v>1331</v>
      </c>
      <c r="F340" s="2">
        <v>526170996</v>
      </c>
      <c r="G340" s="2">
        <v>134889601</v>
      </c>
      <c r="H340" t="s">
        <v>277</v>
      </c>
      <c r="I340" t="s">
        <v>17</v>
      </c>
      <c r="J340" t="s">
        <v>25</v>
      </c>
      <c r="K340" t="s">
        <v>1332</v>
      </c>
    </row>
    <row r="341" spans="1:11" x14ac:dyDescent="0.2">
      <c r="A341" t="s">
        <v>1333</v>
      </c>
      <c r="E341" t="s">
        <v>1334</v>
      </c>
      <c r="F341" s="2">
        <v>524516006</v>
      </c>
      <c r="G341" s="2">
        <v>131470106</v>
      </c>
      <c r="H341" t="s">
        <v>34</v>
      </c>
      <c r="I341" t="s">
        <v>17</v>
      </c>
      <c r="J341" t="s">
        <v>25</v>
      </c>
    </row>
    <row r="342" spans="1:11" x14ac:dyDescent="0.2">
      <c r="A342" t="s">
        <v>1335</v>
      </c>
      <c r="B342" t="s">
        <v>1336</v>
      </c>
      <c r="F342" s="2">
        <v>525211631</v>
      </c>
      <c r="G342" s="2">
        <v>133218617</v>
      </c>
      <c r="H342" t="s">
        <v>28</v>
      </c>
      <c r="I342" t="s">
        <v>17</v>
      </c>
      <c r="J342" t="s">
        <v>25</v>
      </c>
    </row>
    <row r="343" spans="1:11" x14ac:dyDescent="0.2">
      <c r="A343" t="s">
        <v>1337</v>
      </c>
      <c r="B343" t="s">
        <v>1338</v>
      </c>
      <c r="C343" t="s">
        <v>1339</v>
      </c>
      <c r="D343" t="s">
        <v>1340</v>
      </c>
      <c r="E343" t="s">
        <v>1341</v>
      </c>
      <c r="F343" s="2">
        <v>525190043</v>
      </c>
      <c r="G343" s="2">
        <v>13409291</v>
      </c>
      <c r="H343" t="s">
        <v>24</v>
      </c>
      <c r="I343" t="s">
        <v>17</v>
      </c>
      <c r="J343" t="s">
        <v>25</v>
      </c>
    </row>
    <row r="344" spans="1:11" x14ac:dyDescent="0.2">
      <c r="A344" t="s">
        <v>1342</v>
      </c>
      <c r="B344" t="s">
        <v>1343</v>
      </c>
      <c r="C344" t="s">
        <v>1344</v>
      </c>
      <c r="D344" t="s">
        <v>1345</v>
      </c>
      <c r="F344" s="2">
        <v>525211493</v>
      </c>
      <c r="G344" s="2">
        <v>134062159</v>
      </c>
      <c r="H344" t="s">
        <v>51</v>
      </c>
      <c r="I344" t="s">
        <v>17</v>
      </c>
      <c r="J344" t="s">
        <v>25</v>
      </c>
      <c r="K344" t="s">
        <v>1346</v>
      </c>
    </row>
    <row r="345" spans="1:11" x14ac:dyDescent="0.2">
      <c r="A345" t="s">
        <v>1347</v>
      </c>
      <c r="B345" t="s">
        <v>1343</v>
      </c>
      <c r="C345" t="s">
        <v>1348</v>
      </c>
      <c r="D345" t="s">
        <v>1349</v>
      </c>
      <c r="E345" t="s">
        <v>1350</v>
      </c>
      <c r="F345" s="2">
        <v>525213454</v>
      </c>
      <c r="G345" s="2">
        <v>134059828</v>
      </c>
      <c r="H345" t="s">
        <v>24</v>
      </c>
      <c r="I345" t="s">
        <v>17</v>
      </c>
      <c r="J345" t="s">
        <v>25</v>
      </c>
    </row>
    <row r="346" spans="1:11" x14ac:dyDescent="0.2">
      <c r="A346" t="s">
        <v>1351</v>
      </c>
      <c r="B346" t="s">
        <v>1352</v>
      </c>
      <c r="C346" t="s">
        <v>1353</v>
      </c>
      <c r="D346" t="s">
        <v>1354</v>
      </c>
      <c r="E346" t="s">
        <v>1355</v>
      </c>
      <c r="F346" s="2">
        <v>52517794</v>
      </c>
      <c r="G346" s="2">
        <v>13428828</v>
      </c>
      <c r="H346" t="s">
        <v>304</v>
      </c>
      <c r="I346" t="s">
        <v>17</v>
      </c>
      <c r="J346" t="s">
        <v>25</v>
      </c>
      <c r="K346" t="s">
        <v>1356</v>
      </c>
    </row>
    <row r="347" spans="1:11" x14ac:dyDescent="0.2">
      <c r="A347" t="s">
        <v>1357</v>
      </c>
      <c r="B347" t="s">
        <v>1358</v>
      </c>
      <c r="C347" t="s">
        <v>1359</v>
      </c>
      <c r="D347" t="s">
        <v>1360</v>
      </c>
      <c r="E347" t="s">
        <v>1361</v>
      </c>
      <c r="F347" s="2">
        <v>525190513</v>
      </c>
      <c r="G347" s="2">
        <v>134295589</v>
      </c>
      <c r="H347" t="s">
        <v>24</v>
      </c>
      <c r="I347" t="s">
        <v>17</v>
      </c>
      <c r="J347" t="s">
        <v>25</v>
      </c>
    </row>
    <row r="348" spans="1:11" x14ac:dyDescent="0.2">
      <c r="A348" t="s">
        <v>1362</v>
      </c>
      <c r="F348" s="2">
        <v>525018008</v>
      </c>
      <c r="G348" s="2">
        <v>133008448</v>
      </c>
      <c r="H348" t="s">
        <v>28</v>
      </c>
      <c r="I348" t="s">
        <v>17</v>
      </c>
      <c r="J348" t="s">
        <v>25</v>
      </c>
    </row>
    <row r="349" spans="1:11" x14ac:dyDescent="0.2">
      <c r="A349" t="s">
        <v>1363</v>
      </c>
      <c r="B349" t="s">
        <v>1364</v>
      </c>
      <c r="E349" t="s">
        <v>1365</v>
      </c>
      <c r="F349" s="2">
        <v>524788039</v>
      </c>
      <c r="G349" s="2">
        <v>133105291</v>
      </c>
      <c r="H349" t="s">
        <v>34</v>
      </c>
      <c r="I349" t="s">
        <v>17</v>
      </c>
      <c r="J349" t="s">
        <v>25</v>
      </c>
    </row>
    <row r="350" spans="1:11" x14ac:dyDescent="0.2">
      <c r="A350" t="s">
        <v>1366</v>
      </c>
      <c r="B350" t="s">
        <v>1367</v>
      </c>
      <c r="C350" t="s">
        <v>1368</v>
      </c>
      <c r="D350" t="s">
        <v>1369</v>
      </c>
      <c r="E350">
        <v>493064328607</v>
      </c>
      <c r="F350" s="2">
        <v>524559737</v>
      </c>
      <c r="G350" s="2">
        <v>136250449</v>
      </c>
      <c r="H350" t="s">
        <v>51</v>
      </c>
      <c r="I350" t="s">
        <v>17</v>
      </c>
      <c r="J350" t="s">
        <v>25</v>
      </c>
      <c r="K350" t="s">
        <v>1370</v>
      </c>
    </row>
    <row r="351" spans="1:11" x14ac:dyDescent="0.2">
      <c r="A351" t="s">
        <v>1371</v>
      </c>
      <c r="B351" t="s">
        <v>1372</v>
      </c>
      <c r="F351" s="2">
        <v>524750273</v>
      </c>
      <c r="G351" s="2">
        <v>134396896</v>
      </c>
      <c r="H351" t="s">
        <v>28</v>
      </c>
      <c r="I351" t="s">
        <v>17</v>
      </c>
      <c r="J351" t="s">
        <v>25</v>
      </c>
    </row>
    <row r="352" spans="1:11" x14ac:dyDescent="0.2">
      <c r="A352" t="s">
        <v>1373</v>
      </c>
      <c r="B352" t="s">
        <v>1374</v>
      </c>
      <c r="C352" t="s">
        <v>1375</v>
      </c>
      <c r="E352" t="s">
        <v>1376</v>
      </c>
      <c r="F352" s="2">
        <v>525383125</v>
      </c>
      <c r="G352" s="2">
        <v>132038118</v>
      </c>
      <c r="H352" t="s">
        <v>38</v>
      </c>
      <c r="I352" t="s">
        <v>17</v>
      </c>
      <c r="J352" t="s">
        <v>25</v>
      </c>
    </row>
    <row r="353" spans="1:11" x14ac:dyDescent="0.2">
      <c r="A353" t="s">
        <v>1377</v>
      </c>
      <c r="B353" t="s">
        <v>1378</v>
      </c>
      <c r="C353" t="s">
        <v>1379</v>
      </c>
      <c r="E353" t="s">
        <v>1380</v>
      </c>
      <c r="F353" s="2">
        <v>525381807</v>
      </c>
      <c r="G353" s="2">
        <v>132021169</v>
      </c>
      <c r="H353" t="s">
        <v>38</v>
      </c>
      <c r="I353" t="s">
        <v>17</v>
      </c>
      <c r="J353" t="s">
        <v>25</v>
      </c>
    </row>
    <row r="354" spans="1:11" x14ac:dyDescent="0.2">
      <c r="A354" t="s">
        <v>1381</v>
      </c>
      <c r="F354" s="2">
        <v>524625588</v>
      </c>
      <c r="G354" s="2">
        <v>134163784</v>
      </c>
      <c r="H354" t="s">
        <v>28</v>
      </c>
      <c r="I354" t="s">
        <v>17</v>
      </c>
      <c r="J354" t="s">
        <v>25</v>
      </c>
    </row>
    <row r="355" spans="1:11" x14ac:dyDescent="0.2">
      <c r="A355" t="s">
        <v>1382</v>
      </c>
      <c r="B355" t="s">
        <v>1383</v>
      </c>
      <c r="C355" t="s">
        <v>1384</v>
      </c>
      <c r="D355" t="s">
        <v>1385</v>
      </c>
      <c r="E355" t="s">
        <v>1386</v>
      </c>
      <c r="F355" s="2">
        <v>52457185</v>
      </c>
      <c r="G355" s="2">
        <v>133836821</v>
      </c>
      <c r="H355" t="s">
        <v>51</v>
      </c>
      <c r="I355" t="s">
        <v>17</v>
      </c>
      <c r="J355" t="s">
        <v>25</v>
      </c>
      <c r="K355" t="s">
        <v>1387</v>
      </c>
    </row>
    <row r="356" spans="1:11" x14ac:dyDescent="0.2">
      <c r="A356" t="s">
        <v>1388</v>
      </c>
      <c r="B356" t="s">
        <v>1389</v>
      </c>
      <c r="C356" t="s">
        <v>1390</v>
      </c>
      <c r="F356" s="2">
        <v>524566463</v>
      </c>
      <c r="G356" s="2">
        <v>133836436</v>
      </c>
      <c r="H356" t="s">
        <v>38</v>
      </c>
      <c r="I356" t="s">
        <v>17</v>
      </c>
      <c r="J356" t="s">
        <v>25</v>
      </c>
    </row>
    <row r="357" spans="1:11" x14ac:dyDescent="0.2">
      <c r="A357" t="s">
        <v>1391</v>
      </c>
      <c r="B357" t="s">
        <v>1392</v>
      </c>
      <c r="C357" t="s">
        <v>1393</v>
      </c>
      <c r="E357" t="s">
        <v>1394</v>
      </c>
      <c r="F357" s="2">
        <v>524483231</v>
      </c>
      <c r="G357" s="2">
        <v>13384953</v>
      </c>
      <c r="H357" t="s">
        <v>38</v>
      </c>
      <c r="I357" t="s">
        <v>17</v>
      </c>
      <c r="J357" t="s">
        <v>25</v>
      </c>
    </row>
    <row r="358" spans="1:11" x14ac:dyDescent="0.2">
      <c r="A358" t="s">
        <v>1395</v>
      </c>
      <c r="B358" t="s">
        <v>1396</v>
      </c>
      <c r="D358" t="s">
        <v>1397</v>
      </c>
      <c r="E358" t="s">
        <v>1398</v>
      </c>
      <c r="F358" s="2">
        <v>525328024</v>
      </c>
      <c r="G358" s="2">
        <v>13424598</v>
      </c>
      <c r="H358" t="s">
        <v>1107</v>
      </c>
      <c r="I358" t="s">
        <v>17</v>
      </c>
      <c r="J358" t="s">
        <v>25</v>
      </c>
    </row>
    <row r="359" spans="1:11" x14ac:dyDescent="0.2">
      <c r="A359" t="s">
        <v>1399</v>
      </c>
      <c r="B359" t="s">
        <v>1400</v>
      </c>
      <c r="F359" s="2">
        <v>524651626</v>
      </c>
      <c r="G359" s="2">
        <v>134424151</v>
      </c>
      <c r="H359" t="s">
        <v>28</v>
      </c>
      <c r="I359" t="s">
        <v>17</v>
      </c>
      <c r="J359" t="s">
        <v>25</v>
      </c>
    </row>
    <row r="360" spans="1:11" x14ac:dyDescent="0.2">
      <c r="A360" t="s">
        <v>1401</v>
      </c>
      <c r="B360" t="s">
        <v>1402</v>
      </c>
      <c r="C360" t="s">
        <v>1403</v>
      </c>
      <c r="D360" t="s">
        <v>1404</v>
      </c>
      <c r="E360" t="s">
        <v>1405</v>
      </c>
      <c r="F360" s="2">
        <v>524887412</v>
      </c>
      <c r="G360" s="2">
        <v>133968219</v>
      </c>
      <c r="H360" t="s">
        <v>51</v>
      </c>
      <c r="I360" t="s">
        <v>17</v>
      </c>
      <c r="J360" t="s">
        <v>25</v>
      </c>
      <c r="K360" t="s">
        <v>1406</v>
      </c>
    </row>
    <row r="361" spans="1:11" x14ac:dyDescent="0.2">
      <c r="A361" t="s">
        <v>1407</v>
      </c>
      <c r="B361" t="s">
        <v>1408</v>
      </c>
      <c r="C361" t="s">
        <v>1409</v>
      </c>
      <c r="E361" t="s">
        <v>1410</v>
      </c>
      <c r="F361" s="2">
        <v>525365752</v>
      </c>
      <c r="G361" s="2">
        <v>132046599</v>
      </c>
      <c r="H361" t="s">
        <v>38</v>
      </c>
      <c r="I361" t="s">
        <v>17</v>
      </c>
      <c r="J361" t="s">
        <v>25</v>
      </c>
    </row>
    <row r="362" spans="1:11" x14ac:dyDescent="0.2">
      <c r="A362" t="s">
        <v>1411</v>
      </c>
      <c r="B362" t="s">
        <v>1412</v>
      </c>
      <c r="F362" s="2">
        <v>524988369</v>
      </c>
      <c r="G362" s="2">
        <v>132994295</v>
      </c>
      <c r="H362" t="s">
        <v>28</v>
      </c>
      <c r="I362" t="s">
        <v>17</v>
      </c>
      <c r="J362" t="s">
        <v>25</v>
      </c>
    </row>
    <row r="363" spans="1:11" x14ac:dyDescent="0.2">
      <c r="A363" t="s">
        <v>1413</v>
      </c>
      <c r="B363" t="s">
        <v>1414</v>
      </c>
      <c r="F363" s="2">
        <v>524566984</v>
      </c>
      <c r="G363" s="2">
        <v>134374342</v>
      </c>
      <c r="H363" t="s">
        <v>28</v>
      </c>
      <c r="I363" t="s">
        <v>17</v>
      </c>
      <c r="J363" t="s">
        <v>25</v>
      </c>
    </row>
    <row r="364" spans="1:11" x14ac:dyDescent="0.2">
      <c r="A364" t="s">
        <v>1415</v>
      </c>
      <c r="B364" t="s">
        <v>1416</v>
      </c>
      <c r="F364" s="2">
        <v>524612374</v>
      </c>
      <c r="G364" s="2">
        <v>134456038</v>
      </c>
      <c r="H364" t="s">
        <v>28</v>
      </c>
      <c r="I364" t="s">
        <v>17</v>
      </c>
      <c r="J364" t="s">
        <v>25</v>
      </c>
    </row>
    <row r="365" spans="1:11" x14ac:dyDescent="0.2">
      <c r="A365" t="s">
        <v>1417</v>
      </c>
      <c r="B365" t="s">
        <v>1418</v>
      </c>
      <c r="E365" t="s">
        <v>1419</v>
      </c>
      <c r="F365" s="2">
        <v>524640182</v>
      </c>
      <c r="G365" s="2">
        <v>134341134</v>
      </c>
      <c r="H365" t="s">
        <v>34</v>
      </c>
      <c r="I365" t="s">
        <v>17</v>
      </c>
      <c r="J365" t="s">
        <v>25</v>
      </c>
    </row>
    <row r="366" spans="1:11" x14ac:dyDescent="0.2">
      <c r="A366" t="s">
        <v>1420</v>
      </c>
      <c r="B366" t="s">
        <v>1421</v>
      </c>
      <c r="F366" s="2">
        <v>525255102</v>
      </c>
      <c r="G366" s="2">
        <v>131943253</v>
      </c>
      <c r="H366" t="s">
        <v>28</v>
      </c>
      <c r="I366" t="s">
        <v>17</v>
      </c>
      <c r="J366" t="s">
        <v>25</v>
      </c>
    </row>
    <row r="367" spans="1:11" x14ac:dyDescent="0.2">
      <c r="A367" t="s">
        <v>1422</v>
      </c>
      <c r="B367" t="s">
        <v>1423</v>
      </c>
      <c r="C367" t="s">
        <v>1424</v>
      </c>
      <c r="D367" t="s">
        <v>1425</v>
      </c>
      <c r="E367" t="s">
        <v>1426</v>
      </c>
      <c r="F367" s="2">
        <v>525010555</v>
      </c>
      <c r="G367" s="2">
        <v>134410413</v>
      </c>
      <c r="H367" t="s">
        <v>51</v>
      </c>
      <c r="I367" t="s">
        <v>17</v>
      </c>
      <c r="J367" t="s">
        <v>25</v>
      </c>
      <c r="K367" t="s">
        <v>1427</v>
      </c>
    </row>
    <row r="368" spans="1:11" x14ac:dyDescent="0.2">
      <c r="A368" t="s">
        <v>1428</v>
      </c>
      <c r="B368" t="s">
        <v>1429</v>
      </c>
      <c r="C368" t="s">
        <v>1430</v>
      </c>
      <c r="D368" t="s">
        <v>1431</v>
      </c>
      <c r="E368" t="s">
        <v>1432</v>
      </c>
      <c r="F368" s="2">
        <v>52499805</v>
      </c>
      <c r="G368" s="2">
        <v>134326054</v>
      </c>
      <c r="H368" t="s">
        <v>304</v>
      </c>
      <c r="I368" t="s">
        <v>17</v>
      </c>
      <c r="J368" t="s">
        <v>25</v>
      </c>
      <c r="K368" t="s">
        <v>1433</v>
      </c>
    </row>
    <row r="369" spans="1:11" x14ac:dyDescent="0.2">
      <c r="A369" t="s">
        <v>1434</v>
      </c>
      <c r="B369" t="s">
        <v>1435</v>
      </c>
      <c r="F369" s="2">
        <v>52499793</v>
      </c>
      <c r="G369" s="2">
        <v>134322046</v>
      </c>
      <c r="H369" t="s">
        <v>28</v>
      </c>
      <c r="I369" t="s">
        <v>17</v>
      </c>
      <c r="J369" t="s">
        <v>25</v>
      </c>
    </row>
    <row r="370" spans="1:11" x14ac:dyDescent="0.2">
      <c r="A370" t="s">
        <v>1436</v>
      </c>
      <c r="B370" t="s">
        <v>1437</v>
      </c>
      <c r="C370" t="s">
        <v>1438</v>
      </c>
      <c r="E370" t="s">
        <v>1439</v>
      </c>
      <c r="F370" s="2">
        <v>524998098</v>
      </c>
      <c r="G370" s="2">
        <v>134320469</v>
      </c>
      <c r="H370" t="s">
        <v>38</v>
      </c>
      <c r="I370" t="s">
        <v>17</v>
      </c>
      <c r="J370" t="s">
        <v>25</v>
      </c>
    </row>
    <row r="371" spans="1:11" x14ac:dyDescent="0.2">
      <c r="A371" t="s">
        <v>1440</v>
      </c>
      <c r="B371" t="s">
        <v>1441</v>
      </c>
      <c r="E371" t="s">
        <v>1442</v>
      </c>
      <c r="F371" s="2">
        <v>524861765</v>
      </c>
      <c r="G371" s="2">
        <v>133503476</v>
      </c>
      <c r="H371" t="s">
        <v>34</v>
      </c>
      <c r="I371" t="s">
        <v>17</v>
      </c>
      <c r="J371" t="s">
        <v>25</v>
      </c>
    </row>
    <row r="372" spans="1:11" x14ac:dyDescent="0.2">
      <c r="A372" t="s">
        <v>1443</v>
      </c>
      <c r="F372" s="2">
        <v>524700297</v>
      </c>
      <c r="G372" s="2">
        <v>134418133</v>
      </c>
      <c r="H372" t="s">
        <v>28</v>
      </c>
      <c r="I372" t="s">
        <v>17</v>
      </c>
      <c r="J372" t="s">
        <v>25</v>
      </c>
    </row>
    <row r="373" spans="1:11" x14ac:dyDescent="0.2">
      <c r="A373" t="s">
        <v>1444</v>
      </c>
      <c r="B373" t="s">
        <v>1445</v>
      </c>
      <c r="C373" t="s">
        <v>1446</v>
      </c>
      <c r="D373" t="s">
        <v>1447</v>
      </c>
      <c r="E373">
        <v>49302793246</v>
      </c>
      <c r="F373" s="2">
        <v>525140771</v>
      </c>
      <c r="G373" s="2">
        <v>134158409</v>
      </c>
      <c r="H373" t="s">
        <v>24</v>
      </c>
      <c r="I373" t="s">
        <v>17</v>
      </c>
      <c r="J373" t="s">
        <v>25</v>
      </c>
    </row>
    <row r="374" spans="1:11" x14ac:dyDescent="0.2">
      <c r="A374" t="s">
        <v>1448</v>
      </c>
      <c r="B374" t="s">
        <v>1449</v>
      </c>
      <c r="C374" t="s">
        <v>1450</v>
      </c>
      <c r="D374" t="s">
        <v>1451</v>
      </c>
      <c r="E374" t="s">
        <v>1452</v>
      </c>
      <c r="F374" s="2">
        <v>525135789</v>
      </c>
      <c r="G374" s="2">
        <v>13418481</v>
      </c>
      <c r="H374" t="s">
        <v>51</v>
      </c>
      <c r="I374" t="s">
        <v>17</v>
      </c>
      <c r="J374" t="s">
        <v>25</v>
      </c>
      <c r="K374" t="s">
        <v>1453</v>
      </c>
    </row>
    <row r="375" spans="1:11" x14ac:dyDescent="0.2">
      <c r="A375" t="s">
        <v>1454</v>
      </c>
      <c r="B375" t="s">
        <v>1455</v>
      </c>
      <c r="C375" t="s">
        <v>1456</v>
      </c>
      <c r="D375" t="s">
        <v>1457</v>
      </c>
      <c r="E375" t="s">
        <v>1458</v>
      </c>
      <c r="F375" s="2">
        <v>525262122</v>
      </c>
      <c r="G375" s="2">
        <v>134225694</v>
      </c>
      <c r="H375" t="s">
        <v>51</v>
      </c>
      <c r="I375" t="s">
        <v>17</v>
      </c>
      <c r="J375" t="s">
        <v>25</v>
      </c>
      <c r="K375" t="s">
        <v>1459</v>
      </c>
    </row>
    <row r="376" spans="1:11" x14ac:dyDescent="0.2">
      <c r="A376" t="s">
        <v>1460</v>
      </c>
      <c r="B376" t="s">
        <v>1461</v>
      </c>
      <c r="C376" t="s">
        <v>1462</v>
      </c>
      <c r="E376" t="s">
        <v>1463</v>
      </c>
      <c r="F376" s="2">
        <v>525531781</v>
      </c>
      <c r="G376" s="2">
        <v>134139962</v>
      </c>
      <c r="H376" t="s">
        <v>38</v>
      </c>
      <c r="I376" t="s">
        <v>17</v>
      </c>
      <c r="J376" t="s">
        <v>25</v>
      </c>
    </row>
    <row r="377" spans="1:11" x14ac:dyDescent="0.2">
      <c r="A377" t="s">
        <v>1464</v>
      </c>
      <c r="B377" t="s">
        <v>1465</v>
      </c>
      <c r="E377" t="s">
        <v>1466</v>
      </c>
      <c r="F377" s="2">
        <v>525529498</v>
      </c>
      <c r="G377" s="2">
        <v>134139291</v>
      </c>
      <c r="H377" t="s">
        <v>34</v>
      </c>
      <c r="I377" t="s">
        <v>17</v>
      </c>
      <c r="J377" t="s">
        <v>25</v>
      </c>
    </row>
    <row r="378" spans="1:11" x14ac:dyDescent="0.2">
      <c r="A378" t="s">
        <v>1467</v>
      </c>
      <c r="E378" t="s">
        <v>1468</v>
      </c>
      <c r="F378" s="2">
        <v>525378953</v>
      </c>
      <c r="G378" s="2">
        <v>132030051</v>
      </c>
      <c r="H378" t="s">
        <v>34</v>
      </c>
      <c r="I378" t="s">
        <v>17</v>
      </c>
      <c r="J378" t="s">
        <v>25</v>
      </c>
    </row>
    <row r="379" spans="1:11" x14ac:dyDescent="0.2">
      <c r="A379" t="s">
        <v>1469</v>
      </c>
      <c r="B379" t="s">
        <v>1470</v>
      </c>
      <c r="C379" t="s">
        <v>1471</v>
      </c>
      <c r="D379" t="s">
        <v>1472</v>
      </c>
      <c r="E379" t="s">
        <v>1473</v>
      </c>
      <c r="F379" s="2">
        <v>524338678</v>
      </c>
      <c r="G379" s="2">
        <v>132114049</v>
      </c>
      <c r="H379" t="s">
        <v>24</v>
      </c>
      <c r="I379" t="s">
        <v>17</v>
      </c>
      <c r="J379" t="s">
        <v>25</v>
      </c>
    </row>
    <row r="380" spans="1:11" x14ac:dyDescent="0.2">
      <c r="A380" t="s">
        <v>1474</v>
      </c>
      <c r="B380" t="s">
        <v>1475</v>
      </c>
      <c r="E380" t="s">
        <v>1476</v>
      </c>
      <c r="F380" s="2">
        <v>524851192</v>
      </c>
      <c r="G380" s="2">
        <v>133208237</v>
      </c>
      <c r="H380" t="s">
        <v>34</v>
      </c>
      <c r="I380" t="s">
        <v>17</v>
      </c>
      <c r="J380" t="s">
        <v>25</v>
      </c>
    </row>
    <row r="381" spans="1:11" x14ac:dyDescent="0.2">
      <c r="A381" t="s">
        <v>1477</v>
      </c>
      <c r="B381" t="s">
        <v>1478</v>
      </c>
      <c r="D381" t="s">
        <v>1479</v>
      </c>
      <c r="E381" t="s">
        <v>1480</v>
      </c>
      <c r="F381" s="2">
        <v>524585746</v>
      </c>
      <c r="G381" s="2">
        <v>134474894</v>
      </c>
      <c r="H381" t="s">
        <v>1107</v>
      </c>
      <c r="I381" t="s">
        <v>17</v>
      </c>
      <c r="J381" t="s">
        <v>25</v>
      </c>
    </row>
    <row r="382" spans="1:11" x14ac:dyDescent="0.2">
      <c r="A382" t="s">
        <v>1481</v>
      </c>
      <c r="B382" t="s">
        <v>1482</v>
      </c>
      <c r="C382" t="s">
        <v>1483</v>
      </c>
      <c r="E382" t="s">
        <v>1484</v>
      </c>
      <c r="F382" s="2">
        <v>52454845</v>
      </c>
      <c r="G382" s="2">
        <v>134509184</v>
      </c>
      <c r="H382" t="s">
        <v>277</v>
      </c>
      <c r="I382" t="s">
        <v>17</v>
      </c>
      <c r="J382" t="s">
        <v>25</v>
      </c>
      <c r="K382" t="s">
        <v>1485</v>
      </c>
    </row>
    <row r="383" spans="1:11" x14ac:dyDescent="0.2">
      <c r="A383" t="s">
        <v>1486</v>
      </c>
      <c r="B383" t="s">
        <v>1487</v>
      </c>
      <c r="C383" t="s">
        <v>1488</v>
      </c>
      <c r="D383" t="s">
        <v>1489</v>
      </c>
      <c r="E383">
        <v>49306015376</v>
      </c>
      <c r="F383" s="2">
        <v>524407417</v>
      </c>
      <c r="G383" s="2">
        <v>134592066</v>
      </c>
      <c r="H383" t="s">
        <v>24</v>
      </c>
      <c r="I383" t="s">
        <v>17</v>
      </c>
      <c r="J383" t="s">
        <v>25</v>
      </c>
    </row>
    <row r="384" spans="1:11" x14ac:dyDescent="0.2">
      <c r="A384" t="s">
        <v>1490</v>
      </c>
      <c r="B384" t="s">
        <v>1491</v>
      </c>
      <c r="E384">
        <v>493060973920</v>
      </c>
      <c r="F384" s="2">
        <v>524238137</v>
      </c>
      <c r="G384" s="2">
        <v>134854959</v>
      </c>
      <c r="H384" t="s">
        <v>34</v>
      </c>
      <c r="I384" t="s">
        <v>17</v>
      </c>
      <c r="J384" t="s">
        <v>25</v>
      </c>
    </row>
    <row r="385" spans="1:11" x14ac:dyDescent="0.2">
      <c r="A385" t="s">
        <v>1492</v>
      </c>
      <c r="B385" t="s">
        <v>1493</v>
      </c>
      <c r="C385" t="s">
        <v>1494</v>
      </c>
      <c r="D385" t="s">
        <v>1495</v>
      </c>
      <c r="E385" t="s">
        <v>1496</v>
      </c>
      <c r="F385" s="2">
        <v>525298871</v>
      </c>
      <c r="G385" s="2">
        <v>134713873</v>
      </c>
      <c r="H385" t="s">
        <v>51</v>
      </c>
      <c r="I385" t="s">
        <v>17</v>
      </c>
      <c r="J385" t="s">
        <v>25</v>
      </c>
      <c r="K385" t="s">
        <v>1497</v>
      </c>
    </row>
    <row r="386" spans="1:11" x14ac:dyDescent="0.2">
      <c r="A386" t="s">
        <v>1498</v>
      </c>
      <c r="B386" t="s">
        <v>1499</v>
      </c>
      <c r="C386" t="s">
        <v>1500</v>
      </c>
      <c r="E386">
        <v>493037464791</v>
      </c>
      <c r="F386" s="2">
        <v>525613148</v>
      </c>
      <c r="G386" s="2">
        <v>134126857</v>
      </c>
      <c r="H386" t="s">
        <v>38</v>
      </c>
      <c r="I386" t="s">
        <v>17</v>
      </c>
      <c r="J386" t="s">
        <v>25</v>
      </c>
    </row>
    <row r="387" spans="1:11" x14ac:dyDescent="0.2">
      <c r="A387" t="s">
        <v>1501</v>
      </c>
      <c r="B387" t="s">
        <v>1502</v>
      </c>
      <c r="E387" t="s">
        <v>1503</v>
      </c>
      <c r="F387" s="2">
        <v>525717079</v>
      </c>
      <c r="G387" s="2">
        <v>134118228</v>
      </c>
      <c r="H387" t="s">
        <v>34</v>
      </c>
      <c r="I387" t="s">
        <v>17</v>
      </c>
      <c r="J387" t="s">
        <v>25</v>
      </c>
    </row>
    <row r="388" spans="1:11" x14ac:dyDescent="0.2">
      <c r="A388" t="s">
        <v>1504</v>
      </c>
      <c r="B388" t="s">
        <v>1505</v>
      </c>
      <c r="F388" s="2">
        <v>52470614</v>
      </c>
      <c r="G388" s="2">
        <v>134417032</v>
      </c>
      <c r="H388" t="s">
        <v>28</v>
      </c>
      <c r="I388" t="s">
        <v>17</v>
      </c>
      <c r="J388" t="s">
        <v>25</v>
      </c>
    </row>
    <row r="389" spans="1:11" x14ac:dyDescent="0.2">
      <c r="A389" t="s">
        <v>1506</v>
      </c>
      <c r="B389" t="s">
        <v>1507</v>
      </c>
      <c r="D389" t="s">
        <v>1508</v>
      </c>
      <c r="E389" t="s">
        <v>1509</v>
      </c>
      <c r="F389" s="2">
        <v>524373884</v>
      </c>
      <c r="G389" s="2">
        <v>134626701</v>
      </c>
      <c r="H389" t="s">
        <v>1107</v>
      </c>
      <c r="I389" t="s">
        <v>17</v>
      </c>
      <c r="J389" t="s">
        <v>25</v>
      </c>
    </row>
    <row r="390" spans="1:11" x14ac:dyDescent="0.2">
      <c r="A390" t="s">
        <v>1510</v>
      </c>
      <c r="F390" s="2">
        <v>524670789</v>
      </c>
      <c r="G390" s="2">
        <v>13436535</v>
      </c>
      <c r="H390" t="s">
        <v>28</v>
      </c>
      <c r="I390" t="s">
        <v>17</v>
      </c>
      <c r="J390" t="s">
        <v>25</v>
      </c>
    </row>
    <row r="391" spans="1:11" x14ac:dyDescent="0.2">
      <c r="A391" t="s">
        <v>1511</v>
      </c>
      <c r="B391" t="s">
        <v>1512</v>
      </c>
      <c r="F391" s="2">
        <v>52580804</v>
      </c>
      <c r="G391" s="2">
        <v>13403633</v>
      </c>
      <c r="H391" t="s">
        <v>28</v>
      </c>
      <c r="I391" t="s">
        <v>17</v>
      </c>
      <c r="J391" t="s">
        <v>25</v>
      </c>
    </row>
    <row r="392" spans="1:11" x14ac:dyDescent="0.2">
      <c r="A392" t="s">
        <v>1513</v>
      </c>
      <c r="F392" s="2">
        <v>525814344</v>
      </c>
      <c r="G392" s="2">
        <v>134050901</v>
      </c>
      <c r="H392" t="s">
        <v>28</v>
      </c>
      <c r="I392" t="s">
        <v>17</v>
      </c>
      <c r="J392" t="s">
        <v>25</v>
      </c>
    </row>
    <row r="393" spans="1:11" x14ac:dyDescent="0.2">
      <c r="A393" t="s">
        <v>1514</v>
      </c>
      <c r="B393" t="s">
        <v>1515</v>
      </c>
      <c r="C393" t="s">
        <v>1516</v>
      </c>
      <c r="D393" t="s">
        <v>1517</v>
      </c>
      <c r="F393" s="2">
        <v>525170849</v>
      </c>
      <c r="G393" s="2">
        <v>134469255</v>
      </c>
      <c r="H393" t="s">
        <v>304</v>
      </c>
      <c r="I393" t="s">
        <v>17</v>
      </c>
      <c r="J393" t="s">
        <v>25</v>
      </c>
      <c r="K393" t="s">
        <v>1518</v>
      </c>
    </row>
    <row r="394" spans="1:11" x14ac:dyDescent="0.2">
      <c r="A394" t="s">
        <v>1519</v>
      </c>
      <c r="B394" t="s">
        <v>1520</v>
      </c>
      <c r="E394">
        <v>49304267367</v>
      </c>
      <c r="F394" s="2">
        <v>525169088</v>
      </c>
      <c r="G394" s="2">
        <v>134483943</v>
      </c>
      <c r="H394" t="s">
        <v>34</v>
      </c>
      <c r="I394" t="s">
        <v>17</v>
      </c>
      <c r="J394" t="s">
        <v>25</v>
      </c>
    </row>
    <row r="395" spans="1:11" x14ac:dyDescent="0.2">
      <c r="A395" t="s">
        <v>1521</v>
      </c>
      <c r="B395" t="s">
        <v>1522</v>
      </c>
      <c r="C395" t="s">
        <v>1523</v>
      </c>
      <c r="E395" t="s">
        <v>1524</v>
      </c>
      <c r="F395" s="2">
        <v>525168612</v>
      </c>
      <c r="G395" s="2">
        <v>134488232</v>
      </c>
      <c r="H395" t="s">
        <v>38</v>
      </c>
      <c r="I395" t="s">
        <v>17</v>
      </c>
      <c r="J395" t="s">
        <v>25</v>
      </c>
    </row>
    <row r="396" spans="1:11" x14ac:dyDescent="0.2">
      <c r="A396" t="s">
        <v>1525</v>
      </c>
      <c r="B396" t="s">
        <v>1526</v>
      </c>
      <c r="C396" t="s">
        <v>1527</v>
      </c>
      <c r="D396" t="s">
        <v>1528</v>
      </c>
      <c r="E396" t="s">
        <v>1529</v>
      </c>
      <c r="F396" s="2">
        <v>525163737</v>
      </c>
      <c r="G396" s="2">
        <v>134413767</v>
      </c>
      <c r="H396" t="s">
        <v>24</v>
      </c>
      <c r="I396" t="s">
        <v>17</v>
      </c>
      <c r="J396" t="s">
        <v>25</v>
      </c>
    </row>
    <row r="397" spans="1:11" x14ac:dyDescent="0.2">
      <c r="A397" t="s">
        <v>1530</v>
      </c>
      <c r="B397" t="s">
        <v>1531</v>
      </c>
      <c r="C397" t="s">
        <v>1532</v>
      </c>
      <c r="D397" t="s">
        <v>1533</v>
      </c>
      <c r="E397" t="s">
        <v>1534</v>
      </c>
      <c r="F397" s="2">
        <v>524578205</v>
      </c>
      <c r="G397" s="2">
        <v>132913928</v>
      </c>
      <c r="H397" t="s">
        <v>24</v>
      </c>
      <c r="I397" t="s">
        <v>17</v>
      </c>
      <c r="J397" t="s">
        <v>25</v>
      </c>
    </row>
    <row r="398" spans="1:11" x14ac:dyDescent="0.2">
      <c r="A398" t="s">
        <v>1535</v>
      </c>
      <c r="B398" t="s">
        <v>1536</v>
      </c>
      <c r="F398" s="2">
        <v>524500364</v>
      </c>
      <c r="G398" s="2">
        <v>133452012</v>
      </c>
      <c r="H398" t="s">
        <v>28</v>
      </c>
      <c r="I398" t="s">
        <v>17</v>
      </c>
      <c r="J398" t="s">
        <v>25</v>
      </c>
    </row>
    <row r="399" spans="1:11" x14ac:dyDescent="0.2">
      <c r="A399" t="s">
        <v>1537</v>
      </c>
      <c r="B399" t="s">
        <v>1538</v>
      </c>
      <c r="C399" t="s">
        <v>1539</v>
      </c>
      <c r="E399" t="s">
        <v>1540</v>
      </c>
      <c r="F399" s="2">
        <v>524672469</v>
      </c>
      <c r="G399" s="2">
        <v>134212943</v>
      </c>
      <c r="H399" t="s">
        <v>277</v>
      </c>
      <c r="I399" t="s">
        <v>17</v>
      </c>
      <c r="J399" t="s">
        <v>25</v>
      </c>
      <c r="K399" t="s">
        <v>1541</v>
      </c>
    </row>
    <row r="400" spans="1:11" x14ac:dyDescent="0.2">
      <c r="A400" t="s">
        <v>1542</v>
      </c>
      <c r="B400" t="s">
        <v>1543</v>
      </c>
      <c r="C400" t="s">
        <v>1544</v>
      </c>
      <c r="D400" t="s">
        <v>1545</v>
      </c>
      <c r="E400" t="s">
        <v>1546</v>
      </c>
      <c r="F400" s="2">
        <v>525691046</v>
      </c>
      <c r="G400" s="2">
        <v>134112185</v>
      </c>
      <c r="H400" t="s">
        <v>304</v>
      </c>
      <c r="I400" t="s">
        <v>17</v>
      </c>
      <c r="J400" t="s">
        <v>25</v>
      </c>
      <c r="K400" t="s">
        <v>1547</v>
      </c>
    </row>
    <row r="401" spans="1:11" x14ac:dyDescent="0.2">
      <c r="A401" t="s">
        <v>1548</v>
      </c>
      <c r="B401" t="s">
        <v>1549</v>
      </c>
      <c r="E401" t="s">
        <v>1550</v>
      </c>
      <c r="F401" s="2">
        <v>525111372</v>
      </c>
      <c r="G401" s="2">
        <v>134685991</v>
      </c>
      <c r="H401" t="s">
        <v>34</v>
      </c>
      <c r="I401" t="s">
        <v>17</v>
      </c>
      <c r="J401" t="s">
        <v>25</v>
      </c>
    </row>
    <row r="402" spans="1:11" x14ac:dyDescent="0.2">
      <c r="A402" t="s">
        <v>1551</v>
      </c>
      <c r="B402" t="s">
        <v>1552</v>
      </c>
      <c r="F402" s="2">
        <v>5251085</v>
      </c>
      <c r="G402" s="2">
        <v>134687486</v>
      </c>
      <c r="H402" t="s">
        <v>28</v>
      </c>
      <c r="I402" t="s">
        <v>17</v>
      </c>
      <c r="J402" t="s">
        <v>25</v>
      </c>
    </row>
    <row r="403" spans="1:11" x14ac:dyDescent="0.2">
      <c r="A403" t="s">
        <v>1553</v>
      </c>
      <c r="B403" t="s">
        <v>1554</v>
      </c>
      <c r="C403" t="s">
        <v>1555</v>
      </c>
      <c r="D403" t="s">
        <v>1556</v>
      </c>
      <c r="E403" t="s">
        <v>1557</v>
      </c>
      <c r="F403" s="2">
        <v>525592936</v>
      </c>
      <c r="G403" s="2">
        <v>132394321</v>
      </c>
      <c r="H403" t="s">
        <v>24</v>
      </c>
      <c r="I403" t="s">
        <v>17</v>
      </c>
      <c r="J403" t="s">
        <v>25</v>
      </c>
    </row>
    <row r="404" spans="1:11" x14ac:dyDescent="0.2">
      <c r="A404" t="s">
        <v>1558</v>
      </c>
      <c r="F404" s="2">
        <v>525384826</v>
      </c>
      <c r="G404" s="2">
        <v>13591563</v>
      </c>
      <c r="H404" t="s">
        <v>28</v>
      </c>
      <c r="I404" t="s">
        <v>17</v>
      </c>
      <c r="J404" t="s">
        <v>25</v>
      </c>
    </row>
    <row r="405" spans="1:11" x14ac:dyDescent="0.2">
      <c r="A405" t="s">
        <v>1559</v>
      </c>
      <c r="C405" t="s">
        <v>1560</v>
      </c>
      <c r="F405" s="2">
        <v>524133986</v>
      </c>
      <c r="G405" s="2">
        <v>134215367</v>
      </c>
      <c r="H405" t="s">
        <v>255</v>
      </c>
      <c r="I405" t="s">
        <v>17</v>
      </c>
      <c r="J405" t="s">
        <v>25</v>
      </c>
    </row>
    <row r="406" spans="1:11" x14ac:dyDescent="0.2">
      <c r="A406" t="s">
        <v>1561</v>
      </c>
      <c r="B406" t="s">
        <v>1562</v>
      </c>
      <c r="C406" t="s">
        <v>1563</v>
      </c>
      <c r="D406" t="s">
        <v>1564</v>
      </c>
      <c r="E406">
        <v>4930897740395</v>
      </c>
      <c r="F406" s="2">
        <v>524144675</v>
      </c>
      <c r="G406" s="2">
        <v>134215254</v>
      </c>
      <c r="H406" t="s">
        <v>16</v>
      </c>
      <c r="I406" t="s">
        <v>17</v>
      </c>
      <c r="J406" t="s">
        <v>25</v>
      </c>
    </row>
    <row r="407" spans="1:11" x14ac:dyDescent="0.2">
      <c r="A407" t="s">
        <v>1565</v>
      </c>
      <c r="B407" t="s">
        <v>1566</v>
      </c>
      <c r="C407" t="s">
        <v>1567</v>
      </c>
      <c r="D407" t="s">
        <v>1568</v>
      </c>
      <c r="E407" t="s">
        <v>1569</v>
      </c>
      <c r="F407" s="2">
        <v>525032338</v>
      </c>
      <c r="G407" s="2">
        <v>134806506</v>
      </c>
      <c r="H407" t="s">
        <v>304</v>
      </c>
      <c r="I407" t="s">
        <v>17</v>
      </c>
      <c r="J407" t="s">
        <v>25</v>
      </c>
      <c r="K407" t="s">
        <v>1570</v>
      </c>
    </row>
    <row r="408" spans="1:11" x14ac:dyDescent="0.2">
      <c r="A408" t="s">
        <v>1571</v>
      </c>
      <c r="F408" s="2">
        <v>524210262</v>
      </c>
      <c r="G408" s="2">
        <v>132976603</v>
      </c>
      <c r="H408" t="s">
        <v>28</v>
      </c>
      <c r="I408" t="s">
        <v>17</v>
      </c>
      <c r="J408" t="s">
        <v>25</v>
      </c>
    </row>
    <row r="409" spans="1:11" x14ac:dyDescent="0.2">
      <c r="A409" t="s">
        <v>1572</v>
      </c>
      <c r="B409" t="s">
        <v>1573</v>
      </c>
      <c r="F409" s="2">
        <v>524222197</v>
      </c>
      <c r="G409" s="2">
        <v>132993941</v>
      </c>
      <c r="H409" t="s">
        <v>28</v>
      </c>
      <c r="I409" t="s">
        <v>17</v>
      </c>
      <c r="J409" t="s">
        <v>25</v>
      </c>
    </row>
    <row r="410" spans="1:11" x14ac:dyDescent="0.2">
      <c r="A410" t="s">
        <v>1574</v>
      </c>
      <c r="F410" s="2">
        <v>524176497</v>
      </c>
      <c r="G410" s="2">
        <v>133046587</v>
      </c>
      <c r="H410" t="s">
        <v>28</v>
      </c>
      <c r="I410" t="s">
        <v>17</v>
      </c>
      <c r="J410" t="s">
        <v>25</v>
      </c>
    </row>
    <row r="411" spans="1:11" x14ac:dyDescent="0.2">
      <c r="A411" t="s">
        <v>1575</v>
      </c>
      <c r="B411" t="s">
        <v>1576</v>
      </c>
      <c r="C411" t="s">
        <v>1577</v>
      </c>
      <c r="E411" t="s">
        <v>1578</v>
      </c>
      <c r="F411" s="2">
        <v>525073318</v>
      </c>
      <c r="G411" s="2">
        <v>133138018</v>
      </c>
      <c r="H411" t="s">
        <v>38</v>
      </c>
      <c r="I411" t="s">
        <v>17</v>
      </c>
      <c r="J411" t="s">
        <v>25</v>
      </c>
    </row>
    <row r="412" spans="1:11" x14ac:dyDescent="0.2">
      <c r="A412" t="s">
        <v>1579</v>
      </c>
      <c r="B412" t="s">
        <v>1580</v>
      </c>
      <c r="C412" t="s">
        <v>1581</v>
      </c>
      <c r="D412" t="s">
        <v>1582</v>
      </c>
      <c r="E412" t="s">
        <v>1583</v>
      </c>
      <c r="F412" s="2">
        <v>5250062</v>
      </c>
      <c r="G412" s="2">
        <v>134338915</v>
      </c>
      <c r="H412" t="s">
        <v>51</v>
      </c>
      <c r="I412" t="s">
        <v>17</v>
      </c>
      <c r="J412" t="s">
        <v>25</v>
      </c>
      <c r="K412" t="s">
        <v>1584</v>
      </c>
    </row>
    <row r="413" spans="1:11" x14ac:dyDescent="0.2">
      <c r="A413" t="s">
        <v>1585</v>
      </c>
      <c r="B413" t="s">
        <v>1586</v>
      </c>
      <c r="F413" s="2">
        <v>524630606</v>
      </c>
      <c r="G413" s="2">
        <v>134344472</v>
      </c>
      <c r="H413" t="s">
        <v>28</v>
      </c>
      <c r="I413" t="s">
        <v>17</v>
      </c>
      <c r="J413" t="s">
        <v>25</v>
      </c>
    </row>
    <row r="414" spans="1:11" x14ac:dyDescent="0.2">
      <c r="A414" t="s">
        <v>1587</v>
      </c>
      <c r="F414" s="2">
        <v>525034483</v>
      </c>
      <c r="G414" s="2">
        <v>134298539</v>
      </c>
      <c r="H414" t="s">
        <v>28</v>
      </c>
      <c r="I414" t="s">
        <v>17</v>
      </c>
      <c r="J414" t="s">
        <v>25</v>
      </c>
    </row>
    <row r="415" spans="1:11" x14ac:dyDescent="0.2">
      <c r="A415" t="s">
        <v>1588</v>
      </c>
      <c r="B415" t="s">
        <v>1589</v>
      </c>
      <c r="C415" t="s">
        <v>1590</v>
      </c>
      <c r="E415" t="s">
        <v>1591</v>
      </c>
      <c r="F415" s="2">
        <v>524863289</v>
      </c>
      <c r="G415" s="2">
        <v>134651538</v>
      </c>
      <c r="H415" t="s">
        <v>38</v>
      </c>
      <c r="I415" t="s">
        <v>17</v>
      </c>
      <c r="J415" t="s">
        <v>25</v>
      </c>
    </row>
    <row r="416" spans="1:11" x14ac:dyDescent="0.2">
      <c r="A416" t="s">
        <v>1592</v>
      </c>
      <c r="B416" t="s">
        <v>1593</v>
      </c>
      <c r="C416" t="s">
        <v>1594</v>
      </c>
      <c r="D416" t="s">
        <v>1595</v>
      </c>
      <c r="E416" t="s">
        <v>1596</v>
      </c>
      <c r="F416" s="2">
        <v>524802644</v>
      </c>
      <c r="G416" s="2">
        <v>134434219</v>
      </c>
      <c r="H416" t="s">
        <v>24</v>
      </c>
      <c r="I416" t="s">
        <v>17</v>
      </c>
      <c r="J416" t="s">
        <v>25</v>
      </c>
    </row>
    <row r="417" spans="1:11" x14ac:dyDescent="0.2">
      <c r="A417">
        <v>0.84513888888888888</v>
      </c>
      <c r="B417" t="s">
        <v>1597</v>
      </c>
      <c r="C417" t="s">
        <v>1598</v>
      </c>
      <c r="D417" t="s">
        <v>1599</v>
      </c>
      <c r="E417" t="s">
        <v>1600</v>
      </c>
      <c r="F417" s="2">
        <v>524824529</v>
      </c>
      <c r="G417" s="2">
        <v>134430471</v>
      </c>
      <c r="H417" t="s">
        <v>51</v>
      </c>
      <c r="I417" t="s">
        <v>17</v>
      </c>
      <c r="J417" t="s">
        <v>25</v>
      </c>
      <c r="K417" t="s">
        <v>1601</v>
      </c>
    </row>
    <row r="418" spans="1:11" x14ac:dyDescent="0.2">
      <c r="A418" t="s">
        <v>1602</v>
      </c>
      <c r="B418" t="s">
        <v>556</v>
      </c>
      <c r="E418" t="s">
        <v>1603</v>
      </c>
      <c r="F418" s="2">
        <v>525173776</v>
      </c>
      <c r="G418" s="2">
        <v>134661322</v>
      </c>
      <c r="H418" t="s">
        <v>34</v>
      </c>
      <c r="I418" t="s">
        <v>17</v>
      </c>
      <c r="J418" t="s">
        <v>25</v>
      </c>
    </row>
    <row r="419" spans="1:11" x14ac:dyDescent="0.2">
      <c r="A419" t="s">
        <v>1604</v>
      </c>
      <c r="B419" t="s">
        <v>1605</v>
      </c>
      <c r="C419" t="s">
        <v>1606</v>
      </c>
      <c r="D419" t="s">
        <v>1607</v>
      </c>
      <c r="F419" s="2">
        <v>525120914</v>
      </c>
      <c r="G419" s="2">
        <v>13412762</v>
      </c>
      <c r="H419" t="s">
        <v>304</v>
      </c>
      <c r="I419" t="s">
        <v>17</v>
      </c>
      <c r="J419" t="s">
        <v>25</v>
      </c>
      <c r="K419" t="s">
        <v>1608</v>
      </c>
    </row>
    <row r="420" spans="1:11" x14ac:dyDescent="0.2">
      <c r="A420" t="s">
        <v>1609</v>
      </c>
      <c r="B420" t="s">
        <v>1610</v>
      </c>
      <c r="C420" t="s">
        <v>1611</v>
      </c>
      <c r="D420" t="s">
        <v>1612</v>
      </c>
      <c r="E420" t="s">
        <v>1613</v>
      </c>
      <c r="F420" s="2">
        <v>52527223</v>
      </c>
      <c r="G420" s="2">
        <v>133992573</v>
      </c>
      <c r="H420" t="s">
        <v>51</v>
      </c>
      <c r="I420" t="s">
        <v>17</v>
      </c>
      <c r="J420" t="s">
        <v>25</v>
      </c>
      <c r="K420" t="s">
        <v>1614</v>
      </c>
    </row>
    <row r="421" spans="1:11" x14ac:dyDescent="0.2">
      <c r="A421" t="s">
        <v>1615</v>
      </c>
      <c r="B421" t="s">
        <v>1616</v>
      </c>
      <c r="C421" t="s">
        <v>1617</v>
      </c>
      <c r="D421" t="s">
        <v>1618</v>
      </c>
      <c r="E421" t="s">
        <v>1619</v>
      </c>
      <c r="F421" s="2">
        <v>525075921</v>
      </c>
      <c r="G421" s="2">
        <v>133199919</v>
      </c>
      <c r="H421" t="s">
        <v>24</v>
      </c>
      <c r="I421" t="s">
        <v>17</v>
      </c>
      <c r="J421" t="s">
        <v>25</v>
      </c>
    </row>
    <row r="422" spans="1:11" x14ac:dyDescent="0.2">
      <c r="A422" t="s">
        <v>1620</v>
      </c>
      <c r="B422" t="s">
        <v>1621</v>
      </c>
      <c r="E422">
        <v>493047376293</v>
      </c>
      <c r="F422" s="2">
        <v>525698316</v>
      </c>
      <c r="G422" s="2">
        <v>134370207</v>
      </c>
      <c r="H422" t="s">
        <v>34</v>
      </c>
      <c r="I422" t="s">
        <v>17</v>
      </c>
      <c r="J422" t="s">
        <v>25</v>
      </c>
    </row>
    <row r="423" spans="1:11" x14ac:dyDescent="0.2">
      <c r="A423" t="s">
        <v>1622</v>
      </c>
      <c r="B423" t="s">
        <v>1623</v>
      </c>
      <c r="C423" t="s">
        <v>1624</v>
      </c>
      <c r="D423" t="s">
        <v>1625</v>
      </c>
      <c r="E423" t="s">
        <v>1626</v>
      </c>
      <c r="F423" s="2">
        <v>524299557</v>
      </c>
      <c r="G423" s="2">
        <v>132239573</v>
      </c>
      <c r="H423" t="s">
        <v>24</v>
      </c>
      <c r="I423" t="s">
        <v>17</v>
      </c>
      <c r="J423" t="s">
        <v>25</v>
      </c>
    </row>
    <row r="424" spans="1:11" x14ac:dyDescent="0.2">
      <c r="A424" t="s">
        <v>1627</v>
      </c>
      <c r="B424" t="s">
        <v>1628</v>
      </c>
      <c r="F424" s="2">
        <v>525047761</v>
      </c>
      <c r="G424" s="2">
        <v>134676942</v>
      </c>
      <c r="H424" t="s">
        <v>28</v>
      </c>
      <c r="I424" t="s">
        <v>17</v>
      </c>
      <c r="J424" t="s">
        <v>25</v>
      </c>
    </row>
    <row r="425" spans="1:11" x14ac:dyDescent="0.2">
      <c r="A425" t="s">
        <v>1629</v>
      </c>
      <c r="C425" t="s">
        <v>1630</v>
      </c>
      <c r="D425" t="s">
        <v>1631</v>
      </c>
      <c r="E425" t="s">
        <v>1632</v>
      </c>
      <c r="F425" s="2">
        <v>52548903</v>
      </c>
      <c r="G425" s="2">
        <v>13412019</v>
      </c>
      <c r="H425" t="s">
        <v>16</v>
      </c>
      <c r="I425" t="s">
        <v>17</v>
      </c>
      <c r="J425" t="s">
        <v>25</v>
      </c>
    </row>
    <row r="426" spans="1:11" x14ac:dyDescent="0.2">
      <c r="A426" t="s">
        <v>1633</v>
      </c>
      <c r="B426" t="s">
        <v>1634</v>
      </c>
      <c r="C426" t="s">
        <v>1635</v>
      </c>
      <c r="E426" t="s">
        <v>1636</v>
      </c>
      <c r="F426" s="2">
        <v>525381002</v>
      </c>
      <c r="G426" s="2">
        <v>13409471</v>
      </c>
      <c r="H426" t="s">
        <v>277</v>
      </c>
      <c r="I426" t="s">
        <v>17</v>
      </c>
      <c r="J426" t="s">
        <v>25</v>
      </c>
      <c r="K426" t="s">
        <v>1637</v>
      </c>
    </row>
    <row r="427" spans="1:11" x14ac:dyDescent="0.2">
      <c r="A427" t="s">
        <v>1638</v>
      </c>
      <c r="B427" t="s">
        <v>1639</v>
      </c>
      <c r="C427" t="s">
        <v>1640</v>
      </c>
      <c r="E427" t="s">
        <v>1641</v>
      </c>
      <c r="F427" s="2">
        <v>524269354</v>
      </c>
      <c r="G427" s="2">
        <v>133023649</v>
      </c>
      <c r="H427" t="s">
        <v>38</v>
      </c>
      <c r="I427" t="s">
        <v>17</v>
      </c>
      <c r="J427" t="s">
        <v>25</v>
      </c>
    </row>
    <row r="428" spans="1:11" x14ac:dyDescent="0.2">
      <c r="A428" t="s">
        <v>1642</v>
      </c>
      <c r="B428" t="s">
        <v>12</v>
      </c>
      <c r="C428" t="s">
        <v>1643</v>
      </c>
      <c r="D428" t="s">
        <v>1644</v>
      </c>
      <c r="E428" t="s">
        <v>1645</v>
      </c>
      <c r="F428" s="2">
        <v>525070766</v>
      </c>
      <c r="G428" s="2">
        <v>133223211</v>
      </c>
      <c r="H428" t="s">
        <v>51</v>
      </c>
      <c r="I428" t="s">
        <v>17</v>
      </c>
      <c r="J428" t="s">
        <v>25</v>
      </c>
      <c r="K428" t="s">
        <v>1646</v>
      </c>
    </row>
    <row r="429" spans="1:11" x14ac:dyDescent="0.2">
      <c r="A429" t="s">
        <v>1647</v>
      </c>
      <c r="B429" t="s">
        <v>1648</v>
      </c>
      <c r="C429" t="s">
        <v>1649</v>
      </c>
      <c r="F429" s="2">
        <v>525133975</v>
      </c>
      <c r="G429" s="2">
        <v>13326166</v>
      </c>
      <c r="H429" t="s">
        <v>255</v>
      </c>
      <c r="I429" t="s">
        <v>17</v>
      </c>
      <c r="J429" t="s">
        <v>25</v>
      </c>
    </row>
    <row r="430" spans="1:11" x14ac:dyDescent="0.2">
      <c r="A430" t="s">
        <v>1650</v>
      </c>
      <c r="B430" t="s">
        <v>1651</v>
      </c>
      <c r="F430" s="2">
        <v>524397858</v>
      </c>
      <c r="G430" s="2">
        <v>133427571</v>
      </c>
      <c r="H430" t="s">
        <v>28</v>
      </c>
      <c r="I430" t="s">
        <v>17</v>
      </c>
      <c r="J430" t="s">
        <v>25</v>
      </c>
    </row>
    <row r="431" spans="1:11" x14ac:dyDescent="0.2">
      <c r="A431" t="s">
        <v>1652</v>
      </c>
      <c r="B431" t="s">
        <v>1653</v>
      </c>
      <c r="C431" t="s">
        <v>1654</v>
      </c>
      <c r="D431" t="s">
        <v>1655</v>
      </c>
      <c r="E431" t="s">
        <v>1656</v>
      </c>
      <c r="F431" s="2">
        <v>524730435</v>
      </c>
      <c r="G431" s="2">
        <v>133174146</v>
      </c>
      <c r="H431" t="s">
        <v>51</v>
      </c>
      <c r="I431" t="s">
        <v>17</v>
      </c>
      <c r="J431" t="s">
        <v>25</v>
      </c>
      <c r="K431" t="s">
        <v>1657</v>
      </c>
    </row>
    <row r="432" spans="1:11" x14ac:dyDescent="0.2">
      <c r="A432" t="s">
        <v>1658</v>
      </c>
      <c r="B432" t="s">
        <v>1659</v>
      </c>
      <c r="C432" t="s">
        <v>1660</v>
      </c>
      <c r="E432">
        <v>49306239762</v>
      </c>
      <c r="F432" s="2">
        <v>524924787</v>
      </c>
      <c r="G432" s="2">
        <v>134277676</v>
      </c>
      <c r="H432" t="s">
        <v>38</v>
      </c>
      <c r="I432" t="s">
        <v>17</v>
      </c>
      <c r="J432" t="s">
        <v>25</v>
      </c>
    </row>
    <row r="433" spans="1:11" x14ac:dyDescent="0.2">
      <c r="A433" t="s">
        <v>1661</v>
      </c>
      <c r="B433" t="s">
        <v>1662</v>
      </c>
      <c r="E433" t="s">
        <v>1663</v>
      </c>
      <c r="F433" s="2">
        <v>524656864</v>
      </c>
      <c r="G433" s="2">
        <v>134326075</v>
      </c>
      <c r="H433" t="s">
        <v>34</v>
      </c>
      <c r="I433" t="s">
        <v>17</v>
      </c>
      <c r="J433" t="s">
        <v>25</v>
      </c>
    </row>
    <row r="434" spans="1:11" x14ac:dyDescent="0.2">
      <c r="A434" t="s">
        <v>1664</v>
      </c>
      <c r="B434" t="s">
        <v>1665</v>
      </c>
      <c r="C434" t="s">
        <v>1666</v>
      </c>
      <c r="D434" t="s">
        <v>1667</v>
      </c>
      <c r="E434" t="s">
        <v>1668</v>
      </c>
      <c r="F434" s="2">
        <v>524936224</v>
      </c>
      <c r="G434" s="2">
        <v>133822703</v>
      </c>
      <c r="H434" t="s">
        <v>24</v>
      </c>
      <c r="I434" t="s">
        <v>17</v>
      </c>
      <c r="J434" t="s">
        <v>25</v>
      </c>
    </row>
    <row r="435" spans="1:11" x14ac:dyDescent="0.2">
      <c r="A435" t="s">
        <v>1669</v>
      </c>
      <c r="B435" t="s">
        <v>1670</v>
      </c>
      <c r="C435" t="s">
        <v>1671</v>
      </c>
      <c r="D435" t="s">
        <v>1672</v>
      </c>
      <c r="E435" t="s">
        <v>1673</v>
      </c>
      <c r="F435" s="2">
        <v>525054658</v>
      </c>
      <c r="G435" s="2">
        <v>133022107</v>
      </c>
      <c r="H435" t="s">
        <v>51</v>
      </c>
      <c r="I435" t="s">
        <v>17</v>
      </c>
      <c r="J435" t="s">
        <v>25</v>
      </c>
      <c r="K435" t="s">
        <v>1674</v>
      </c>
    </row>
    <row r="436" spans="1:11" x14ac:dyDescent="0.2">
      <c r="A436" t="s">
        <v>1675</v>
      </c>
      <c r="B436" t="s">
        <v>1676</v>
      </c>
      <c r="F436" s="2">
        <v>525882819</v>
      </c>
      <c r="G436" s="2">
        <v>13281368</v>
      </c>
      <c r="H436" t="s">
        <v>28</v>
      </c>
      <c r="I436" t="s">
        <v>17</v>
      </c>
      <c r="J436" t="s">
        <v>25</v>
      </c>
    </row>
    <row r="437" spans="1:11" x14ac:dyDescent="0.2">
      <c r="A437" t="s">
        <v>1677</v>
      </c>
      <c r="B437" t="s">
        <v>1678</v>
      </c>
      <c r="F437" s="2">
        <v>525879682</v>
      </c>
      <c r="G437" s="2">
        <v>132861453</v>
      </c>
      <c r="H437" t="s">
        <v>28</v>
      </c>
      <c r="I437" t="s">
        <v>17</v>
      </c>
      <c r="J437" t="s">
        <v>25</v>
      </c>
    </row>
    <row r="438" spans="1:11" x14ac:dyDescent="0.2">
      <c r="A438" t="s">
        <v>1679</v>
      </c>
      <c r="B438" t="s">
        <v>1680</v>
      </c>
      <c r="C438" t="s">
        <v>1681</v>
      </c>
      <c r="D438" t="s">
        <v>1682</v>
      </c>
      <c r="E438">
        <v>493043004565</v>
      </c>
      <c r="F438" s="2">
        <v>525885132</v>
      </c>
      <c r="G438" s="2">
        <v>132792435</v>
      </c>
      <c r="H438" t="s">
        <v>51</v>
      </c>
      <c r="I438" t="s">
        <v>17</v>
      </c>
      <c r="J438" t="s">
        <v>25</v>
      </c>
      <c r="K438" t="s">
        <v>1683</v>
      </c>
    </row>
    <row r="439" spans="1:11" x14ac:dyDescent="0.2">
      <c r="A439" t="s">
        <v>1684</v>
      </c>
      <c r="B439" t="s">
        <v>1685</v>
      </c>
      <c r="C439" t="s">
        <v>1686</v>
      </c>
      <c r="D439" t="s">
        <v>1687</v>
      </c>
      <c r="E439">
        <v>49304335033</v>
      </c>
      <c r="F439" s="2">
        <v>525882734</v>
      </c>
      <c r="G439" s="2">
        <v>132785483</v>
      </c>
      <c r="H439" t="s">
        <v>24</v>
      </c>
      <c r="I439" t="s">
        <v>17</v>
      </c>
      <c r="J439" t="s">
        <v>25</v>
      </c>
    </row>
    <row r="440" spans="1:11" x14ac:dyDescent="0.2">
      <c r="A440" t="s">
        <v>1688</v>
      </c>
      <c r="B440" t="s">
        <v>1689</v>
      </c>
      <c r="C440" t="s">
        <v>1690</v>
      </c>
      <c r="D440" t="s">
        <v>1691</v>
      </c>
      <c r="E440" t="s">
        <v>1692</v>
      </c>
      <c r="F440" s="2">
        <v>525410039</v>
      </c>
      <c r="G440" s="2">
        <v>13422396</v>
      </c>
      <c r="H440" t="s">
        <v>51</v>
      </c>
      <c r="I440" t="s">
        <v>17</v>
      </c>
      <c r="J440" t="s">
        <v>25</v>
      </c>
      <c r="K440" t="s">
        <v>1693</v>
      </c>
    </row>
    <row r="441" spans="1:11" x14ac:dyDescent="0.2">
      <c r="A441" t="s">
        <v>1694</v>
      </c>
      <c r="F441" s="2">
        <v>52517483</v>
      </c>
      <c r="G441" s="2">
        <v>135167687</v>
      </c>
      <c r="H441" t="s">
        <v>28</v>
      </c>
      <c r="I441" t="s">
        <v>17</v>
      </c>
      <c r="J441" t="s">
        <v>25</v>
      </c>
    </row>
    <row r="442" spans="1:11" x14ac:dyDescent="0.2">
      <c r="A442" t="s">
        <v>1695</v>
      </c>
      <c r="F442" s="2">
        <v>524555788</v>
      </c>
      <c r="G442" s="2">
        <v>132504993</v>
      </c>
      <c r="H442" t="s">
        <v>28</v>
      </c>
      <c r="I442" t="s">
        <v>17</v>
      </c>
      <c r="J442" t="s">
        <v>25</v>
      </c>
    </row>
    <row r="443" spans="1:11" x14ac:dyDescent="0.2">
      <c r="A443" t="s">
        <v>1696</v>
      </c>
      <c r="B443" t="s">
        <v>291</v>
      </c>
      <c r="C443" t="s">
        <v>1697</v>
      </c>
      <c r="F443" s="2">
        <v>525148421</v>
      </c>
      <c r="G443" s="2">
        <v>134683911</v>
      </c>
      <c r="H443" t="s">
        <v>255</v>
      </c>
      <c r="I443" t="s">
        <v>17</v>
      </c>
      <c r="J443" t="s">
        <v>25</v>
      </c>
    </row>
    <row r="444" spans="1:11" x14ac:dyDescent="0.2">
      <c r="A444" t="s">
        <v>1698</v>
      </c>
      <c r="B444" t="s">
        <v>1699</v>
      </c>
      <c r="F444" s="2">
        <v>525392981</v>
      </c>
      <c r="G444" s="2">
        <v>13408303</v>
      </c>
      <c r="H444" t="s">
        <v>28</v>
      </c>
      <c r="I444" t="s">
        <v>17</v>
      </c>
      <c r="J444" t="s">
        <v>25</v>
      </c>
    </row>
    <row r="445" spans="1:11" x14ac:dyDescent="0.2">
      <c r="A445" t="s">
        <v>1700</v>
      </c>
      <c r="B445" t="s">
        <v>1701</v>
      </c>
      <c r="C445" t="s">
        <v>1702</v>
      </c>
      <c r="D445" t="s">
        <v>1703</v>
      </c>
      <c r="E445" t="s">
        <v>1704</v>
      </c>
      <c r="F445" s="2">
        <v>525387906</v>
      </c>
      <c r="G445" s="2">
        <v>134085542</v>
      </c>
      <c r="H445" t="s">
        <v>24</v>
      </c>
      <c r="I445" t="s">
        <v>17</v>
      </c>
      <c r="J445" t="s">
        <v>25</v>
      </c>
    </row>
    <row r="446" spans="1:11" x14ac:dyDescent="0.2">
      <c r="A446" t="s">
        <v>1705</v>
      </c>
      <c r="B446" t="s">
        <v>1706</v>
      </c>
      <c r="C446" t="s">
        <v>1707</v>
      </c>
      <c r="E446" t="s">
        <v>1708</v>
      </c>
      <c r="F446" s="2">
        <v>525405635</v>
      </c>
      <c r="G446" s="2">
        <v>134050687</v>
      </c>
      <c r="H446" t="s">
        <v>277</v>
      </c>
      <c r="I446" t="s">
        <v>17</v>
      </c>
      <c r="J446" t="s">
        <v>25</v>
      </c>
      <c r="K446" t="s">
        <v>1709</v>
      </c>
    </row>
    <row r="447" spans="1:11" x14ac:dyDescent="0.2">
      <c r="A447" t="s">
        <v>1710</v>
      </c>
      <c r="B447" t="s">
        <v>1711</v>
      </c>
      <c r="C447" t="s">
        <v>1712</v>
      </c>
      <c r="D447" t="s">
        <v>1713</v>
      </c>
      <c r="E447" t="s">
        <v>1714</v>
      </c>
      <c r="F447" s="2">
        <v>524891404</v>
      </c>
      <c r="G447" s="2">
        <v>134539282</v>
      </c>
      <c r="H447" t="s">
        <v>24</v>
      </c>
      <c r="I447" t="s">
        <v>17</v>
      </c>
      <c r="J447" t="s">
        <v>25</v>
      </c>
    </row>
    <row r="448" spans="1:11" x14ac:dyDescent="0.2">
      <c r="A448" t="s">
        <v>1715</v>
      </c>
      <c r="B448" t="s">
        <v>1716</v>
      </c>
      <c r="C448" t="s">
        <v>1717</v>
      </c>
      <c r="E448">
        <v>493027016331</v>
      </c>
      <c r="F448" s="2">
        <v>525058596</v>
      </c>
      <c r="G448" s="2">
        <v>135162528</v>
      </c>
      <c r="H448" t="s">
        <v>38</v>
      </c>
      <c r="I448" t="s">
        <v>17</v>
      </c>
      <c r="J448" t="s">
        <v>25</v>
      </c>
    </row>
    <row r="449" spans="1:11" x14ac:dyDescent="0.2">
      <c r="A449" t="s">
        <v>1718</v>
      </c>
      <c r="B449" t="s">
        <v>1719</v>
      </c>
      <c r="C449" t="s">
        <v>1720</v>
      </c>
      <c r="D449" t="s">
        <v>1721</v>
      </c>
      <c r="E449" t="s">
        <v>1722</v>
      </c>
      <c r="F449" s="2">
        <v>525682073</v>
      </c>
      <c r="G449" s="2">
        <v>133103493</v>
      </c>
      <c r="H449" t="s">
        <v>51</v>
      </c>
      <c r="I449" t="s">
        <v>17</v>
      </c>
      <c r="J449" t="s">
        <v>25</v>
      </c>
      <c r="K449" t="s">
        <v>1723</v>
      </c>
    </row>
    <row r="450" spans="1:11" x14ac:dyDescent="0.2">
      <c r="A450" t="s">
        <v>1724</v>
      </c>
      <c r="B450" t="s">
        <v>1725</v>
      </c>
      <c r="C450" t="s">
        <v>1726</v>
      </c>
      <c r="D450" t="s">
        <v>1727</v>
      </c>
      <c r="E450" t="s">
        <v>1728</v>
      </c>
      <c r="F450" s="2">
        <v>525374936</v>
      </c>
      <c r="G450" s="2">
        <v>134227315</v>
      </c>
      <c r="H450" t="s">
        <v>51</v>
      </c>
      <c r="I450" t="s">
        <v>17</v>
      </c>
      <c r="J450" t="s">
        <v>25</v>
      </c>
      <c r="K450" t="s">
        <v>1729</v>
      </c>
    </row>
    <row r="451" spans="1:11" x14ac:dyDescent="0.2">
      <c r="A451" t="s">
        <v>1730</v>
      </c>
      <c r="B451" t="s">
        <v>1731</v>
      </c>
      <c r="C451" t="s">
        <v>1732</v>
      </c>
      <c r="D451" t="s">
        <v>1733</v>
      </c>
      <c r="E451" t="s">
        <v>1734</v>
      </c>
      <c r="F451" s="2">
        <v>525435082</v>
      </c>
      <c r="G451" s="2">
        <v>13421911</v>
      </c>
      <c r="H451" t="s">
        <v>304</v>
      </c>
      <c r="I451" t="s">
        <v>17</v>
      </c>
      <c r="J451" t="s">
        <v>25</v>
      </c>
      <c r="K451" t="s">
        <v>1735</v>
      </c>
    </row>
    <row r="452" spans="1:11" x14ac:dyDescent="0.2">
      <c r="A452" t="s">
        <v>1736</v>
      </c>
      <c r="B452" t="s">
        <v>1737</v>
      </c>
      <c r="C452" t="s">
        <v>1738</v>
      </c>
      <c r="D452" t="s">
        <v>1739</v>
      </c>
      <c r="E452">
        <v>493085967092</v>
      </c>
      <c r="F452" s="2">
        <v>524830042</v>
      </c>
      <c r="G452" s="2">
        <v>133206303</v>
      </c>
      <c r="H452" t="s">
        <v>24</v>
      </c>
      <c r="I452" t="s">
        <v>17</v>
      </c>
      <c r="J452" t="s">
        <v>25</v>
      </c>
    </row>
    <row r="453" spans="1:11" x14ac:dyDescent="0.2">
      <c r="A453" t="s">
        <v>1740</v>
      </c>
      <c r="B453" t="s">
        <v>1741</v>
      </c>
      <c r="C453" t="s">
        <v>1742</v>
      </c>
      <c r="F453" s="2">
        <v>524861096</v>
      </c>
      <c r="G453" s="2">
        <v>133290308</v>
      </c>
      <c r="H453" t="s">
        <v>277</v>
      </c>
      <c r="I453" t="s">
        <v>17</v>
      </c>
      <c r="J453" t="s">
        <v>25</v>
      </c>
      <c r="K453" t="s">
        <v>1743</v>
      </c>
    </row>
    <row r="454" spans="1:11" x14ac:dyDescent="0.2">
      <c r="A454" t="s">
        <v>1744</v>
      </c>
      <c r="B454" t="s">
        <v>1745</v>
      </c>
      <c r="C454" t="s">
        <v>1746</v>
      </c>
      <c r="D454" t="s">
        <v>1747</v>
      </c>
      <c r="E454" t="s">
        <v>1748</v>
      </c>
      <c r="F454" s="2">
        <v>525761007</v>
      </c>
      <c r="G454" s="2">
        <v>133487877</v>
      </c>
      <c r="H454" t="s">
        <v>24</v>
      </c>
      <c r="I454" t="s">
        <v>17</v>
      </c>
      <c r="J454" t="s">
        <v>25</v>
      </c>
    </row>
    <row r="455" spans="1:11" x14ac:dyDescent="0.2">
      <c r="A455" t="s">
        <v>1749</v>
      </c>
      <c r="B455" t="s">
        <v>1750</v>
      </c>
      <c r="C455" t="s">
        <v>1751</v>
      </c>
      <c r="D455" t="s">
        <v>1752</v>
      </c>
      <c r="E455" t="s">
        <v>1753</v>
      </c>
      <c r="F455" s="2">
        <v>5254176</v>
      </c>
      <c r="G455" s="2">
        <v>134211058</v>
      </c>
      <c r="H455" t="s">
        <v>51</v>
      </c>
      <c r="I455" t="s">
        <v>17</v>
      </c>
      <c r="J455" t="s">
        <v>25</v>
      </c>
      <c r="K455" t="s">
        <v>1754</v>
      </c>
    </row>
    <row r="456" spans="1:11" x14ac:dyDescent="0.2">
      <c r="A456" t="s">
        <v>1755</v>
      </c>
      <c r="B456" t="s">
        <v>1756</v>
      </c>
      <c r="C456" t="s">
        <v>1757</v>
      </c>
      <c r="D456" t="s">
        <v>1758</v>
      </c>
      <c r="F456" s="2">
        <v>525044617</v>
      </c>
      <c r="G456" s="2">
        <v>134765842</v>
      </c>
      <c r="H456" t="s">
        <v>51</v>
      </c>
      <c r="I456" t="s">
        <v>17</v>
      </c>
      <c r="J456" t="s">
        <v>25</v>
      </c>
      <c r="K456" t="s">
        <v>1759</v>
      </c>
    </row>
    <row r="457" spans="1:11" x14ac:dyDescent="0.2">
      <c r="A457" t="s">
        <v>1760</v>
      </c>
      <c r="B457" t="s">
        <v>1761</v>
      </c>
      <c r="C457" t="s">
        <v>1762</v>
      </c>
      <c r="E457" t="s">
        <v>1763</v>
      </c>
      <c r="F457" s="2">
        <v>525053318</v>
      </c>
      <c r="G457" s="2">
        <v>134776931</v>
      </c>
      <c r="H457" t="s">
        <v>277</v>
      </c>
      <c r="I457" t="s">
        <v>17</v>
      </c>
      <c r="J457" t="s">
        <v>25</v>
      </c>
      <c r="K457" t="s">
        <v>1764</v>
      </c>
    </row>
    <row r="458" spans="1:11" x14ac:dyDescent="0.2">
      <c r="A458" t="s">
        <v>1765</v>
      </c>
      <c r="B458" t="s">
        <v>1766</v>
      </c>
      <c r="C458" t="s">
        <v>1767</v>
      </c>
      <c r="D458" t="s">
        <v>1768</v>
      </c>
      <c r="E458" t="s">
        <v>1769</v>
      </c>
      <c r="F458" s="2">
        <v>525037992</v>
      </c>
      <c r="G458" s="2">
        <v>134818809</v>
      </c>
      <c r="H458" t="s">
        <v>51</v>
      </c>
      <c r="I458" t="s">
        <v>17</v>
      </c>
      <c r="J458" t="s">
        <v>25</v>
      </c>
      <c r="K458" t="s">
        <v>1770</v>
      </c>
    </row>
    <row r="459" spans="1:11" x14ac:dyDescent="0.2">
      <c r="A459" t="s">
        <v>1771</v>
      </c>
      <c r="B459" t="s">
        <v>1772</v>
      </c>
      <c r="C459" t="s">
        <v>1773</v>
      </c>
      <c r="E459" t="s">
        <v>1774</v>
      </c>
      <c r="F459" s="2">
        <v>52504447</v>
      </c>
      <c r="G459" s="2">
        <v>134792013</v>
      </c>
      <c r="H459" t="s">
        <v>277</v>
      </c>
      <c r="I459" t="s">
        <v>17</v>
      </c>
      <c r="J459" t="s">
        <v>25</v>
      </c>
      <c r="K459" t="s">
        <v>1775</v>
      </c>
    </row>
    <row r="460" spans="1:11" x14ac:dyDescent="0.2">
      <c r="A460" t="s">
        <v>1776</v>
      </c>
      <c r="B460" t="s">
        <v>1777</v>
      </c>
      <c r="C460" t="s">
        <v>1778</v>
      </c>
      <c r="E460" t="s">
        <v>1779</v>
      </c>
      <c r="F460" s="2">
        <v>525471344</v>
      </c>
      <c r="G460" s="2">
        <v>134088007</v>
      </c>
      <c r="H460" t="s">
        <v>38</v>
      </c>
      <c r="I460" t="s">
        <v>17</v>
      </c>
      <c r="J460" t="s">
        <v>25</v>
      </c>
    </row>
    <row r="461" spans="1:11" x14ac:dyDescent="0.2">
      <c r="A461" t="s">
        <v>1780</v>
      </c>
      <c r="B461" t="s">
        <v>1781</v>
      </c>
      <c r="E461">
        <v>49304339744</v>
      </c>
      <c r="F461" s="2">
        <v>525885603</v>
      </c>
      <c r="G461" s="2">
        <v>132782886</v>
      </c>
      <c r="H461" t="s">
        <v>34</v>
      </c>
      <c r="I461" t="s">
        <v>17</v>
      </c>
      <c r="J461" t="s">
        <v>25</v>
      </c>
    </row>
    <row r="462" spans="1:11" x14ac:dyDescent="0.2">
      <c r="A462" t="s">
        <v>1782</v>
      </c>
      <c r="B462" t="s">
        <v>1783</v>
      </c>
      <c r="F462" s="2">
        <v>525874588</v>
      </c>
      <c r="G462" s="2">
        <v>132845068</v>
      </c>
      <c r="H462" t="s">
        <v>28</v>
      </c>
      <c r="I462" t="s">
        <v>17</v>
      </c>
      <c r="J462" t="s">
        <v>25</v>
      </c>
    </row>
    <row r="463" spans="1:11" x14ac:dyDescent="0.2">
      <c r="A463" t="s">
        <v>1784</v>
      </c>
      <c r="B463" t="s">
        <v>1785</v>
      </c>
      <c r="F463" s="2">
        <v>525874017</v>
      </c>
      <c r="G463" s="2">
        <v>132855961</v>
      </c>
      <c r="H463" t="s">
        <v>28</v>
      </c>
      <c r="I463" t="s">
        <v>17</v>
      </c>
      <c r="J463" t="s">
        <v>25</v>
      </c>
    </row>
    <row r="464" spans="1:11" x14ac:dyDescent="0.2">
      <c r="A464" t="s">
        <v>1786</v>
      </c>
      <c r="B464" t="s">
        <v>1787</v>
      </c>
      <c r="C464" t="s">
        <v>1788</v>
      </c>
      <c r="E464" t="s">
        <v>1789</v>
      </c>
      <c r="F464" s="2">
        <v>525897292</v>
      </c>
      <c r="G464" s="2">
        <v>132821161</v>
      </c>
      <c r="H464" t="s">
        <v>38</v>
      </c>
      <c r="I464" t="s">
        <v>17</v>
      </c>
      <c r="J464" t="s">
        <v>25</v>
      </c>
    </row>
    <row r="465" spans="1:11" x14ac:dyDescent="0.2">
      <c r="A465" t="s">
        <v>1790</v>
      </c>
      <c r="B465" t="s">
        <v>1791</v>
      </c>
      <c r="C465" t="s">
        <v>1792</v>
      </c>
      <c r="D465" t="s">
        <v>1793</v>
      </c>
      <c r="E465" t="s">
        <v>1794</v>
      </c>
      <c r="F465" s="2">
        <v>525420386</v>
      </c>
      <c r="G465" s="2">
        <v>134199225</v>
      </c>
      <c r="H465" t="s">
        <v>51</v>
      </c>
      <c r="I465" t="s">
        <v>17</v>
      </c>
      <c r="J465" t="s">
        <v>25</v>
      </c>
      <c r="K465" t="s">
        <v>1795</v>
      </c>
    </row>
    <row r="466" spans="1:11" x14ac:dyDescent="0.2">
      <c r="A466" t="s">
        <v>1796</v>
      </c>
      <c r="B466" t="s">
        <v>1797</v>
      </c>
      <c r="C466" t="s">
        <v>1798</v>
      </c>
      <c r="E466" t="s">
        <v>1799</v>
      </c>
      <c r="F466" s="2">
        <v>525126761</v>
      </c>
      <c r="G466" s="2">
        <v>133319825</v>
      </c>
      <c r="H466" t="s">
        <v>38</v>
      </c>
      <c r="I466" t="s">
        <v>17</v>
      </c>
      <c r="J466" t="s">
        <v>25</v>
      </c>
    </row>
    <row r="467" spans="1:11" x14ac:dyDescent="0.2">
      <c r="A467" t="s">
        <v>1800</v>
      </c>
      <c r="B467" t="s">
        <v>1801</v>
      </c>
      <c r="C467" t="s">
        <v>1802</v>
      </c>
      <c r="E467" t="s">
        <v>1803</v>
      </c>
      <c r="F467" s="2">
        <v>524200378</v>
      </c>
      <c r="G467" s="2">
        <v>135387198</v>
      </c>
      <c r="H467" t="s">
        <v>38</v>
      </c>
      <c r="I467" t="s">
        <v>17</v>
      </c>
      <c r="J467" t="s">
        <v>25</v>
      </c>
    </row>
    <row r="468" spans="1:11" x14ac:dyDescent="0.2">
      <c r="A468" t="s">
        <v>1804</v>
      </c>
      <c r="F468" s="2">
        <v>524191688</v>
      </c>
      <c r="G468" s="2">
        <v>135380998</v>
      </c>
      <c r="H468" t="s">
        <v>28</v>
      </c>
      <c r="I468" t="s">
        <v>17</v>
      </c>
      <c r="J468" t="s">
        <v>25</v>
      </c>
    </row>
    <row r="469" spans="1:11" x14ac:dyDescent="0.2">
      <c r="A469" t="s">
        <v>1805</v>
      </c>
      <c r="B469" t="s">
        <v>1806</v>
      </c>
      <c r="C469" t="s">
        <v>1807</v>
      </c>
      <c r="D469" t="s">
        <v>1808</v>
      </c>
      <c r="E469" t="s">
        <v>1809</v>
      </c>
      <c r="F469" s="2">
        <v>524173006</v>
      </c>
      <c r="G469" s="2">
        <v>135295839</v>
      </c>
      <c r="H469" t="s">
        <v>304</v>
      </c>
      <c r="I469" t="s">
        <v>17</v>
      </c>
      <c r="J469" t="s">
        <v>25</v>
      </c>
      <c r="K469" t="s">
        <v>1810</v>
      </c>
    </row>
    <row r="470" spans="1:11" x14ac:dyDescent="0.2">
      <c r="A470" t="s">
        <v>1811</v>
      </c>
      <c r="B470" t="s">
        <v>1812</v>
      </c>
      <c r="E470" t="s">
        <v>1813</v>
      </c>
      <c r="F470" s="2">
        <v>524761662</v>
      </c>
      <c r="G470" s="2">
        <v>133094167</v>
      </c>
      <c r="H470" t="s">
        <v>34</v>
      </c>
      <c r="I470" t="s">
        <v>17</v>
      </c>
      <c r="J470" t="s">
        <v>25</v>
      </c>
    </row>
    <row r="471" spans="1:11" x14ac:dyDescent="0.2">
      <c r="A471" t="s">
        <v>1814</v>
      </c>
      <c r="B471" t="s">
        <v>1815</v>
      </c>
      <c r="C471" t="s">
        <v>1816</v>
      </c>
      <c r="E471" t="s">
        <v>1817</v>
      </c>
      <c r="F471" s="2">
        <v>524481797</v>
      </c>
      <c r="G471" s="2">
        <v>135763618</v>
      </c>
      <c r="H471" t="s">
        <v>277</v>
      </c>
      <c r="I471" t="s">
        <v>17</v>
      </c>
      <c r="J471" t="s">
        <v>25</v>
      </c>
      <c r="K471" t="s">
        <v>1818</v>
      </c>
    </row>
    <row r="472" spans="1:11" x14ac:dyDescent="0.2">
      <c r="A472" t="s">
        <v>1819</v>
      </c>
      <c r="B472" t="s">
        <v>1820</v>
      </c>
      <c r="F472" s="2">
        <v>524477715</v>
      </c>
      <c r="G472" s="2">
        <v>13575628</v>
      </c>
      <c r="H472" t="s">
        <v>28</v>
      </c>
      <c r="I472" t="s">
        <v>17</v>
      </c>
      <c r="J472" t="s">
        <v>25</v>
      </c>
    </row>
    <row r="473" spans="1:11" x14ac:dyDescent="0.2">
      <c r="A473" t="s">
        <v>1821</v>
      </c>
      <c r="B473" t="s">
        <v>1822</v>
      </c>
      <c r="E473" t="s">
        <v>1823</v>
      </c>
      <c r="F473" s="2">
        <v>525417933</v>
      </c>
      <c r="G473" s="2">
        <v>133575184</v>
      </c>
      <c r="H473" t="s">
        <v>34</v>
      </c>
      <c r="I473" t="s">
        <v>17</v>
      </c>
      <c r="J473" t="s">
        <v>25</v>
      </c>
    </row>
    <row r="474" spans="1:11" x14ac:dyDescent="0.2">
      <c r="A474" t="s">
        <v>1824</v>
      </c>
      <c r="B474" t="s">
        <v>1825</v>
      </c>
      <c r="F474" s="2">
        <v>525199995</v>
      </c>
      <c r="G474" s="2">
        <v>13390001</v>
      </c>
      <c r="H474" t="s">
        <v>28</v>
      </c>
      <c r="I474" t="s">
        <v>17</v>
      </c>
      <c r="J474" t="s">
        <v>25</v>
      </c>
    </row>
    <row r="475" spans="1:11" x14ac:dyDescent="0.2">
      <c r="A475" t="s">
        <v>1826</v>
      </c>
      <c r="B475" t="s">
        <v>1827</v>
      </c>
      <c r="C475" t="s">
        <v>1828</v>
      </c>
      <c r="F475" s="2">
        <v>525041463</v>
      </c>
      <c r="G475" s="2">
        <v>133812523</v>
      </c>
      <c r="H475" t="s">
        <v>255</v>
      </c>
      <c r="I475" t="s">
        <v>17</v>
      </c>
      <c r="J475" t="s">
        <v>25</v>
      </c>
    </row>
    <row r="476" spans="1:11" x14ac:dyDescent="0.2">
      <c r="A476" t="s">
        <v>1829</v>
      </c>
      <c r="B476" t="s">
        <v>1830</v>
      </c>
      <c r="C476" t="s">
        <v>1831</v>
      </c>
      <c r="D476" t="s">
        <v>1832</v>
      </c>
      <c r="E476" t="s">
        <v>1833</v>
      </c>
      <c r="F476" s="2">
        <v>525055987</v>
      </c>
      <c r="G476" s="2">
        <v>133805743</v>
      </c>
      <c r="H476" t="s">
        <v>24</v>
      </c>
      <c r="I476" t="s">
        <v>17</v>
      </c>
      <c r="J476" t="s">
        <v>25</v>
      </c>
    </row>
    <row r="477" spans="1:11" x14ac:dyDescent="0.2">
      <c r="A477" t="s">
        <v>1834</v>
      </c>
      <c r="B477" t="s">
        <v>1835</v>
      </c>
      <c r="C477" t="s">
        <v>1836</v>
      </c>
      <c r="D477" t="s">
        <v>1837</v>
      </c>
      <c r="E477" t="s">
        <v>1838</v>
      </c>
      <c r="F477" s="2">
        <v>525091686</v>
      </c>
      <c r="G477" s="2">
        <v>133755065</v>
      </c>
      <c r="H477" t="s">
        <v>24</v>
      </c>
      <c r="I477" t="s">
        <v>17</v>
      </c>
      <c r="J477" t="s">
        <v>25</v>
      </c>
    </row>
    <row r="478" spans="1:11" x14ac:dyDescent="0.2">
      <c r="A478" t="s">
        <v>1839</v>
      </c>
      <c r="B478" t="s">
        <v>1840</v>
      </c>
      <c r="C478" t="s">
        <v>1841</v>
      </c>
      <c r="D478" t="s">
        <v>1842</v>
      </c>
      <c r="E478" t="s">
        <v>1843</v>
      </c>
      <c r="F478" s="2">
        <v>52514324</v>
      </c>
      <c r="G478" s="2">
        <v>133814055</v>
      </c>
      <c r="H478" t="s">
        <v>24</v>
      </c>
      <c r="I478" t="s">
        <v>17</v>
      </c>
      <c r="J478" t="s">
        <v>25</v>
      </c>
    </row>
    <row r="479" spans="1:11" x14ac:dyDescent="0.2">
      <c r="A479" t="s">
        <v>1844</v>
      </c>
      <c r="B479" t="s">
        <v>1845</v>
      </c>
      <c r="E479" t="s">
        <v>1846</v>
      </c>
      <c r="F479" s="2">
        <v>525171689</v>
      </c>
      <c r="G479" s="2">
        <v>133776044</v>
      </c>
      <c r="H479" t="s">
        <v>34</v>
      </c>
      <c r="I479" t="s">
        <v>17</v>
      </c>
      <c r="J479" t="s">
        <v>25</v>
      </c>
    </row>
    <row r="480" spans="1:11" x14ac:dyDescent="0.2">
      <c r="A480" t="s">
        <v>1847</v>
      </c>
      <c r="B480" t="s">
        <v>1848</v>
      </c>
      <c r="C480" t="s">
        <v>1849</v>
      </c>
      <c r="D480" t="s">
        <v>1850</v>
      </c>
      <c r="E480" t="s">
        <v>1851</v>
      </c>
      <c r="F480" s="2">
        <v>52506311</v>
      </c>
      <c r="G480" s="2">
        <v>133770107</v>
      </c>
      <c r="H480" t="s">
        <v>24</v>
      </c>
      <c r="I480" t="s">
        <v>17</v>
      </c>
      <c r="J480" t="s">
        <v>25</v>
      </c>
    </row>
    <row r="481" spans="1:11" x14ac:dyDescent="0.2">
      <c r="A481" t="s">
        <v>1852</v>
      </c>
      <c r="B481" t="s">
        <v>1853</v>
      </c>
      <c r="C481" t="s">
        <v>1854</v>
      </c>
      <c r="F481" s="2">
        <v>525011402</v>
      </c>
      <c r="G481" s="2">
        <v>133077517</v>
      </c>
      <c r="H481" t="s">
        <v>255</v>
      </c>
      <c r="I481" t="s">
        <v>17</v>
      </c>
      <c r="J481" t="s">
        <v>25</v>
      </c>
    </row>
    <row r="482" spans="1:11" x14ac:dyDescent="0.2">
      <c r="A482" t="s">
        <v>1855</v>
      </c>
      <c r="E482">
        <v>493052666164</v>
      </c>
      <c r="F482" s="2">
        <v>52588435</v>
      </c>
      <c r="G482" s="2">
        <v>132790204</v>
      </c>
      <c r="H482" t="s">
        <v>34</v>
      </c>
      <c r="I482" t="s">
        <v>17</v>
      </c>
      <c r="J482" t="s">
        <v>25</v>
      </c>
    </row>
    <row r="483" spans="1:11" x14ac:dyDescent="0.2">
      <c r="A483" t="s">
        <v>1856</v>
      </c>
      <c r="B483" t="s">
        <v>1857</v>
      </c>
      <c r="C483" t="s">
        <v>1858</v>
      </c>
      <c r="F483" s="2">
        <v>525382912</v>
      </c>
      <c r="G483" s="2">
        <v>134091417</v>
      </c>
      <c r="H483" t="s">
        <v>277</v>
      </c>
      <c r="I483" t="s">
        <v>17</v>
      </c>
      <c r="J483" t="s">
        <v>25</v>
      </c>
      <c r="K483" t="s">
        <v>1859</v>
      </c>
    </row>
    <row r="484" spans="1:11" x14ac:dyDescent="0.2">
      <c r="A484" t="s">
        <v>1860</v>
      </c>
      <c r="B484" t="s">
        <v>1861</v>
      </c>
      <c r="C484" t="s">
        <v>1862</v>
      </c>
      <c r="D484" t="s">
        <v>1863</v>
      </c>
      <c r="E484" t="s">
        <v>1864</v>
      </c>
    </row>
    <row r="485" spans="1:11" x14ac:dyDescent="0.2">
      <c r="A485" t="s">
        <v>1865</v>
      </c>
      <c r="B485" t="s">
        <v>1866</v>
      </c>
      <c r="F485" s="2">
        <v>525202562</v>
      </c>
      <c r="G485" s="2">
        <v>134016458</v>
      </c>
      <c r="H485" t="s">
        <v>28</v>
      </c>
      <c r="I485" t="s">
        <v>17</v>
      </c>
      <c r="J485" t="s">
        <v>25</v>
      </c>
    </row>
    <row r="486" spans="1:11" x14ac:dyDescent="0.2">
      <c r="A486" t="s">
        <v>1867</v>
      </c>
      <c r="B486" t="s">
        <v>1868</v>
      </c>
      <c r="C486" t="s">
        <v>1869</v>
      </c>
      <c r="D486" t="s">
        <v>1870</v>
      </c>
      <c r="E486" t="s">
        <v>1871</v>
      </c>
      <c r="F486" s="2">
        <v>524869146</v>
      </c>
      <c r="G486" s="2">
        <v>132980715</v>
      </c>
      <c r="H486" t="s">
        <v>24</v>
      </c>
      <c r="I486" t="s">
        <v>17</v>
      </c>
      <c r="J486" t="s">
        <v>25</v>
      </c>
    </row>
    <row r="487" spans="1:11" x14ac:dyDescent="0.2">
      <c r="A487" t="s">
        <v>1872</v>
      </c>
      <c r="F487" s="2">
        <v>525959902</v>
      </c>
      <c r="G487" s="2">
        <v>133922912</v>
      </c>
      <c r="H487" t="s">
        <v>28</v>
      </c>
      <c r="I487" t="s">
        <v>17</v>
      </c>
      <c r="J487" t="s">
        <v>25</v>
      </c>
    </row>
    <row r="488" spans="1:11" x14ac:dyDescent="0.2">
      <c r="A488" t="s">
        <v>1873</v>
      </c>
      <c r="B488" t="s">
        <v>1874</v>
      </c>
      <c r="C488" t="s">
        <v>1875</v>
      </c>
      <c r="D488" t="s">
        <v>1876</v>
      </c>
      <c r="E488" t="s">
        <v>1877</v>
      </c>
      <c r="F488" s="2">
        <v>524455288</v>
      </c>
      <c r="G488" s="2">
        <v>13574635</v>
      </c>
      <c r="H488" t="s">
        <v>51</v>
      </c>
      <c r="I488" t="s">
        <v>17</v>
      </c>
      <c r="J488" t="s">
        <v>25</v>
      </c>
      <c r="K488" t="s">
        <v>1878</v>
      </c>
    </row>
    <row r="489" spans="1:11" x14ac:dyDescent="0.2">
      <c r="A489" t="s">
        <v>1879</v>
      </c>
      <c r="B489" t="s">
        <v>1880</v>
      </c>
      <c r="E489" t="s">
        <v>1881</v>
      </c>
      <c r="F489" s="2">
        <v>525730024</v>
      </c>
      <c r="G489" s="2">
        <v>132267306</v>
      </c>
      <c r="H489" t="s">
        <v>34</v>
      </c>
      <c r="I489" t="s">
        <v>17</v>
      </c>
      <c r="J489" t="s">
        <v>25</v>
      </c>
    </row>
    <row r="490" spans="1:11" x14ac:dyDescent="0.2">
      <c r="A490" t="s">
        <v>1882</v>
      </c>
      <c r="C490" t="s">
        <v>1883</v>
      </c>
      <c r="E490" t="s">
        <v>1884</v>
      </c>
      <c r="F490" s="2">
        <v>524115692</v>
      </c>
      <c r="G490" s="2">
        <v>133424025</v>
      </c>
      <c r="H490" t="s">
        <v>38</v>
      </c>
      <c r="I490" t="s">
        <v>17</v>
      </c>
      <c r="J490" t="s">
        <v>25</v>
      </c>
    </row>
    <row r="491" spans="1:11" x14ac:dyDescent="0.2">
      <c r="A491" t="s">
        <v>1885</v>
      </c>
      <c r="B491" t="s">
        <v>1886</v>
      </c>
      <c r="C491" t="s">
        <v>1887</v>
      </c>
      <c r="D491" t="s">
        <v>1888</v>
      </c>
      <c r="E491">
        <v>493076213035</v>
      </c>
      <c r="F491" s="2">
        <v>525311999</v>
      </c>
      <c r="G491" s="2">
        <v>134027793</v>
      </c>
      <c r="H491" t="s">
        <v>51</v>
      </c>
      <c r="I491" t="s">
        <v>17</v>
      </c>
      <c r="J491" t="s">
        <v>25</v>
      </c>
      <c r="K491" t="s">
        <v>1889</v>
      </c>
    </row>
    <row r="492" spans="1:11" x14ac:dyDescent="0.2">
      <c r="A492" t="s">
        <v>1890</v>
      </c>
      <c r="B492" t="s">
        <v>1891</v>
      </c>
      <c r="C492" t="s">
        <v>1892</v>
      </c>
      <c r="F492" s="2">
        <v>525159201</v>
      </c>
      <c r="G492" s="2">
        <v>133917462</v>
      </c>
      <c r="H492" t="s">
        <v>277</v>
      </c>
      <c r="I492" t="s">
        <v>17</v>
      </c>
      <c r="J492" t="s">
        <v>25</v>
      </c>
      <c r="K492" t="s">
        <v>1893</v>
      </c>
    </row>
    <row r="493" spans="1:11" x14ac:dyDescent="0.2">
      <c r="A493" t="s">
        <v>1894</v>
      </c>
      <c r="B493" t="s">
        <v>1895</v>
      </c>
      <c r="C493" t="s">
        <v>1896</v>
      </c>
      <c r="E493" t="s">
        <v>1897</v>
      </c>
      <c r="F493" s="2">
        <v>525222074</v>
      </c>
      <c r="G493" s="2">
        <v>13398306</v>
      </c>
      <c r="H493" t="s">
        <v>38</v>
      </c>
      <c r="I493" t="s">
        <v>17</v>
      </c>
      <c r="J493" t="s">
        <v>25</v>
      </c>
    </row>
    <row r="494" spans="1:11" x14ac:dyDescent="0.2">
      <c r="A494" t="s">
        <v>1898</v>
      </c>
      <c r="F494" s="2">
        <v>525481798</v>
      </c>
      <c r="G494" s="2">
        <v>135008641</v>
      </c>
      <c r="H494" t="s">
        <v>28</v>
      </c>
      <c r="I494" t="s">
        <v>17</v>
      </c>
      <c r="J494" t="s">
        <v>25</v>
      </c>
    </row>
    <row r="495" spans="1:11" x14ac:dyDescent="0.2">
      <c r="A495" t="s">
        <v>1899</v>
      </c>
      <c r="B495" t="s">
        <v>1900</v>
      </c>
      <c r="C495" t="s">
        <v>1901</v>
      </c>
      <c r="D495" t="s">
        <v>1902</v>
      </c>
      <c r="E495" t="s">
        <v>1903</v>
      </c>
      <c r="F495" s="2">
        <v>525031121</v>
      </c>
      <c r="G495" s="2">
        <v>133294737</v>
      </c>
      <c r="H495" t="s">
        <v>51</v>
      </c>
      <c r="I495" t="s">
        <v>17</v>
      </c>
      <c r="J495" t="s">
        <v>25</v>
      </c>
      <c r="K495" t="s">
        <v>1904</v>
      </c>
    </row>
    <row r="496" spans="1:11" x14ac:dyDescent="0.2">
      <c r="A496" t="s">
        <v>1905</v>
      </c>
      <c r="B496" t="s">
        <v>1906</v>
      </c>
      <c r="E496">
        <v>4915203920740</v>
      </c>
      <c r="F496" s="2">
        <v>52545972</v>
      </c>
      <c r="G496" s="2">
        <v>134943222</v>
      </c>
      <c r="H496" t="s">
        <v>34</v>
      </c>
      <c r="I496" t="s">
        <v>17</v>
      </c>
      <c r="J496" t="s">
        <v>25</v>
      </c>
    </row>
    <row r="497" spans="1:11" x14ac:dyDescent="0.2">
      <c r="A497" t="s">
        <v>1907</v>
      </c>
      <c r="F497" s="2">
        <v>52543815</v>
      </c>
      <c r="G497" s="2">
        <v>134923854</v>
      </c>
      <c r="H497" t="s">
        <v>28</v>
      </c>
      <c r="I497" t="s">
        <v>17</v>
      </c>
      <c r="J497" t="s">
        <v>25</v>
      </c>
    </row>
    <row r="498" spans="1:11" x14ac:dyDescent="0.2">
      <c r="A498" t="s">
        <v>1908</v>
      </c>
      <c r="F498" s="2">
        <v>525431236</v>
      </c>
      <c r="G498" s="2">
        <v>13490211</v>
      </c>
      <c r="H498" t="s">
        <v>28</v>
      </c>
      <c r="I498" t="s">
        <v>17</v>
      </c>
      <c r="J498" t="s">
        <v>25</v>
      </c>
    </row>
    <row r="499" spans="1:11" x14ac:dyDescent="0.2">
      <c r="A499" t="s">
        <v>1909</v>
      </c>
      <c r="B499" t="s">
        <v>1910</v>
      </c>
      <c r="F499" s="2">
        <v>525037231</v>
      </c>
      <c r="G499" s="2">
        <v>133050833</v>
      </c>
      <c r="H499" t="s">
        <v>28</v>
      </c>
      <c r="I499" t="s">
        <v>17</v>
      </c>
      <c r="J499" t="s">
        <v>25</v>
      </c>
    </row>
    <row r="500" spans="1:11" x14ac:dyDescent="0.2">
      <c r="A500" t="s">
        <v>1911</v>
      </c>
      <c r="B500" t="s">
        <v>1912</v>
      </c>
      <c r="C500" t="s">
        <v>1913</v>
      </c>
      <c r="E500" t="s">
        <v>1914</v>
      </c>
      <c r="F500" s="2">
        <v>524820186</v>
      </c>
      <c r="G500" s="2">
        <v>133207418</v>
      </c>
      <c r="H500" t="s">
        <v>38</v>
      </c>
      <c r="I500" t="s">
        <v>17</v>
      </c>
      <c r="J500" t="s">
        <v>25</v>
      </c>
    </row>
    <row r="501" spans="1:11" x14ac:dyDescent="0.2">
      <c r="A501" t="s">
        <v>1915</v>
      </c>
      <c r="B501" t="s">
        <v>1916</v>
      </c>
      <c r="C501" t="s">
        <v>1917</v>
      </c>
      <c r="E501" t="s">
        <v>1918</v>
      </c>
      <c r="F501" s="2">
        <v>524821103</v>
      </c>
      <c r="G501" s="2">
        <v>133158023</v>
      </c>
      <c r="H501" t="s">
        <v>38</v>
      </c>
      <c r="I501" t="s">
        <v>17</v>
      </c>
      <c r="J501" t="s">
        <v>25</v>
      </c>
    </row>
    <row r="502" spans="1:11" x14ac:dyDescent="0.2">
      <c r="A502" t="s">
        <v>1919</v>
      </c>
      <c r="B502" t="s">
        <v>1920</v>
      </c>
      <c r="C502" t="s">
        <v>1921</v>
      </c>
      <c r="D502" t="s">
        <v>1922</v>
      </c>
      <c r="E502" t="s">
        <v>1923</v>
      </c>
      <c r="F502" s="2">
        <v>524935693</v>
      </c>
      <c r="G502" s="2">
        <v>134273747</v>
      </c>
      <c r="H502" t="s">
        <v>24</v>
      </c>
      <c r="I502" t="s">
        <v>17</v>
      </c>
      <c r="J502" t="s">
        <v>25</v>
      </c>
    </row>
    <row r="503" spans="1:11" x14ac:dyDescent="0.2">
      <c r="A503" t="s">
        <v>1924</v>
      </c>
      <c r="B503" t="s">
        <v>1925</v>
      </c>
      <c r="E503" t="s">
        <v>1926</v>
      </c>
      <c r="F503" s="2">
        <v>524442928</v>
      </c>
      <c r="G503" s="2">
        <v>135851398</v>
      </c>
      <c r="H503" t="s">
        <v>34</v>
      </c>
      <c r="I503" t="s">
        <v>17</v>
      </c>
      <c r="J503" t="s">
        <v>25</v>
      </c>
    </row>
    <row r="504" spans="1:11" x14ac:dyDescent="0.2">
      <c r="A504" t="s">
        <v>1927</v>
      </c>
      <c r="B504" t="s">
        <v>1928</v>
      </c>
      <c r="C504" t="s">
        <v>1929</v>
      </c>
      <c r="D504" t="s">
        <v>1930</v>
      </c>
      <c r="E504" t="s">
        <v>1931</v>
      </c>
      <c r="F504" s="2">
        <v>525468186</v>
      </c>
      <c r="G504" s="2">
        <v>13417798</v>
      </c>
      <c r="H504" t="s">
        <v>51</v>
      </c>
      <c r="I504" t="s">
        <v>17</v>
      </c>
      <c r="J504" t="s">
        <v>25</v>
      </c>
      <c r="K504" t="s">
        <v>1932</v>
      </c>
    </row>
    <row r="505" spans="1:11" x14ac:dyDescent="0.2">
      <c r="A505" t="s">
        <v>1933</v>
      </c>
      <c r="B505" t="s">
        <v>1934</v>
      </c>
      <c r="F505" s="2">
        <v>525466127</v>
      </c>
      <c r="G505" s="2">
        <v>134175265</v>
      </c>
      <c r="H505" t="s">
        <v>28</v>
      </c>
      <c r="I505" t="s">
        <v>17</v>
      </c>
      <c r="J505" t="s">
        <v>25</v>
      </c>
    </row>
    <row r="506" spans="1:11" x14ac:dyDescent="0.2">
      <c r="A506" t="s">
        <v>1935</v>
      </c>
      <c r="B506" t="s">
        <v>1936</v>
      </c>
      <c r="C506" t="s">
        <v>1937</v>
      </c>
      <c r="F506" s="2">
        <v>525468545</v>
      </c>
      <c r="G506" s="2">
        <v>134168492</v>
      </c>
      <c r="H506" t="s">
        <v>255</v>
      </c>
      <c r="I506" t="s">
        <v>17</v>
      </c>
      <c r="J506" t="s">
        <v>25</v>
      </c>
    </row>
    <row r="507" spans="1:11" x14ac:dyDescent="0.2">
      <c r="A507" t="s">
        <v>1938</v>
      </c>
      <c r="B507" t="s">
        <v>1939</v>
      </c>
      <c r="C507" t="s">
        <v>1940</v>
      </c>
      <c r="E507" t="s">
        <v>1941</v>
      </c>
      <c r="F507" s="2">
        <v>525478883</v>
      </c>
      <c r="G507" s="2">
        <v>134154013</v>
      </c>
      <c r="H507" t="s">
        <v>38</v>
      </c>
      <c r="I507" t="s">
        <v>17</v>
      </c>
      <c r="J507" t="s">
        <v>25</v>
      </c>
    </row>
    <row r="508" spans="1:11" x14ac:dyDescent="0.2">
      <c r="A508" t="s">
        <v>1942</v>
      </c>
      <c r="B508" t="s">
        <v>1943</v>
      </c>
      <c r="C508" t="s">
        <v>1944</v>
      </c>
      <c r="D508" t="s">
        <v>1945</v>
      </c>
      <c r="E508" t="s">
        <v>1946</v>
      </c>
      <c r="F508" s="2">
        <v>524997424</v>
      </c>
      <c r="G508" s="2">
        <v>13429924</v>
      </c>
      <c r="H508" t="s">
        <v>304</v>
      </c>
      <c r="I508" t="s">
        <v>17</v>
      </c>
      <c r="J508" t="s">
        <v>25</v>
      </c>
      <c r="K508" t="s">
        <v>1947</v>
      </c>
    </row>
    <row r="509" spans="1:11" x14ac:dyDescent="0.2">
      <c r="A509" t="s">
        <v>1948</v>
      </c>
      <c r="B509" t="s">
        <v>1949</v>
      </c>
      <c r="C509" t="s">
        <v>1950</v>
      </c>
      <c r="D509" t="s">
        <v>1951</v>
      </c>
      <c r="E509" t="s">
        <v>1952</v>
      </c>
      <c r="F509" s="2">
        <v>525020683</v>
      </c>
      <c r="G509" s="2">
        <v>134302482</v>
      </c>
      <c r="H509" t="s">
        <v>24</v>
      </c>
      <c r="I509" t="s">
        <v>17</v>
      </c>
      <c r="J509" t="s">
        <v>25</v>
      </c>
    </row>
    <row r="510" spans="1:11" x14ac:dyDescent="0.2">
      <c r="A510" t="s">
        <v>1953</v>
      </c>
      <c r="B510" t="s">
        <v>1954</v>
      </c>
      <c r="C510" t="s">
        <v>1955</v>
      </c>
      <c r="D510" t="s">
        <v>1956</v>
      </c>
      <c r="E510" t="s">
        <v>1957</v>
      </c>
      <c r="F510" s="2">
        <v>525024466</v>
      </c>
      <c r="G510" s="2">
        <v>134311003</v>
      </c>
      <c r="H510" t="s">
        <v>24</v>
      </c>
      <c r="I510" t="s">
        <v>17</v>
      </c>
      <c r="J510" t="s">
        <v>25</v>
      </c>
    </row>
    <row r="511" spans="1:11" x14ac:dyDescent="0.2">
      <c r="A511" t="s">
        <v>1958</v>
      </c>
      <c r="B511" t="s">
        <v>1959</v>
      </c>
      <c r="F511" s="2">
        <v>524879044</v>
      </c>
      <c r="G511" s="2">
        <v>133763836</v>
      </c>
      <c r="H511" t="s">
        <v>28</v>
      </c>
      <c r="I511" t="s">
        <v>17</v>
      </c>
      <c r="J511" t="s">
        <v>25</v>
      </c>
    </row>
    <row r="512" spans="1:11" x14ac:dyDescent="0.2">
      <c r="A512">
        <v>39</v>
      </c>
      <c r="B512" t="s">
        <v>1960</v>
      </c>
      <c r="F512" s="2">
        <v>524897934</v>
      </c>
      <c r="G512" s="2">
        <v>133795333</v>
      </c>
      <c r="H512" t="s">
        <v>28</v>
      </c>
      <c r="I512" t="s">
        <v>17</v>
      </c>
      <c r="J512" t="s">
        <v>25</v>
      </c>
    </row>
    <row r="513" spans="1:11" x14ac:dyDescent="0.2">
      <c r="A513" t="s">
        <v>1961</v>
      </c>
      <c r="B513" t="s">
        <v>1962</v>
      </c>
      <c r="F513" s="2">
        <v>524522392</v>
      </c>
      <c r="G513" s="2">
        <v>13333892</v>
      </c>
      <c r="H513" t="s">
        <v>28</v>
      </c>
      <c r="I513" t="s">
        <v>17</v>
      </c>
      <c r="J513" t="s">
        <v>25</v>
      </c>
    </row>
    <row r="514" spans="1:11" x14ac:dyDescent="0.2">
      <c r="A514" t="s">
        <v>1963</v>
      </c>
      <c r="B514" t="s">
        <v>1964</v>
      </c>
      <c r="C514" t="s">
        <v>1965</v>
      </c>
      <c r="D514" t="s">
        <v>1966</v>
      </c>
      <c r="E514" t="s">
        <v>1967</v>
      </c>
      <c r="F514" s="2">
        <v>524958875</v>
      </c>
      <c r="G514" s="2">
        <v>134070158</v>
      </c>
      <c r="H514" t="s">
        <v>51</v>
      </c>
      <c r="I514" t="s">
        <v>17</v>
      </c>
      <c r="J514" t="s">
        <v>25</v>
      </c>
      <c r="K514" t="s">
        <v>1968</v>
      </c>
    </row>
    <row r="515" spans="1:11" x14ac:dyDescent="0.2">
      <c r="A515" t="s">
        <v>1969</v>
      </c>
      <c r="B515" t="s">
        <v>1970</v>
      </c>
      <c r="C515" t="s">
        <v>1971</v>
      </c>
      <c r="D515" t="s">
        <v>1972</v>
      </c>
      <c r="F515" s="2">
        <v>524919717</v>
      </c>
      <c r="G515" s="2">
        <v>134281585</v>
      </c>
      <c r="H515" t="s">
        <v>304</v>
      </c>
      <c r="I515" t="s">
        <v>17</v>
      </c>
      <c r="J515" t="s">
        <v>25</v>
      </c>
      <c r="K515" t="s">
        <v>1973</v>
      </c>
    </row>
    <row r="516" spans="1:11" x14ac:dyDescent="0.2">
      <c r="A516" t="s">
        <v>1974</v>
      </c>
      <c r="B516" t="s">
        <v>1975</v>
      </c>
      <c r="C516" t="s">
        <v>1976</v>
      </c>
      <c r="D516" t="s">
        <v>1977</v>
      </c>
      <c r="E516" t="s">
        <v>1978</v>
      </c>
      <c r="F516" s="2">
        <v>525451976</v>
      </c>
      <c r="G516" s="2">
        <v>134149071</v>
      </c>
      <c r="H516" t="s">
        <v>16</v>
      </c>
      <c r="I516" t="s">
        <v>17</v>
      </c>
      <c r="J516" t="s">
        <v>25</v>
      </c>
    </row>
    <row r="517" spans="1:11" x14ac:dyDescent="0.2">
      <c r="A517" t="s">
        <v>1979</v>
      </c>
      <c r="B517" t="s">
        <v>1980</v>
      </c>
      <c r="C517" t="s">
        <v>1981</v>
      </c>
      <c r="D517" t="s">
        <v>1982</v>
      </c>
      <c r="E517" t="s">
        <v>1983</v>
      </c>
      <c r="F517" s="2">
        <v>525431965</v>
      </c>
      <c r="G517" s="2">
        <v>134171996</v>
      </c>
      <c r="H517" t="s">
        <v>51</v>
      </c>
      <c r="I517" t="s">
        <v>17</v>
      </c>
      <c r="J517" t="s">
        <v>25</v>
      </c>
      <c r="K517" t="s">
        <v>1984</v>
      </c>
    </row>
    <row r="518" spans="1:11" x14ac:dyDescent="0.2">
      <c r="A518" t="s">
        <v>1985</v>
      </c>
      <c r="B518" t="s">
        <v>1986</v>
      </c>
      <c r="F518" s="2">
        <v>525449918</v>
      </c>
      <c r="G518" s="2">
        <v>133688879</v>
      </c>
      <c r="H518" t="s">
        <v>28</v>
      </c>
      <c r="I518" t="s">
        <v>17</v>
      </c>
      <c r="J518" t="s">
        <v>25</v>
      </c>
    </row>
    <row r="519" spans="1:11" x14ac:dyDescent="0.2">
      <c r="A519" t="s">
        <v>1987</v>
      </c>
      <c r="B519" t="s">
        <v>1988</v>
      </c>
      <c r="C519" t="s">
        <v>1989</v>
      </c>
      <c r="D519" t="s">
        <v>1990</v>
      </c>
      <c r="E519" t="s">
        <v>1991</v>
      </c>
      <c r="F519" s="2">
        <v>524912144</v>
      </c>
      <c r="G519" s="2">
        <v>134258819</v>
      </c>
      <c r="H519" t="s">
        <v>51</v>
      </c>
      <c r="I519" t="s">
        <v>17</v>
      </c>
      <c r="J519" t="s">
        <v>25</v>
      </c>
      <c r="K519" t="s">
        <v>1992</v>
      </c>
    </row>
    <row r="520" spans="1:11" x14ac:dyDescent="0.2">
      <c r="A520" t="s">
        <v>1993</v>
      </c>
      <c r="B520" t="s">
        <v>1994</v>
      </c>
      <c r="C520" t="s">
        <v>1995</v>
      </c>
      <c r="F520" s="2">
        <v>524900743</v>
      </c>
      <c r="G520" s="2">
        <v>134245113</v>
      </c>
      <c r="H520" t="s">
        <v>255</v>
      </c>
      <c r="I520" t="s">
        <v>17</v>
      </c>
      <c r="J520" t="s">
        <v>25</v>
      </c>
    </row>
    <row r="521" spans="1:11" x14ac:dyDescent="0.2">
      <c r="A521" t="s">
        <v>1996</v>
      </c>
      <c r="B521" t="s">
        <v>1997</v>
      </c>
      <c r="C521" t="s">
        <v>1998</v>
      </c>
      <c r="E521">
        <v>493099296924</v>
      </c>
      <c r="F521" s="2">
        <v>525266247</v>
      </c>
      <c r="G521" s="2">
        <v>134078977</v>
      </c>
      <c r="H521" t="s">
        <v>277</v>
      </c>
      <c r="I521" t="s">
        <v>17</v>
      </c>
      <c r="J521" t="s">
        <v>25</v>
      </c>
      <c r="K521" t="s">
        <v>1999</v>
      </c>
    </row>
    <row r="522" spans="1:11" x14ac:dyDescent="0.2">
      <c r="A522" t="s">
        <v>2000</v>
      </c>
      <c r="B522" t="s">
        <v>2001</v>
      </c>
      <c r="C522" t="s">
        <v>2002</v>
      </c>
      <c r="D522" t="s">
        <v>2003</v>
      </c>
      <c r="E522" t="s">
        <v>2004</v>
      </c>
      <c r="F522" s="2">
        <v>525377384</v>
      </c>
      <c r="G522" s="2">
        <v>136033371</v>
      </c>
      <c r="H522" t="s">
        <v>24</v>
      </c>
      <c r="I522" t="s">
        <v>17</v>
      </c>
      <c r="J522" t="s">
        <v>25</v>
      </c>
    </row>
    <row r="523" spans="1:11" x14ac:dyDescent="0.2">
      <c r="A523" t="s">
        <v>2005</v>
      </c>
      <c r="B523" t="s">
        <v>2006</v>
      </c>
      <c r="F523" s="2">
        <v>525133263</v>
      </c>
      <c r="G523" s="2">
        <v>13304743</v>
      </c>
      <c r="H523" t="s">
        <v>28</v>
      </c>
      <c r="I523" t="s">
        <v>17</v>
      </c>
      <c r="J523" t="s">
        <v>25</v>
      </c>
    </row>
    <row r="524" spans="1:11" x14ac:dyDescent="0.2">
      <c r="A524" t="s">
        <v>2007</v>
      </c>
      <c r="B524" t="s">
        <v>2008</v>
      </c>
      <c r="C524" t="s">
        <v>2009</v>
      </c>
      <c r="E524" t="s">
        <v>2010</v>
      </c>
      <c r="F524" s="2">
        <v>525441097</v>
      </c>
      <c r="G524" s="2">
        <v>134203317</v>
      </c>
      <c r="H524" t="s">
        <v>38</v>
      </c>
      <c r="I524" t="s">
        <v>17</v>
      </c>
      <c r="J524" t="s">
        <v>25</v>
      </c>
    </row>
    <row r="525" spans="1:11" x14ac:dyDescent="0.2">
      <c r="A525" t="s">
        <v>2011</v>
      </c>
      <c r="B525" t="s">
        <v>2012</v>
      </c>
      <c r="C525" t="s">
        <v>2013</v>
      </c>
      <c r="E525" t="s">
        <v>2014</v>
      </c>
      <c r="F525" s="2">
        <v>5254405</v>
      </c>
      <c r="G525" s="2">
        <v>1341987</v>
      </c>
      <c r="H525" t="s">
        <v>38</v>
      </c>
      <c r="I525" t="s">
        <v>17</v>
      </c>
      <c r="J525" t="s">
        <v>25</v>
      </c>
    </row>
    <row r="526" spans="1:11" x14ac:dyDescent="0.2">
      <c r="A526" t="s">
        <v>2015</v>
      </c>
      <c r="B526" t="s">
        <v>2016</v>
      </c>
      <c r="F526" s="2">
        <v>525414461</v>
      </c>
      <c r="G526" s="2">
        <v>133687202</v>
      </c>
      <c r="H526" t="s">
        <v>28</v>
      </c>
      <c r="I526" t="s">
        <v>17</v>
      </c>
      <c r="J526" t="s">
        <v>25</v>
      </c>
    </row>
    <row r="527" spans="1:11" x14ac:dyDescent="0.2">
      <c r="A527" t="s">
        <v>2017</v>
      </c>
      <c r="B527" t="s">
        <v>2018</v>
      </c>
      <c r="C527" t="s">
        <v>2019</v>
      </c>
      <c r="D527" t="s">
        <v>2020</v>
      </c>
      <c r="E527" t="s">
        <v>2021</v>
      </c>
      <c r="F527" s="2">
        <v>52415518</v>
      </c>
      <c r="G527" s="2">
        <v>134709336</v>
      </c>
      <c r="H527" t="s">
        <v>16</v>
      </c>
      <c r="I527" t="s">
        <v>17</v>
      </c>
      <c r="J527" t="s">
        <v>25</v>
      </c>
    </row>
    <row r="528" spans="1:11" x14ac:dyDescent="0.2">
      <c r="A528" t="s">
        <v>2022</v>
      </c>
      <c r="B528" t="s">
        <v>2023</v>
      </c>
      <c r="C528" t="s">
        <v>2024</v>
      </c>
      <c r="D528" t="s">
        <v>2025</v>
      </c>
      <c r="E528">
        <v>493034096331</v>
      </c>
      <c r="F528" s="2">
        <v>525255711</v>
      </c>
      <c r="G528" s="2">
        <v>133116096</v>
      </c>
      <c r="H528" t="s">
        <v>24</v>
      </c>
      <c r="I528" t="s">
        <v>17</v>
      </c>
      <c r="J528" t="s">
        <v>25</v>
      </c>
    </row>
    <row r="529" spans="1:11" x14ac:dyDescent="0.2">
      <c r="A529" t="s">
        <v>2026</v>
      </c>
      <c r="B529" t="s">
        <v>2027</v>
      </c>
      <c r="C529" t="s">
        <v>2028</v>
      </c>
      <c r="E529" t="s">
        <v>2029</v>
      </c>
      <c r="F529" s="2">
        <v>524968797</v>
      </c>
      <c r="G529" s="2">
        <v>133536371</v>
      </c>
      <c r="H529" t="s">
        <v>38</v>
      </c>
      <c r="I529" t="s">
        <v>17</v>
      </c>
      <c r="J529" t="s">
        <v>25</v>
      </c>
    </row>
    <row r="530" spans="1:11" x14ac:dyDescent="0.2">
      <c r="A530" t="s">
        <v>2030</v>
      </c>
      <c r="B530" t="s">
        <v>2031</v>
      </c>
      <c r="C530" t="s">
        <v>2032</v>
      </c>
      <c r="D530" t="s">
        <v>2033</v>
      </c>
      <c r="F530" s="2">
        <v>525453398</v>
      </c>
      <c r="G530" s="2">
        <v>134172192</v>
      </c>
      <c r="H530" t="s">
        <v>304</v>
      </c>
      <c r="I530" t="s">
        <v>17</v>
      </c>
      <c r="J530" t="s">
        <v>25</v>
      </c>
      <c r="K530" t="s">
        <v>2034</v>
      </c>
    </row>
    <row r="531" spans="1:11" x14ac:dyDescent="0.2">
      <c r="A531" t="s">
        <v>2035</v>
      </c>
      <c r="B531" t="s">
        <v>2036</v>
      </c>
      <c r="C531" t="s">
        <v>2037</v>
      </c>
      <c r="D531" t="s">
        <v>2038</v>
      </c>
      <c r="F531" s="2">
        <v>525458765</v>
      </c>
      <c r="G531" s="2">
        <v>134177988</v>
      </c>
      <c r="H531" t="s">
        <v>38</v>
      </c>
      <c r="I531" t="s">
        <v>17</v>
      </c>
      <c r="J531" t="s">
        <v>25</v>
      </c>
    </row>
    <row r="532" spans="1:11" x14ac:dyDescent="0.2">
      <c r="A532" t="s">
        <v>2039</v>
      </c>
      <c r="B532" t="s">
        <v>2040</v>
      </c>
      <c r="F532" s="2">
        <v>52536904</v>
      </c>
      <c r="G532" s="2">
        <v>13268911</v>
      </c>
      <c r="H532" t="s">
        <v>28</v>
      </c>
      <c r="I532" t="s">
        <v>17</v>
      </c>
      <c r="J532" t="s">
        <v>25</v>
      </c>
    </row>
    <row r="533" spans="1:11" x14ac:dyDescent="0.2">
      <c r="A533" t="s">
        <v>2041</v>
      </c>
      <c r="B533" t="s">
        <v>2042</v>
      </c>
      <c r="C533" t="s">
        <v>2043</v>
      </c>
      <c r="E533">
        <v>493045094480</v>
      </c>
      <c r="F533" s="2">
        <v>524305508</v>
      </c>
      <c r="G533" s="2">
        <v>131935278</v>
      </c>
      <c r="H533" t="s">
        <v>38</v>
      </c>
      <c r="I533" t="s">
        <v>17</v>
      </c>
      <c r="J533" t="s">
        <v>25</v>
      </c>
    </row>
    <row r="534" spans="1:11" x14ac:dyDescent="0.2">
      <c r="A534" t="s">
        <v>2044</v>
      </c>
      <c r="B534" t="s">
        <v>2045</v>
      </c>
      <c r="C534" t="s">
        <v>2046</v>
      </c>
      <c r="E534" t="s">
        <v>2047</v>
      </c>
      <c r="F534" s="2">
        <v>524874692</v>
      </c>
      <c r="G534" s="2">
        <v>133498498</v>
      </c>
      <c r="H534" t="s">
        <v>277</v>
      </c>
      <c r="I534" t="s">
        <v>17</v>
      </c>
      <c r="J534" t="s">
        <v>25</v>
      </c>
      <c r="K534" t="s">
        <v>2048</v>
      </c>
    </row>
    <row r="535" spans="1:11" x14ac:dyDescent="0.2">
      <c r="A535" t="s">
        <v>2049</v>
      </c>
      <c r="B535" t="s">
        <v>2050</v>
      </c>
      <c r="C535" t="s">
        <v>2051</v>
      </c>
      <c r="E535" t="s">
        <v>2052</v>
      </c>
      <c r="F535" s="2">
        <v>52507989</v>
      </c>
      <c r="G535" s="2">
        <v>134550184</v>
      </c>
      <c r="H535" t="s">
        <v>277</v>
      </c>
      <c r="I535" t="s">
        <v>17</v>
      </c>
      <c r="J535" t="s">
        <v>25</v>
      </c>
      <c r="K535" t="s">
        <v>2053</v>
      </c>
    </row>
    <row r="536" spans="1:11" x14ac:dyDescent="0.2">
      <c r="A536" t="s">
        <v>2054</v>
      </c>
      <c r="B536" t="s">
        <v>2055</v>
      </c>
      <c r="F536" s="2">
        <v>525105257</v>
      </c>
      <c r="G536" s="2">
        <v>132939841</v>
      </c>
      <c r="H536" t="s">
        <v>28</v>
      </c>
      <c r="I536" t="s">
        <v>17</v>
      </c>
      <c r="J536" t="s">
        <v>25</v>
      </c>
    </row>
    <row r="537" spans="1:11" x14ac:dyDescent="0.2">
      <c r="A537" t="s">
        <v>2056</v>
      </c>
      <c r="F537" s="2">
        <v>523902943</v>
      </c>
      <c r="G537" s="2">
        <v>133877816</v>
      </c>
      <c r="H537" t="s">
        <v>28</v>
      </c>
      <c r="I537" t="s">
        <v>17</v>
      </c>
      <c r="J537" t="s">
        <v>25</v>
      </c>
    </row>
    <row r="538" spans="1:11" x14ac:dyDescent="0.2">
      <c r="A538" t="s">
        <v>2057</v>
      </c>
      <c r="B538" t="s">
        <v>2058</v>
      </c>
      <c r="C538" t="s">
        <v>2059</v>
      </c>
      <c r="E538" t="s">
        <v>2060</v>
      </c>
      <c r="F538" s="2">
        <v>523868165</v>
      </c>
      <c r="G538" s="2">
        <v>133950979</v>
      </c>
      <c r="H538" t="s">
        <v>38</v>
      </c>
      <c r="I538" t="s">
        <v>17</v>
      </c>
      <c r="J538" t="s">
        <v>25</v>
      </c>
    </row>
    <row r="539" spans="1:11" x14ac:dyDescent="0.2">
      <c r="A539" t="s">
        <v>2061</v>
      </c>
      <c r="B539" t="s">
        <v>2062</v>
      </c>
      <c r="C539" t="s">
        <v>2063</v>
      </c>
      <c r="E539" t="s">
        <v>2064</v>
      </c>
      <c r="F539" s="2">
        <v>523869186</v>
      </c>
      <c r="G539" s="2">
        <v>13398817</v>
      </c>
      <c r="H539" t="s">
        <v>38</v>
      </c>
      <c r="I539" t="s">
        <v>17</v>
      </c>
      <c r="J539" t="s">
        <v>25</v>
      </c>
    </row>
    <row r="540" spans="1:11" x14ac:dyDescent="0.2">
      <c r="A540" t="s">
        <v>2065</v>
      </c>
      <c r="B540" t="s">
        <v>2066</v>
      </c>
      <c r="C540" t="s">
        <v>2067</v>
      </c>
      <c r="D540" t="s">
        <v>2068</v>
      </c>
      <c r="E540" t="s">
        <v>2069</v>
      </c>
      <c r="F540" s="2">
        <v>52644915</v>
      </c>
      <c r="G540" s="2">
        <v>13288335</v>
      </c>
      <c r="H540" t="s">
        <v>24</v>
      </c>
      <c r="I540" t="s">
        <v>17</v>
      </c>
      <c r="J540" t="s">
        <v>25</v>
      </c>
    </row>
    <row r="541" spans="1:11" x14ac:dyDescent="0.2">
      <c r="A541" t="s">
        <v>2070</v>
      </c>
      <c r="B541" t="s">
        <v>2071</v>
      </c>
      <c r="C541" t="s">
        <v>2072</v>
      </c>
      <c r="E541" t="s">
        <v>2073</v>
      </c>
      <c r="F541" s="2">
        <v>523865159</v>
      </c>
      <c r="G541" s="2">
        <v>133989981</v>
      </c>
      <c r="H541" t="s">
        <v>277</v>
      </c>
      <c r="I541" t="s">
        <v>17</v>
      </c>
      <c r="J541" t="s">
        <v>25</v>
      </c>
      <c r="K541" t="s">
        <v>2074</v>
      </c>
    </row>
    <row r="542" spans="1:11" x14ac:dyDescent="0.2">
      <c r="A542" t="s">
        <v>2075</v>
      </c>
      <c r="B542" t="s">
        <v>2076</v>
      </c>
      <c r="C542" t="s">
        <v>2077</v>
      </c>
      <c r="D542" t="s">
        <v>2078</v>
      </c>
      <c r="E542" t="s">
        <v>2079</v>
      </c>
      <c r="F542" s="2">
        <v>52531089</v>
      </c>
      <c r="G542" s="2">
        <v>133302443</v>
      </c>
      <c r="H542" t="s">
        <v>24</v>
      </c>
      <c r="I542" t="s">
        <v>17</v>
      </c>
      <c r="J542" t="s">
        <v>25</v>
      </c>
    </row>
    <row r="543" spans="1:11" x14ac:dyDescent="0.2">
      <c r="A543" t="s">
        <v>2080</v>
      </c>
      <c r="B543" t="s">
        <v>2081</v>
      </c>
      <c r="F543" s="2">
        <v>523865177</v>
      </c>
      <c r="G543" s="2">
        <v>134068113</v>
      </c>
      <c r="H543" t="s">
        <v>28</v>
      </c>
      <c r="I543" t="s">
        <v>17</v>
      </c>
      <c r="J543" t="s">
        <v>25</v>
      </c>
    </row>
    <row r="544" spans="1:11" x14ac:dyDescent="0.2">
      <c r="A544" t="s">
        <v>2082</v>
      </c>
      <c r="B544" t="s">
        <v>2083</v>
      </c>
      <c r="E544" t="s">
        <v>2084</v>
      </c>
      <c r="F544" s="2">
        <v>525486217</v>
      </c>
      <c r="G544" s="2">
        <v>134502058</v>
      </c>
      <c r="H544" t="s">
        <v>34</v>
      </c>
      <c r="I544" t="s">
        <v>17</v>
      </c>
      <c r="J544" t="s">
        <v>25</v>
      </c>
    </row>
    <row r="545" spans="1:11" x14ac:dyDescent="0.2">
      <c r="A545" t="s">
        <v>2085</v>
      </c>
      <c r="B545" t="s">
        <v>2086</v>
      </c>
      <c r="C545" t="s">
        <v>2087</v>
      </c>
      <c r="D545" t="s">
        <v>2088</v>
      </c>
      <c r="E545" t="s">
        <v>2089</v>
      </c>
      <c r="F545" s="2">
        <v>52548325</v>
      </c>
      <c r="G545" s="2">
        <v>13453148</v>
      </c>
      <c r="H545" t="s">
        <v>16</v>
      </c>
      <c r="I545" t="s">
        <v>17</v>
      </c>
      <c r="J545" t="s">
        <v>25</v>
      </c>
    </row>
    <row r="546" spans="1:11" x14ac:dyDescent="0.2">
      <c r="A546" t="s">
        <v>2090</v>
      </c>
      <c r="B546" t="s">
        <v>2091</v>
      </c>
      <c r="C546" t="s">
        <v>2092</v>
      </c>
      <c r="D546" t="s">
        <v>2093</v>
      </c>
      <c r="E546" t="s">
        <v>2094</v>
      </c>
      <c r="F546" s="2">
        <v>52464445</v>
      </c>
      <c r="G546" s="2">
        <v>13297545</v>
      </c>
      <c r="H546" t="s">
        <v>24</v>
      </c>
      <c r="I546" t="s">
        <v>17</v>
      </c>
      <c r="J546" t="s">
        <v>25</v>
      </c>
    </row>
    <row r="547" spans="1:11" x14ac:dyDescent="0.2">
      <c r="A547" t="s">
        <v>2095</v>
      </c>
      <c r="B547" t="s">
        <v>2096</v>
      </c>
      <c r="D547" t="s">
        <v>2097</v>
      </c>
      <c r="E547">
        <v>493043735808</v>
      </c>
      <c r="F547" s="2">
        <v>525418365</v>
      </c>
      <c r="G547" s="2">
        <v>134152106</v>
      </c>
      <c r="H547" t="s">
        <v>1107</v>
      </c>
      <c r="I547" t="s">
        <v>17</v>
      </c>
      <c r="J547" t="s">
        <v>25</v>
      </c>
    </row>
    <row r="548" spans="1:11" x14ac:dyDescent="0.2">
      <c r="A548" t="s">
        <v>2098</v>
      </c>
      <c r="B548" t="s">
        <v>2099</v>
      </c>
      <c r="C548" t="s">
        <v>2100</v>
      </c>
      <c r="E548" t="s">
        <v>2101</v>
      </c>
      <c r="F548" s="2">
        <v>525165146</v>
      </c>
      <c r="G548" s="2">
        <v>134053974</v>
      </c>
      <c r="H548" t="s">
        <v>38</v>
      </c>
      <c r="I548" t="s">
        <v>17</v>
      </c>
      <c r="J548" t="s">
        <v>25</v>
      </c>
    </row>
    <row r="549" spans="1:11" x14ac:dyDescent="0.2">
      <c r="A549" t="s">
        <v>2102</v>
      </c>
      <c r="B549" t="s">
        <v>2103</v>
      </c>
      <c r="C549" t="s">
        <v>2104</v>
      </c>
      <c r="D549" t="s">
        <v>2105</v>
      </c>
      <c r="E549" t="s">
        <v>2106</v>
      </c>
      <c r="F549" s="2">
        <v>525232744</v>
      </c>
      <c r="G549" s="2">
        <v>134046561</v>
      </c>
      <c r="H549" t="s">
        <v>51</v>
      </c>
      <c r="I549" t="s">
        <v>17</v>
      </c>
      <c r="J549" t="s">
        <v>25</v>
      </c>
      <c r="K549" t="s">
        <v>2107</v>
      </c>
    </row>
    <row r="550" spans="1:11" x14ac:dyDescent="0.2">
      <c r="A550" t="s">
        <v>2108</v>
      </c>
      <c r="B550" t="s">
        <v>2109</v>
      </c>
      <c r="C550" t="s">
        <v>2110</v>
      </c>
      <c r="D550" t="s">
        <v>2111</v>
      </c>
      <c r="F550" s="2">
        <v>525036236</v>
      </c>
      <c r="G550" s="2">
        <v>132908967</v>
      </c>
      <c r="H550" t="s">
        <v>24</v>
      </c>
      <c r="I550" t="s">
        <v>17</v>
      </c>
      <c r="J550" t="s">
        <v>25</v>
      </c>
    </row>
    <row r="551" spans="1:11" x14ac:dyDescent="0.2">
      <c r="A551" t="s">
        <v>2112</v>
      </c>
      <c r="B551" t="s">
        <v>2113</v>
      </c>
      <c r="C551" t="s">
        <v>2114</v>
      </c>
      <c r="D551" t="s">
        <v>2115</v>
      </c>
      <c r="E551" t="s">
        <v>2116</v>
      </c>
      <c r="F551" s="2">
        <v>525340265</v>
      </c>
      <c r="G551" s="2">
        <v>134043077</v>
      </c>
      <c r="H551" t="s">
        <v>24</v>
      </c>
      <c r="I551" t="s">
        <v>17</v>
      </c>
      <c r="J551" t="s">
        <v>25</v>
      </c>
    </row>
    <row r="552" spans="1:11" x14ac:dyDescent="0.2">
      <c r="A552" t="s">
        <v>2117</v>
      </c>
      <c r="B552" t="s">
        <v>2118</v>
      </c>
      <c r="C552" t="s">
        <v>2119</v>
      </c>
      <c r="D552" t="s">
        <v>2120</v>
      </c>
      <c r="E552" t="s">
        <v>2121</v>
      </c>
      <c r="F552" s="2">
        <v>525237519</v>
      </c>
      <c r="G552" s="2">
        <v>133994449</v>
      </c>
      <c r="H552" t="s">
        <v>51</v>
      </c>
      <c r="I552" t="s">
        <v>17</v>
      </c>
      <c r="J552" t="s">
        <v>25</v>
      </c>
      <c r="K552" t="s">
        <v>2122</v>
      </c>
    </row>
    <row r="553" spans="1:11" x14ac:dyDescent="0.2">
      <c r="A553" t="s">
        <v>2123</v>
      </c>
      <c r="B553" t="s">
        <v>2124</v>
      </c>
      <c r="C553" t="s">
        <v>2125</v>
      </c>
      <c r="D553" t="s">
        <v>2126</v>
      </c>
      <c r="E553">
        <v>493090254247</v>
      </c>
      <c r="F553" s="2">
        <v>524986614</v>
      </c>
      <c r="G553" s="2">
        <v>133768929</v>
      </c>
      <c r="H553" t="s">
        <v>24</v>
      </c>
      <c r="I553" t="s">
        <v>17</v>
      </c>
      <c r="J553" t="s">
        <v>25</v>
      </c>
    </row>
    <row r="554" spans="1:11" x14ac:dyDescent="0.2">
      <c r="A554" t="s">
        <v>2127</v>
      </c>
      <c r="B554" t="s">
        <v>2128</v>
      </c>
      <c r="C554" t="s">
        <v>2129</v>
      </c>
      <c r="E554" t="s">
        <v>2130</v>
      </c>
      <c r="F554" s="2">
        <v>524304432</v>
      </c>
      <c r="G554" s="2">
        <v>133344393</v>
      </c>
      <c r="H554" t="s">
        <v>38</v>
      </c>
      <c r="I554" t="s">
        <v>17</v>
      </c>
      <c r="J554" t="s">
        <v>25</v>
      </c>
    </row>
    <row r="555" spans="1:11" x14ac:dyDescent="0.2">
      <c r="A555" t="s">
        <v>2131</v>
      </c>
      <c r="B555" t="s">
        <v>2132</v>
      </c>
      <c r="C555" t="s">
        <v>2133</v>
      </c>
      <c r="E555" t="s">
        <v>2134</v>
      </c>
      <c r="F555" s="2">
        <v>52512349</v>
      </c>
      <c r="G555" s="2">
        <v>134169883</v>
      </c>
      <c r="H555" t="s">
        <v>38</v>
      </c>
      <c r="I555" t="s">
        <v>17</v>
      </c>
      <c r="J555" t="s">
        <v>25</v>
      </c>
    </row>
    <row r="556" spans="1:11" x14ac:dyDescent="0.2">
      <c r="A556" t="s">
        <v>2135</v>
      </c>
      <c r="B556" t="s">
        <v>2136</v>
      </c>
      <c r="C556" t="s">
        <v>2137</v>
      </c>
      <c r="F556" s="2">
        <v>525154806</v>
      </c>
      <c r="G556" s="2">
        <v>133264689</v>
      </c>
      <c r="H556" t="s">
        <v>255</v>
      </c>
      <c r="I556" t="s">
        <v>17</v>
      </c>
      <c r="J556" t="s">
        <v>25</v>
      </c>
    </row>
    <row r="557" spans="1:11" x14ac:dyDescent="0.2">
      <c r="A557" t="s">
        <v>2138</v>
      </c>
      <c r="B557" t="s">
        <v>2139</v>
      </c>
      <c r="C557" t="s">
        <v>2140</v>
      </c>
      <c r="D557" t="s">
        <v>2141</v>
      </c>
      <c r="E557" t="s">
        <v>2142</v>
      </c>
      <c r="F557" s="2">
        <v>52537076</v>
      </c>
      <c r="G557" s="2">
        <v>13403865</v>
      </c>
      <c r="H557" t="s">
        <v>24</v>
      </c>
      <c r="I557" t="s">
        <v>17</v>
      </c>
      <c r="J557" t="s">
        <v>25</v>
      </c>
    </row>
    <row r="558" spans="1:11" x14ac:dyDescent="0.2">
      <c r="A558" t="s">
        <v>2143</v>
      </c>
      <c r="F558" s="2">
        <v>525874767</v>
      </c>
      <c r="G558" s="2">
        <v>132846426</v>
      </c>
      <c r="H558" t="s">
        <v>28</v>
      </c>
      <c r="I558" t="s">
        <v>17</v>
      </c>
      <c r="J558" t="s">
        <v>25</v>
      </c>
    </row>
    <row r="559" spans="1:11" x14ac:dyDescent="0.2">
      <c r="A559" t="s">
        <v>2144</v>
      </c>
      <c r="B559" t="s">
        <v>2145</v>
      </c>
      <c r="C559" t="s">
        <v>2146</v>
      </c>
      <c r="D559" t="s">
        <v>2147</v>
      </c>
      <c r="E559" t="s">
        <v>2148</v>
      </c>
      <c r="F559" s="2">
        <v>523832019</v>
      </c>
      <c r="G559" s="2">
        <v>134132449</v>
      </c>
      <c r="H559" t="s">
        <v>24</v>
      </c>
      <c r="I559" t="s">
        <v>17</v>
      </c>
      <c r="J559" t="s">
        <v>25</v>
      </c>
    </row>
    <row r="560" spans="1:11" x14ac:dyDescent="0.2">
      <c r="A560" t="s">
        <v>2149</v>
      </c>
      <c r="B560" t="s">
        <v>2150</v>
      </c>
      <c r="C560" t="s">
        <v>2151</v>
      </c>
      <c r="E560" t="s">
        <v>2152</v>
      </c>
      <c r="F560" s="2">
        <v>524132235</v>
      </c>
      <c r="G560" s="2">
        <v>134015604</v>
      </c>
      <c r="H560" t="s">
        <v>38</v>
      </c>
      <c r="I560" t="s">
        <v>17</v>
      </c>
      <c r="J560" t="s">
        <v>25</v>
      </c>
    </row>
    <row r="561" spans="1:11" x14ac:dyDescent="0.2">
      <c r="A561" t="s">
        <v>2153</v>
      </c>
      <c r="B561" t="s">
        <v>1706</v>
      </c>
      <c r="E561" t="s">
        <v>2154</v>
      </c>
      <c r="F561" s="2">
        <v>52540654</v>
      </c>
      <c r="G561" s="2">
        <v>134054115</v>
      </c>
      <c r="H561" t="s">
        <v>34</v>
      </c>
      <c r="I561" t="s">
        <v>17</v>
      </c>
      <c r="J561" t="s">
        <v>25</v>
      </c>
    </row>
    <row r="562" spans="1:11" x14ac:dyDescent="0.2">
      <c r="A562" t="s">
        <v>2155</v>
      </c>
      <c r="B562" t="s">
        <v>2156</v>
      </c>
      <c r="C562" t="s">
        <v>2157</v>
      </c>
      <c r="D562" t="s">
        <v>2158</v>
      </c>
      <c r="E562" t="s">
        <v>2159</v>
      </c>
      <c r="F562" s="2">
        <v>525029596</v>
      </c>
      <c r="G562" s="2">
        <v>133004667</v>
      </c>
      <c r="H562" t="s">
        <v>24</v>
      </c>
      <c r="I562" t="s">
        <v>17</v>
      </c>
      <c r="J562" t="s">
        <v>25</v>
      </c>
    </row>
    <row r="563" spans="1:11" x14ac:dyDescent="0.2">
      <c r="A563" t="s">
        <v>2160</v>
      </c>
      <c r="B563" t="s">
        <v>2161</v>
      </c>
      <c r="C563" t="s">
        <v>2162</v>
      </c>
      <c r="E563" t="s">
        <v>2163</v>
      </c>
      <c r="F563" s="2">
        <v>525008821</v>
      </c>
      <c r="G563" s="2">
        <v>133081041</v>
      </c>
      <c r="H563" t="s">
        <v>277</v>
      </c>
      <c r="I563" t="s">
        <v>17</v>
      </c>
      <c r="J563" t="s">
        <v>25</v>
      </c>
      <c r="K563" t="s">
        <v>2164</v>
      </c>
    </row>
    <row r="564" spans="1:11" x14ac:dyDescent="0.2">
      <c r="A564" t="s">
        <v>2165</v>
      </c>
      <c r="F564" s="2">
        <v>52527846</v>
      </c>
      <c r="G564" s="2">
        <v>134034219</v>
      </c>
      <c r="H564" t="s">
        <v>28</v>
      </c>
      <c r="I564" t="s">
        <v>17</v>
      </c>
      <c r="J564" t="s">
        <v>25</v>
      </c>
    </row>
    <row r="565" spans="1:11" x14ac:dyDescent="0.2">
      <c r="A565" t="s">
        <v>2166</v>
      </c>
      <c r="B565" t="s">
        <v>2167</v>
      </c>
      <c r="F565" s="2">
        <v>524812898</v>
      </c>
      <c r="G565" s="2">
        <v>133504323</v>
      </c>
      <c r="H565" t="s">
        <v>28</v>
      </c>
      <c r="I565" t="s">
        <v>17</v>
      </c>
      <c r="J565" t="s">
        <v>25</v>
      </c>
    </row>
    <row r="566" spans="1:11" x14ac:dyDescent="0.2">
      <c r="A566" t="s">
        <v>2168</v>
      </c>
      <c r="B566" t="s">
        <v>2169</v>
      </c>
      <c r="F566" s="2">
        <v>525248784</v>
      </c>
      <c r="G566" s="2">
        <v>134661687</v>
      </c>
      <c r="H566" t="s">
        <v>28</v>
      </c>
      <c r="I566" t="s">
        <v>17</v>
      </c>
      <c r="J566" t="s">
        <v>25</v>
      </c>
    </row>
    <row r="567" spans="1:11" x14ac:dyDescent="0.2">
      <c r="A567" t="s">
        <v>2170</v>
      </c>
      <c r="B567" t="s">
        <v>2171</v>
      </c>
      <c r="C567" t="s">
        <v>2172</v>
      </c>
      <c r="D567" t="s">
        <v>2173</v>
      </c>
      <c r="E567" t="s">
        <v>2174</v>
      </c>
      <c r="F567" s="2">
        <v>525325483</v>
      </c>
      <c r="G567" s="2">
        <v>133411312</v>
      </c>
      <c r="H567" t="s">
        <v>24</v>
      </c>
      <c r="I567" t="s">
        <v>17</v>
      </c>
      <c r="J567" t="s">
        <v>25</v>
      </c>
    </row>
    <row r="568" spans="1:11" x14ac:dyDescent="0.2">
      <c r="A568" t="s">
        <v>2175</v>
      </c>
      <c r="F568" s="2">
        <v>524992028</v>
      </c>
      <c r="G568" s="2">
        <v>134432328</v>
      </c>
      <c r="H568" t="s">
        <v>28</v>
      </c>
      <c r="I568" t="s">
        <v>17</v>
      </c>
      <c r="J568" t="s">
        <v>25</v>
      </c>
    </row>
    <row r="569" spans="1:11" x14ac:dyDescent="0.2">
      <c r="A569" t="s">
        <v>2176</v>
      </c>
      <c r="B569" t="s">
        <v>2177</v>
      </c>
      <c r="C569" t="s">
        <v>2178</v>
      </c>
      <c r="E569" t="s">
        <v>2179</v>
      </c>
      <c r="F569" s="2">
        <v>525344686</v>
      </c>
      <c r="G569" s="2">
        <v>134058044</v>
      </c>
      <c r="H569" t="s">
        <v>38</v>
      </c>
      <c r="I569" t="s">
        <v>17</v>
      </c>
      <c r="J569" t="s">
        <v>25</v>
      </c>
    </row>
    <row r="570" spans="1:11" x14ac:dyDescent="0.2">
      <c r="A570" t="s">
        <v>2180</v>
      </c>
      <c r="B570" t="s">
        <v>2181</v>
      </c>
      <c r="C570" t="s">
        <v>2182</v>
      </c>
      <c r="D570" t="s">
        <v>2183</v>
      </c>
      <c r="E570" t="s">
        <v>2184</v>
      </c>
      <c r="F570" s="2">
        <v>525239323</v>
      </c>
      <c r="G570" s="2">
        <v>134024078</v>
      </c>
      <c r="H570" t="s">
        <v>24</v>
      </c>
      <c r="I570" t="s">
        <v>17</v>
      </c>
      <c r="J570" t="s">
        <v>25</v>
      </c>
    </row>
    <row r="571" spans="1:11" x14ac:dyDescent="0.2">
      <c r="A571" t="s">
        <v>2185</v>
      </c>
      <c r="B571" t="s">
        <v>2181</v>
      </c>
      <c r="C571" t="s">
        <v>2186</v>
      </c>
      <c r="D571" t="s">
        <v>2187</v>
      </c>
      <c r="E571" t="s">
        <v>2188</v>
      </c>
      <c r="F571" s="2">
        <v>525241587</v>
      </c>
      <c r="G571" s="2">
        <v>134018084</v>
      </c>
      <c r="H571" t="s">
        <v>24</v>
      </c>
      <c r="I571" t="s">
        <v>17</v>
      </c>
      <c r="J571" t="s">
        <v>25</v>
      </c>
    </row>
    <row r="572" spans="1:11" x14ac:dyDescent="0.2">
      <c r="A572" t="s">
        <v>2189</v>
      </c>
      <c r="B572" t="s">
        <v>2190</v>
      </c>
      <c r="C572" t="s">
        <v>2191</v>
      </c>
      <c r="D572" t="s">
        <v>2192</v>
      </c>
      <c r="F572" s="2">
        <v>525002465</v>
      </c>
      <c r="G572" s="2">
        <v>133037248</v>
      </c>
      <c r="H572" t="s">
        <v>38</v>
      </c>
      <c r="I572" t="s">
        <v>17</v>
      </c>
      <c r="J572" t="s">
        <v>25</v>
      </c>
    </row>
    <row r="573" spans="1:11" x14ac:dyDescent="0.2">
      <c r="A573" t="s">
        <v>2193</v>
      </c>
      <c r="B573" t="s">
        <v>2194</v>
      </c>
      <c r="C573" t="s">
        <v>2195</v>
      </c>
      <c r="D573" t="s">
        <v>2196</v>
      </c>
      <c r="E573">
        <v>491773710109</v>
      </c>
      <c r="F573" s="2">
        <v>525002555</v>
      </c>
      <c r="G573" s="2">
        <v>133041573</v>
      </c>
      <c r="H573" t="s">
        <v>24</v>
      </c>
      <c r="I573" t="s">
        <v>17</v>
      </c>
      <c r="J573" t="s">
        <v>25</v>
      </c>
    </row>
    <row r="574" spans="1:11" x14ac:dyDescent="0.2">
      <c r="A574" t="s">
        <v>2197</v>
      </c>
      <c r="B574" t="s">
        <v>2198</v>
      </c>
      <c r="E574">
        <v>49303926111</v>
      </c>
      <c r="F574" s="2">
        <v>525270987</v>
      </c>
      <c r="G574" s="2">
        <v>133298283</v>
      </c>
      <c r="H574" t="s">
        <v>34</v>
      </c>
      <c r="I574" t="s">
        <v>17</v>
      </c>
      <c r="J574" t="s">
        <v>25</v>
      </c>
    </row>
    <row r="575" spans="1:11" x14ac:dyDescent="0.2">
      <c r="A575" t="s">
        <v>2199</v>
      </c>
      <c r="B575" t="s">
        <v>2200</v>
      </c>
      <c r="C575" t="s">
        <v>2201</v>
      </c>
      <c r="D575" t="s">
        <v>2202</v>
      </c>
      <c r="E575" t="s">
        <v>2203</v>
      </c>
      <c r="F575" s="2">
        <v>525297728</v>
      </c>
      <c r="G575" s="2">
        <v>133284012</v>
      </c>
      <c r="H575" t="s">
        <v>16</v>
      </c>
      <c r="I575" t="s">
        <v>17</v>
      </c>
      <c r="J575" t="s">
        <v>25</v>
      </c>
    </row>
    <row r="576" spans="1:11" x14ac:dyDescent="0.2">
      <c r="A576" t="s">
        <v>2204</v>
      </c>
      <c r="B576" t="s">
        <v>2205</v>
      </c>
      <c r="C576" t="s">
        <v>2206</v>
      </c>
      <c r="D576" t="s">
        <v>2207</v>
      </c>
      <c r="E576" t="s">
        <v>2208</v>
      </c>
      <c r="F576" s="2">
        <v>52532547</v>
      </c>
      <c r="G576" s="2">
        <v>134349985</v>
      </c>
      <c r="H576" t="s">
        <v>24</v>
      </c>
      <c r="I576" t="s">
        <v>17</v>
      </c>
      <c r="J576" t="s">
        <v>25</v>
      </c>
    </row>
    <row r="577" spans="1:11" x14ac:dyDescent="0.2">
      <c r="A577" t="s">
        <v>2209</v>
      </c>
      <c r="B577" t="s">
        <v>2210</v>
      </c>
      <c r="C577" t="s">
        <v>2211</v>
      </c>
      <c r="F577" s="2">
        <v>525280441</v>
      </c>
      <c r="G577" s="2">
        <v>133289036</v>
      </c>
      <c r="H577" t="s">
        <v>255</v>
      </c>
      <c r="I577" t="s">
        <v>17</v>
      </c>
      <c r="J577" t="s">
        <v>25</v>
      </c>
    </row>
    <row r="578" spans="1:11" x14ac:dyDescent="0.2">
      <c r="A578" t="s">
        <v>2212</v>
      </c>
      <c r="B578" t="s">
        <v>2213</v>
      </c>
      <c r="C578" t="s">
        <v>2214</v>
      </c>
      <c r="D578" t="s">
        <v>2215</v>
      </c>
      <c r="E578" t="s">
        <v>2216</v>
      </c>
      <c r="F578" s="2">
        <v>525151433</v>
      </c>
      <c r="G578" s="2">
        <v>133368703</v>
      </c>
      <c r="H578" t="s">
        <v>24</v>
      </c>
      <c r="I578" t="s">
        <v>17</v>
      </c>
      <c r="J578" t="s">
        <v>25</v>
      </c>
    </row>
    <row r="579" spans="1:11" x14ac:dyDescent="0.2">
      <c r="A579" t="s">
        <v>2217</v>
      </c>
      <c r="B579" t="s">
        <v>2218</v>
      </c>
      <c r="C579" t="s">
        <v>2219</v>
      </c>
      <c r="D579" t="s">
        <v>2220</v>
      </c>
      <c r="E579" t="s">
        <v>2221</v>
      </c>
      <c r="F579" s="2">
        <v>525142926</v>
      </c>
      <c r="G579" s="2">
        <v>133933731</v>
      </c>
      <c r="H579" t="s">
        <v>51</v>
      </c>
      <c r="I579" t="s">
        <v>17</v>
      </c>
      <c r="J579" t="s">
        <v>25</v>
      </c>
      <c r="K579" t="s">
        <v>2222</v>
      </c>
    </row>
    <row r="580" spans="1:11" x14ac:dyDescent="0.2">
      <c r="A580" t="s">
        <v>2223</v>
      </c>
      <c r="B580" t="s">
        <v>2224</v>
      </c>
      <c r="C580" t="s">
        <v>2225</v>
      </c>
      <c r="E580" t="s">
        <v>2226</v>
      </c>
      <c r="F580" s="2">
        <v>5251271</v>
      </c>
      <c r="G580" s="2">
        <v>13397045</v>
      </c>
      <c r="H580" t="s">
        <v>277</v>
      </c>
      <c r="I580" t="s">
        <v>17</v>
      </c>
      <c r="J580" t="s">
        <v>25</v>
      </c>
      <c r="K580" t="s">
        <v>2227</v>
      </c>
    </row>
    <row r="581" spans="1:11" x14ac:dyDescent="0.2">
      <c r="A581" t="s">
        <v>2228</v>
      </c>
      <c r="F581" s="2">
        <v>525275781</v>
      </c>
      <c r="G581" s="2">
        <v>133303562</v>
      </c>
      <c r="H581" t="s">
        <v>28</v>
      </c>
      <c r="I581" t="s">
        <v>17</v>
      </c>
      <c r="J581" t="s">
        <v>25</v>
      </c>
    </row>
    <row r="582" spans="1:11" x14ac:dyDescent="0.2">
      <c r="A582" t="s">
        <v>2229</v>
      </c>
      <c r="B582" t="s">
        <v>2230</v>
      </c>
      <c r="F582" s="2">
        <v>525240323</v>
      </c>
      <c r="G582" s="2">
        <v>133300961</v>
      </c>
      <c r="H582" t="s">
        <v>28</v>
      </c>
      <c r="I582" t="s">
        <v>17</v>
      </c>
      <c r="J582" t="s">
        <v>25</v>
      </c>
    </row>
    <row r="583" spans="1:11" x14ac:dyDescent="0.2">
      <c r="A583" t="s">
        <v>2231</v>
      </c>
      <c r="B583" t="s">
        <v>2232</v>
      </c>
      <c r="F583" s="2">
        <v>524838577</v>
      </c>
      <c r="G583" s="2">
        <v>134362034</v>
      </c>
      <c r="H583" t="s">
        <v>28</v>
      </c>
      <c r="I583" t="s">
        <v>17</v>
      </c>
      <c r="J583" t="s">
        <v>25</v>
      </c>
    </row>
    <row r="584" spans="1:11" x14ac:dyDescent="0.2">
      <c r="A584" t="s">
        <v>2233</v>
      </c>
      <c r="B584" t="s">
        <v>2234</v>
      </c>
      <c r="C584" t="s">
        <v>2235</v>
      </c>
      <c r="E584" t="s">
        <v>2236</v>
      </c>
      <c r="F584" s="2">
        <v>524813229</v>
      </c>
      <c r="G584" s="2">
        <v>134390359</v>
      </c>
      <c r="H584" t="s">
        <v>38</v>
      </c>
      <c r="I584" t="s">
        <v>17</v>
      </c>
      <c r="J584" t="s">
        <v>25</v>
      </c>
    </row>
    <row r="585" spans="1:11" x14ac:dyDescent="0.2">
      <c r="A585" t="s">
        <v>2237</v>
      </c>
      <c r="B585" t="s">
        <v>2238</v>
      </c>
      <c r="C585" t="s">
        <v>2239</v>
      </c>
      <c r="E585">
        <v>493039105141</v>
      </c>
      <c r="F585" s="2">
        <v>525244858</v>
      </c>
      <c r="G585" s="2">
        <v>133301178</v>
      </c>
      <c r="H585" t="s">
        <v>38</v>
      </c>
      <c r="I585" t="s">
        <v>17</v>
      </c>
      <c r="J585" t="s">
        <v>25</v>
      </c>
    </row>
    <row r="586" spans="1:11" x14ac:dyDescent="0.2">
      <c r="A586" t="s">
        <v>2240</v>
      </c>
      <c r="B586" t="s">
        <v>2241</v>
      </c>
      <c r="C586" t="s">
        <v>2242</v>
      </c>
      <c r="E586" t="s">
        <v>2243</v>
      </c>
      <c r="F586" s="2">
        <v>524376592</v>
      </c>
      <c r="G586" s="2">
        <v>134459295</v>
      </c>
      <c r="H586" t="s">
        <v>38</v>
      </c>
      <c r="I586" t="s">
        <v>17</v>
      </c>
      <c r="J586" t="s">
        <v>25</v>
      </c>
    </row>
    <row r="587" spans="1:11" x14ac:dyDescent="0.2">
      <c r="A587" t="s">
        <v>2244</v>
      </c>
      <c r="B587" t="s">
        <v>2245</v>
      </c>
      <c r="C587" t="s">
        <v>2246</v>
      </c>
      <c r="D587" t="s">
        <v>2247</v>
      </c>
      <c r="E587" t="s">
        <v>2248</v>
      </c>
      <c r="F587" s="2">
        <v>525521402</v>
      </c>
      <c r="G587" s="2">
        <v>134081237</v>
      </c>
      <c r="H587" t="s">
        <v>24</v>
      </c>
      <c r="I587" t="s">
        <v>17</v>
      </c>
      <c r="J587" t="s">
        <v>25</v>
      </c>
    </row>
    <row r="588" spans="1:11" x14ac:dyDescent="0.2">
      <c r="A588" t="s">
        <v>2249</v>
      </c>
      <c r="C588" t="s">
        <v>2250</v>
      </c>
      <c r="E588" t="s">
        <v>2251</v>
      </c>
      <c r="F588" s="2">
        <v>525199871</v>
      </c>
      <c r="G588" s="2">
        <v>133890697</v>
      </c>
      <c r="H588" t="s">
        <v>277</v>
      </c>
      <c r="I588" t="s">
        <v>17</v>
      </c>
      <c r="J588" t="s">
        <v>25</v>
      </c>
      <c r="K588" t="s">
        <v>2252</v>
      </c>
    </row>
    <row r="589" spans="1:11" x14ac:dyDescent="0.2">
      <c r="A589" t="s">
        <v>2253</v>
      </c>
      <c r="C589" t="s">
        <v>2254</v>
      </c>
      <c r="F589" s="2">
        <v>524899696</v>
      </c>
      <c r="G589" s="2">
        <v>134565921</v>
      </c>
      <c r="H589" t="s">
        <v>38</v>
      </c>
      <c r="I589" t="s">
        <v>17</v>
      </c>
      <c r="J589" t="s">
        <v>25</v>
      </c>
    </row>
    <row r="590" spans="1:11" x14ac:dyDescent="0.2">
      <c r="A590" t="s">
        <v>2255</v>
      </c>
      <c r="B590" t="s">
        <v>2256</v>
      </c>
      <c r="C590" t="s">
        <v>2257</v>
      </c>
      <c r="D590" t="s">
        <v>2258</v>
      </c>
      <c r="E590" t="s">
        <v>2259</v>
      </c>
      <c r="F590" s="2">
        <v>525237305</v>
      </c>
      <c r="G590" s="2">
        <v>13387434</v>
      </c>
      <c r="H590" t="s">
        <v>24</v>
      </c>
      <c r="I590" t="s">
        <v>17</v>
      </c>
      <c r="J590" t="s">
        <v>25</v>
      </c>
    </row>
    <row r="591" spans="1:11" x14ac:dyDescent="0.2">
      <c r="A591" t="s">
        <v>2260</v>
      </c>
      <c r="F591" s="2">
        <v>525230186</v>
      </c>
      <c r="G591" s="2">
        <v>133884841</v>
      </c>
      <c r="H591" t="s">
        <v>28</v>
      </c>
      <c r="I591" t="s">
        <v>17</v>
      </c>
      <c r="J591" t="s">
        <v>25</v>
      </c>
    </row>
    <row r="592" spans="1:11" x14ac:dyDescent="0.2">
      <c r="A592" t="s">
        <v>2261</v>
      </c>
      <c r="B592" t="s">
        <v>2262</v>
      </c>
      <c r="E592" t="s">
        <v>2263</v>
      </c>
      <c r="F592" s="2">
        <v>525301515</v>
      </c>
      <c r="G592" s="2">
        <v>134544483</v>
      </c>
      <c r="H592" t="s">
        <v>34</v>
      </c>
      <c r="I592" t="s">
        <v>17</v>
      </c>
      <c r="J592" t="s">
        <v>25</v>
      </c>
    </row>
    <row r="593" spans="1:11" x14ac:dyDescent="0.2">
      <c r="A593" t="s">
        <v>2264</v>
      </c>
      <c r="B593" t="s">
        <v>2265</v>
      </c>
      <c r="C593" t="s">
        <v>2266</v>
      </c>
      <c r="D593" t="s">
        <v>2267</v>
      </c>
      <c r="E593" t="s">
        <v>2268</v>
      </c>
      <c r="F593" s="2">
        <v>524872958</v>
      </c>
      <c r="G593" s="2">
        <v>134220776</v>
      </c>
      <c r="H593" t="s">
        <v>24</v>
      </c>
      <c r="I593" t="s">
        <v>17</v>
      </c>
      <c r="J593" t="s">
        <v>25</v>
      </c>
    </row>
    <row r="594" spans="1:11" x14ac:dyDescent="0.2">
      <c r="A594" t="s">
        <v>2269</v>
      </c>
      <c r="B594" t="s">
        <v>2270</v>
      </c>
      <c r="F594" s="2">
        <v>525499124</v>
      </c>
      <c r="G594" s="2">
        <v>133863271</v>
      </c>
      <c r="H594" t="s">
        <v>28</v>
      </c>
      <c r="I594" t="s">
        <v>17</v>
      </c>
      <c r="J594" t="s">
        <v>25</v>
      </c>
    </row>
    <row r="595" spans="1:11" x14ac:dyDescent="0.2">
      <c r="A595" t="s">
        <v>2271</v>
      </c>
      <c r="B595" t="s">
        <v>2272</v>
      </c>
      <c r="C595" t="s">
        <v>2273</v>
      </c>
      <c r="D595" t="s">
        <v>2274</v>
      </c>
      <c r="F595" s="2">
        <v>525503285</v>
      </c>
      <c r="G595" s="2">
        <v>133880436</v>
      </c>
      <c r="H595" t="s">
        <v>24</v>
      </c>
      <c r="I595" t="s">
        <v>17</v>
      </c>
      <c r="J595" t="s">
        <v>25</v>
      </c>
    </row>
    <row r="596" spans="1:11" x14ac:dyDescent="0.2">
      <c r="A596" t="s">
        <v>2275</v>
      </c>
      <c r="B596" t="s">
        <v>2276</v>
      </c>
      <c r="C596" t="s">
        <v>2277</v>
      </c>
      <c r="D596" t="s">
        <v>2278</v>
      </c>
      <c r="E596" t="s">
        <v>2279</v>
      </c>
      <c r="F596" s="2">
        <v>525087225</v>
      </c>
      <c r="G596" s="2">
        <v>132681911</v>
      </c>
      <c r="H596" t="s">
        <v>51</v>
      </c>
      <c r="I596" t="s">
        <v>17</v>
      </c>
      <c r="J596" t="s">
        <v>25</v>
      </c>
      <c r="K596" t="s">
        <v>2280</v>
      </c>
    </row>
    <row r="597" spans="1:11" x14ac:dyDescent="0.2">
      <c r="A597" t="s">
        <v>2281</v>
      </c>
      <c r="B597" t="s">
        <v>2282</v>
      </c>
      <c r="F597" s="2">
        <v>525090192</v>
      </c>
      <c r="G597" s="2">
        <v>133070477</v>
      </c>
      <c r="H597" t="s">
        <v>28</v>
      </c>
      <c r="I597" t="s">
        <v>17</v>
      </c>
      <c r="J597" t="s">
        <v>25</v>
      </c>
    </row>
    <row r="598" spans="1:11" x14ac:dyDescent="0.2">
      <c r="A598" t="s">
        <v>2283</v>
      </c>
      <c r="B598" t="s">
        <v>2284</v>
      </c>
      <c r="C598" t="s">
        <v>2285</v>
      </c>
      <c r="D598" t="s">
        <v>2286</v>
      </c>
      <c r="E598" t="s">
        <v>2287</v>
      </c>
      <c r="F598" s="2">
        <v>524920939</v>
      </c>
      <c r="G598" s="2">
        <v>133943849</v>
      </c>
      <c r="H598" t="s">
        <v>51</v>
      </c>
      <c r="I598" t="s">
        <v>17</v>
      </c>
      <c r="J598" t="s">
        <v>25</v>
      </c>
      <c r="K598" t="s">
        <v>2288</v>
      </c>
    </row>
    <row r="599" spans="1:11" x14ac:dyDescent="0.2">
      <c r="A599" t="s">
        <v>2289</v>
      </c>
      <c r="B599" t="s">
        <v>2290</v>
      </c>
      <c r="C599" t="s">
        <v>2291</v>
      </c>
      <c r="E599">
        <v>493096535043</v>
      </c>
      <c r="F599" s="2">
        <v>524775747</v>
      </c>
      <c r="G599" s="2">
        <v>134394756</v>
      </c>
      <c r="H599" t="s">
        <v>277</v>
      </c>
      <c r="I599" t="s">
        <v>17</v>
      </c>
      <c r="J599" t="s">
        <v>25</v>
      </c>
      <c r="K599" t="s">
        <v>2292</v>
      </c>
    </row>
    <row r="600" spans="1:11" x14ac:dyDescent="0.2">
      <c r="A600" t="s">
        <v>2293</v>
      </c>
      <c r="B600" t="s">
        <v>2294</v>
      </c>
      <c r="E600" t="s">
        <v>2295</v>
      </c>
      <c r="F600" s="2">
        <v>525101071</v>
      </c>
      <c r="G600" s="2">
        <v>135179305</v>
      </c>
      <c r="H600" t="s">
        <v>34</v>
      </c>
      <c r="I600" t="s">
        <v>17</v>
      </c>
      <c r="J600" t="s">
        <v>25</v>
      </c>
    </row>
    <row r="601" spans="1:11" x14ac:dyDescent="0.2">
      <c r="A601" t="s">
        <v>2296</v>
      </c>
      <c r="B601" t="s">
        <v>2297</v>
      </c>
      <c r="C601" t="s">
        <v>2298</v>
      </c>
      <c r="D601" t="s">
        <v>2299</v>
      </c>
      <c r="F601" s="2">
        <v>524769057</v>
      </c>
      <c r="G601" s="2">
        <v>132881436</v>
      </c>
      <c r="H601" t="s">
        <v>51</v>
      </c>
      <c r="I601" t="s">
        <v>17</v>
      </c>
      <c r="J601" t="s">
        <v>25</v>
      </c>
      <c r="K601" t="s">
        <v>2300</v>
      </c>
    </row>
    <row r="602" spans="1:11" x14ac:dyDescent="0.2">
      <c r="A602" t="s">
        <v>2301</v>
      </c>
      <c r="B602" t="s">
        <v>2302</v>
      </c>
      <c r="C602" t="s">
        <v>2303</v>
      </c>
      <c r="D602" t="s">
        <v>2304</v>
      </c>
      <c r="E602" t="s">
        <v>2305</v>
      </c>
      <c r="F602" s="2">
        <v>525498325</v>
      </c>
      <c r="G602" s="2">
        <v>133579235</v>
      </c>
      <c r="H602" t="s">
        <v>51</v>
      </c>
      <c r="I602" t="s">
        <v>17</v>
      </c>
      <c r="J602" t="s">
        <v>25</v>
      </c>
      <c r="K602" t="s">
        <v>2306</v>
      </c>
    </row>
    <row r="603" spans="1:11" x14ac:dyDescent="0.2">
      <c r="A603" t="s">
        <v>2307</v>
      </c>
      <c r="B603" t="s">
        <v>2308</v>
      </c>
      <c r="C603" t="s">
        <v>2309</v>
      </c>
      <c r="E603" t="s">
        <v>2310</v>
      </c>
      <c r="F603" s="2">
        <v>52498604</v>
      </c>
      <c r="G603" s="2">
        <v>133077232</v>
      </c>
      <c r="H603" t="s">
        <v>38</v>
      </c>
      <c r="I603" t="s">
        <v>17</v>
      </c>
      <c r="J603" t="s">
        <v>25</v>
      </c>
    </row>
    <row r="604" spans="1:11" x14ac:dyDescent="0.2">
      <c r="A604" t="s">
        <v>2311</v>
      </c>
      <c r="B604" t="s">
        <v>2312</v>
      </c>
      <c r="C604" t="s">
        <v>2313</v>
      </c>
      <c r="D604" t="s">
        <v>2314</v>
      </c>
      <c r="E604" t="s">
        <v>2315</v>
      </c>
      <c r="F604" s="2">
        <v>52534494</v>
      </c>
      <c r="G604" s="2">
        <v>134194321</v>
      </c>
      <c r="H604" t="s">
        <v>51</v>
      </c>
      <c r="I604" t="s">
        <v>17</v>
      </c>
      <c r="J604" t="s">
        <v>25</v>
      </c>
      <c r="K604" t="s">
        <v>2316</v>
      </c>
    </row>
    <row r="605" spans="1:11" x14ac:dyDescent="0.2">
      <c r="A605" t="s">
        <v>2317</v>
      </c>
      <c r="B605" t="s">
        <v>2318</v>
      </c>
      <c r="C605" t="s">
        <v>2319</v>
      </c>
      <c r="D605" t="s">
        <v>2320</v>
      </c>
      <c r="F605" s="2">
        <v>525072647</v>
      </c>
      <c r="G605" s="2">
        <v>134968096</v>
      </c>
      <c r="H605" t="s">
        <v>16</v>
      </c>
      <c r="I605" t="s">
        <v>17</v>
      </c>
      <c r="J605" t="s">
        <v>25</v>
      </c>
    </row>
    <row r="606" spans="1:11" x14ac:dyDescent="0.2">
      <c r="A606" t="s">
        <v>2321</v>
      </c>
      <c r="C606" t="s">
        <v>2322</v>
      </c>
      <c r="D606" t="s">
        <v>2323</v>
      </c>
      <c r="E606" t="s">
        <v>2324</v>
      </c>
      <c r="F606" s="2">
        <v>525080701</v>
      </c>
      <c r="G606" s="2">
        <v>134969018</v>
      </c>
      <c r="H606" t="s">
        <v>24</v>
      </c>
      <c r="I606" t="s">
        <v>17</v>
      </c>
      <c r="J606" t="s">
        <v>25</v>
      </c>
    </row>
    <row r="607" spans="1:11" x14ac:dyDescent="0.2">
      <c r="A607" t="s">
        <v>2325</v>
      </c>
      <c r="B607" t="s">
        <v>2326</v>
      </c>
      <c r="C607" t="s">
        <v>2327</v>
      </c>
      <c r="D607" t="s">
        <v>2328</v>
      </c>
      <c r="E607" t="s">
        <v>2329</v>
      </c>
      <c r="F607" s="2">
        <v>525027181</v>
      </c>
      <c r="G607" s="2">
        <v>133429638</v>
      </c>
      <c r="H607" t="s">
        <v>51</v>
      </c>
      <c r="I607" t="s">
        <v>17</v>
      </c>
      <c r="J607" t="s">
        <v>25</v>
      </c>
      <c r="K607" t="s">
        <v>2330</v>
      </c>
    </row>
    <row r="608" spans="1:11" x14ac:dyDescent="0.2">
      <c r="A608" t="s">
        <v>2331</v>
      </c>
      <c r="B608" t="s">
        <v>2332</v>
      </c>
      <c r="F608" s="2">
        <v>525026294</v>
      </c>
      <c r="G608" s="2">
        <v>133434652</v>
      </c>
      <c r="H608" t="s">
        <v>28</v>
      </c>
      <c r="I608" t="s">
        <v>17</v>
      </c>
      <c r="J608" t="s">
        <v>25</v>
      </c>
    </row>
    <row r="609" spans="1:11" x14ac:dyDescent="0.2">
      <c r="A609" t="s">
        <v>2333</v>
      </c>
      <c r="B609" t="s">
        <v>2334</v>
      </c>
      <c r="C609" t="s">
        <v>2335</v>
      </c>
      <c r="E609" t="s">
        <v>2336</v>
      </c>
      <c r="F609" s="2">
        <v>525010053</v>
      </c>
      <c r="G609" s="2">
        <v>134974915</v>
      </c>
      <c r="H609" t="s">
        <v>277</v>
      </c>
      <c r="I609" t="s">
        <v>17</v>
      </c>
      <c r="J609" t="s">
        <v>25</v>
      </c>
      <c r="K609" t="s">
        <v>2337</v>
      </c>
    </row>
    <row r="610" spans="1:11" x14ac:dyDescent="0.2">
      <c r="A610" t="s">
        <v>2338</v>
      </c>
      <c r="B610" t="s">
        <v>2339</v>
      </c>
      <c r="C610" t="s">
        <v>2340</v>
      </c>
      <c r="E610" t="s">
        <v>2341</v>
      </c>
      <c r="F610" s="2">
        <v>52506782</v>
      </c>
      <c r="G610" s="2">
        <v>133082109</v>
      </c>
      <c r="H610" t="s">
        <v>277</v>
      </c>
      <c r="I610" t="s">
        <v>17</v>
      </c>
      <c r="J610" t="s">
        <v>25</v>
      </c>
      <c r="K610" t="s">
        <v>2342</v>
      </c>
    </row>
    <row r="611" spans="1:11" x14ac:dyDescent="0.2">
      <c r="A611" t="s">
        <v>2343</v>
      </c>
      <c r="B611" t="s">
        <v>2344</v>
      </c>
      <c r="C611" t="s">
        <v>2345</v>
      </c>
      <c r="D611" t="s">
        <v>2346</v>
      </c>
      <c r="E611" t="s">
        <v>2347</v>
      </c>
      <c r="F611" s="2">
        <v>525095912</v>
      </c>
      <c r="G611" s="2">
        <v>133114358</v>
      </c>
      <c r="H611" t="s">
        <v>16</v>
      </c>
      <c r="I611" t="s">
        <v>17</v>
      </c>
      <c r="J611" t="s">
        <v>25</v>
      </c>
    </row>
    <row r="612" spans="1:11" x14ac:dyDescent="0.2">
      <c r="A612" t="s">
        <v>2348</v>
      </c>
      <c r="B612" t="s">
        <v>2349</v>
      </c>
      <c r="C612" t="s">
        <v>2350</v>
      </c>
      <c r="D612" t="s">
        <v>2351</v>
      </c>
      <c r="E612">
        <v>493023578292</v>
      </c>
      <c r="F612" s="2">
        <v>524899162</v>
      </c>
      <c r="G612" s="2">
        <v>133117635</v>
      </c>
      <c r="H612" t="s">
        <v>51</v>
      </c>
      <c r="I612" t="s">
        <v>17</v>
      </c>
      <c r="J612" t="s">
        <v>25</v>
      </c>
      <c r="K612" t="s">
        <v>2352</v>
      </c>
    </row>
    <row r="613" spans="1:11" x14ac:dyDescent="0.2">
      <c r="A613" t="s">
        <v>2353</v>
      </c>
      <c r="B613" t="s">
        <v>2354</v>
      </c>
      <c r="C613" t="s">
        <v>2355</v>
      </c>
      <c r="D613" t="s">
        <v>2356</v>
      </c>
      <c r="E613">
        <v>493076007018</v>
      </c>
      <c r="F613" s="2">
        <v>524594035</v>
      </c>
      <c r="G613" s="2">
        <v>133818805</v>
      </c>
      <c r="H613" t="s">
        <v>16</v>
      </c>
      <c r="I613" t="s">
        <v>17</v>
      </c>
      <c r="J613" t="s">
        <v>25</v>
      </c>
    </row>
    <row r="614" spans="1:11" x14ac:dyDescent="0.2">
      <c r="A614" t="s">
        <v>2357</v>
      </c>
      <c r="B614" t="s">
        <v>2358</v>
      </c>
      <c r="C614" t="s">
        <v>2359</v>
      </c>
      <c r="E614" t="s">
        <v>2360</v>
      </c>
      <c r="F614" s="2">
        <v>525348022</v>
      </c>
      <c r="G614" s="2">
        <v>134186564</v>
      </c>
      <c r="H614" t="s">
        <v>277</v>
      </c>
      <c r="I614" t="s">
        <v>17</v>
      </c>
      <c r="J614" t="s">
        <v>25</v>
      </c>
      <c r="K614" t="s">
        <v>2361</v>
      </c>
    </row>
    <row r="615" spans="1:11" x14ac:dyDescent="0.2">
      <c r="A615" t="s">
        <v>2362</v>
      </c>
      <c r="F615" s="2">
        <v>524233415</v>
      </c>
      <c r="G615" s="2">
        <v>134362432</v>
      </c>
      <c r="H615" t="s">
        <v>28</v>
      </c>
      <c r="I615" t="s">
        <v>17</v>
      </c>
      <c r="J615" t="s">
        <v>25</v>
      </c>
    </row>
    <row r="616" spans="1:11" x14ac:dyDescent="0.2">
      <c r="A616" t="s">
        <v>2363</v>
      </c>
      <c r="B616" t="s">
        <v>2364</v>
      </c>
      <c r="F616" s="2">
        <v>524428201</v>
      </c>
      <c r="G616" s="2">
        <v>132978258</v>
      </c>
      <c r="H616" t="s">
        <v>28</v>
      </c>
      <c r="I616" t="s">
        <v>17</v>
      </c>
      <c r="J616" t="s">
        <v>25</v>
      </c>
    </row>
    <row r="617" spans="1:11" x14ac:dyDescent="0.2">
      <c r="A617" t="s">
        <v>2365</v>
      </c>
      <c r="B617" t="s">
        <v>2366</v>
      </c>
      <c r="E617" t="s">
        <v>2367</v>
      </c>
      <c r="F617" s="2">
        <v>524480874</v>
      </c>
      <c r="G617" s="2">
        <v>134495784</v>
      </c>
      <c r="H617" t="s">
        <v>34</v>
      </c>
      <c r="I617" t="s">
        <v>17</v>
      </c>
      <c r="J617" t="s">
        <v>25</v>
      </c>
    </row>
    <row r="618" spans="1:11" x14ac:dyDescent="0.2">
      <c r="A618" t="s">
        <v>2368</v>
      </c>
      <c r="B618" t="s">
        <v>2369</v>
      </c>
      <c r="C618" t="s">
        <v>2370</v>
      </c>
      <c r="D618" t="s">
        <v>2371</v>
      </c>
      <c r="E618" t="s">
        <v>2372</v>
      </c>
      <c r="F618" s="2">
        <v>524347523</v>
      </c>
      <c r="G618" s="2">
        <v>135443123</v>
      </c>
      <c r="H618" t="s">
        <v>24</v>
      </c>
      <c r="I618" t="s">
        <v>17</v>
      </c>
      <c r="J618" t="s">
        <v>25</v>
      </c>
    </row>
    <row r="619" spans="1:11" x14ac:dyDescent="0.2">
      <c r="A619" t="s">
        <v>2373</v>
      </c>
      <c r="B619" t="s">
        <v>2374</v>
      </c>
      <c r="C619" t="s">
        <v>2375</v>
      </c>
      <c r="D619" t="s">
        <v>2376</v>
      </c>
      <c r="E619" t="s">
        <v>2377</v>
      </c>
      <c r="F619" s="2">
        <v>525165348</v>
      </c>
      <c r="G619" s="2">
        <v>134519521</v>
      </c>
      <c r="H619" t="s">
        <v>16</v>
      </c>
      <c r="I619" t="s">
        <v>17</v>
      </c>
      <c r="J619" t="s">
        <v>25</v>
      </c>
    </row>
    <row r="620" spans="1:11" x14ac:dyDescent="0.2">
      <c r="A620" t="s">
        <v>2378</v>
      </c>
      <c r="B620" t="s">
        <v>2379</v>
      </c>
      <c r="C620" t="s">
        <v>2380</v>
      </c>
      <c r="D620" t="s">
        <v>2381</v>
      </c>
      <c r="E620" t="s">
        <v>2382</v>
      </c>
      <c r="F620" s="2">
        <v>525004111</v>
      </c>
      <c r="G620" s="2">
        <v>1343176</v>
      </c>
      <c r="H620" t="s">
        <v>24</v>
      </c>
      <c r="I620" t="s">
        <v>17</v>
      </c>
      <c r="J620" t="s">
        <v>25</v>
      </c>
    </row>
    <row r="621" spans="1:11" x14ac:dyDescent="0.2">
      <c r="A621" t="s">
        <v>2383</v>
      </c>
      <c r="B621" t="s">
        <v>2384</v>
      </c>
      <c r="E621" t="s">
        <v>2385</v>
      </c>
      <c r="F621" s="2">
        <v>52510634</v>
      </c>
      <c r="G621" s="2">
        <v>133976268</v>
      </c>
      <c r="H621" t="s">
        <v>34</v>
      </c>
      <c r="I621" t="s">
        <v>17</v>
      </c>
      <c r="J621" t="s">
        <v>25</v>
      </c>
    </row>
    <row r="622" spans="1:11" x14ac:dyDescent="0.2">
      <c r="A622" t="s">
        <v>2386</v>
      </c>
      <c r="B622" t="s">
        <v>2387</v>
      </c>
      <c r="C622" t="s">
        <v>2388</v>
      </c>
      <c r="D622" t="s">
        <v>2389</v>
      </c>
      <c r="E622" t="s">
        <v>2390</v>
      </c>
      <c r="F622" s="2">
        <v>525148703</v>
      </c>
      <c r="G622" s="2">
        <v>133052349</v>
      </c>
      <c r="H622" t="s">
        <v>24</v>
      </c>
      <c r="I622" t="s">
        <v>17</v>
      </c>
      <c r="J622" t="s">
        <v>25</v>
      </c>
    </row>
    <row r="623" spans="1:11" x14ac:dyDescent="0.2">
      <c r="A623" t="s">
        <v>2391</v>
      </c>
      <c r="B623" t="s">
        <v>2392</v>
      </c>
      <c r="C623" t="s">
        <v>2393</v>
      </c>
      <c r="D623" t="s">
        <v>2394</v>
      </c>
      <c r="E623" t="s">
        <v>2395</v>
      </c>
      <c r="F623" s="2">
        <v>525148638</v>
      </c>
      <c r="G623" s="2">
        <v>133049398</v>
      </c>
      <c r="H623" t="s">
        <v>24</v>
      </c>
      <c r="I623" t="s">
        <v>17</v>
      </c>
      <c r="J623" t="s">
        <v>25</v>
      </c>
    </row>
    <row r="624" spans="1:11" x14ac:dyDescent="0.2">
      <c r="A624" t="s">
        <v>2396</v>
      </c>
      <c r="B624" t="s">
        <v>2397</v>
      </c>
      <c r="C624" t="s">
        <v>2398</v>
      </c>
      <c r="E624" t="s">
        <v>2399</v>
      </c>
      <c r="F624" s="2">
        <v>525171076</v>
      </c>
      <c r="G624" s="2">
        <v>133046876</v>
      </c>
      <c r="H624" t="s">
        <v>38</v>
      </c>
      <c r="I624" t="s">
        <v>17</v>
      </c>
      <c r="J624" t="s">
        <v>25</v>
      </c>
    </row>
    <row r="625" spans="1:11" x14ac:dyDescent="0.2">
      <c r="A625" t="s">
        <v>2400</v>
      </c>
      <c r="B625" t="s">
        <v>2401</v>
      </c>
      <c r="C625" t="s">
        <v>2402</v>
      </c>
      <c r="E625" t="s">
        <v>2403</v>
      </c>
      <c r="F625" s="2">
        <v>525273327</v>
      </c>
      <c r="G625" s="2">
        <v>133966319</v>
      </c>
      <c r="H625" t="s">
        <v>277</v>
      </c>
      <c r="I625" t="s">
        <v>17</v>
      </c>
      <c r="J625" t="s">
        <v>25</v>
      </c>
      <c r="K625" t="s">
        <v>2404</v>
      </c>
    </row>
    <row r="626" spans="1:11" x14ac:dyDescent="0.2">
      <c r="A626" t="s">
        <v>2405</v>
      </c>
      <c r="B626" t="s">
        <v>2406</v>
      </c>
      <c r="C626" t="s">
        <v>2407</v>
      </c>
      <c r="E626" t="s">
        <v>2408</v>
      </c>
      <c r="F626" s="2">
        <v>524924846</v>
      </c>
      <c r="G626" s="2">
        <v>134164143</v>
      </c>
      <c r="H626" t="s">
        <v>277</v>
      </c>
      <c r="I626" t="s">
        <v>17</v>
      </c>
      <c r="J626" t="s">
        <v>25</v>
      </c>
      <c r="K626" t="s">
        <v>2409</v>
      </c>
    </row>
    <row r="627" spans="1:11" x14ac:dyDescent="0.2">
      <c r="A627" t="s">
        <v>2410</v>
      </c>
      <c r="B627" t="s">
        <v>2411</v>
      </c>
      <c r="C627" t="s">
        <v>2412</v>
      </c>
      <c r="F627" s="2">
        <v>525102569</v>
      </c>
      <c r="G627" s="2">
        <v>13373262</v>
      </c>
      <c r="H627" t="s">
        <v>255</v>
      </c>
      <c r="I627" t="s">
        <v>17</v>
      </c>
      <c r="J627" t="s">
        <v>25</v>
      </c>
    </row>
    <row r="628" spans="1:11" x14ac:dyDescent="0.2">
      <c r="A628" t="s">
        <v>2413</v>
      </c>
      <c r="B628" t="s">
        <v>2414</v>
      </c>
      <c r="C628" t="s">
        <v>2415</v>
      </c>
      <c r="D628" t="s">
        <v>609</v>
      </c>
      <c r="F628" s="2">
        <v>524758025</v>
      </c>
      <c r="G628" s="2">
        <v>132907601</v>
      </c>
      <c r="H628" t="s">
        <v>51</v>
      </c>
      <c r="I628" t="s">
        <v>17</v>
      </c>
      <c r="J628" t="s">
        <v>25</v>
      </c>
      <c r="K628" t="s">
        <v>2416</v>
      </c>
    </row>
    <row r="629" spans="1:11" x14ac:dyDescent="0.2">
      <c r="A629" t="s">
        <v>2417</v>
      </c>
      <c r="B629" t="s">
        <v>2418</v>
      </c>
      <c r="C629" t="s">
        <v>2419</v>
      </c>
      <c r="D629" t="s">
        <v>2420</v>
      </c>
      <c r="F629" s="2">
        <v>525055492</v>
      </c>
      <c r="G629" s="2">
        <v>133300244</v>
      </c>
      <c r="H629" t="s">
        <v>24</v>
      </c>
      <c r="I629" t="s">
        <v>17</v>
      </c>
      <c r="J629" t="s">
        <v>25</v>
      </c>
    </row>
    <row r="630" spans="1:11" x14ac:dyDescent="0.2">
      <c r="A630" t="s">
        <v>2421</v>
      </c>
      <c r="B630" t="s">
        <v>2422</v>
      </c>
      <c r="C630" t="s">
        <v>2423</v>
      </c>
      <c r="D630" t="s">
        <v>2424</v>
      </c>
      <c r="E630">
        <v>493064328670</v>
      </c>
      <c r="F630" s="2">
        <v>524835818</v>
      </c>
      <c r="G630" s="2">
        <v>132824082</v>
      </c>
      <c r="H630" t="s">
        <v>51</v>
      </c>
      <c r="I630" t="s">
        <v>17</v>
      </c>
      <c r="J630" t="s">
        <v>25</v>
      </c>
      <c r="K630" t="s">
        <v>2425</v>
      </c>
    </row>
    <row r="631" spans="1:11" x14ac:dyDescent="0.2">
      <c r="A631" t="s">
        <v>2426</v>
      </c>
      <c r="B631" t="s">
        <v>2427</v>
      </c>
      <c r="C631" t="s">
        <v>2428</v>
      </c>
      <c r="D631" t="s">
        <v>2429</v>
      </c>
      <c r="E631">
        <v>49308261794</v>
      </c>
      <c r="F631" s="2">
        <v>5248372</v>
      </c>
      <c r="G631" s="2">
        <v>132829887</v>
      </c>
      <c r="H631" t="s">
        <v>24</v>
      </c>
      <c r="I631" t="s">
        <v>17</v>
      </c>
      <c r="J631" t="s">
        <v>25</v>
      </c>
    </row>
    <row r="632" spans="1:11" x14ac:dyDescent="0.2">
      <c r="A632" t="s">
        <v>2430</v>
      </c>
      <c r="B632" t="s">
        <v>2431</v>
      </c>
      <c r="C632" t="s">
        <v>2432</v>
      </c>
      <c r="F632" s="2">
        <v>525211058</v>
      </c>
      <c r="G632" s="2">
        <v>134083713</v>
      </c>
      <c r="H632" t="s">
        <v>255</v>
      </c>
      <c r="I632" t="s">
        <v>17</v>
      </c>
      <c r="J632" t="s">
        <v>25</v>
      </c>
    </row>
    <row r="633" spans="1:11" x14ac:dyDescent="0.2">
      <c r="A633" t="s">
        <v>2433</v>
      </c>
      <c r="B633" t="s">
        <v>2434</v>
      </c>
      <c r="C633" t="s">
        <v>2435</v>
      </c>
      <c r="E633" t="s">
        <v>2436</v>
      </c>
      <c r="F633" s="2">
        <v>525205024</v>
      </c>
      <c r="G633" s="2">
        <v>133939538</v>
      </c>
      <c r="H633" t="s">
        <v>38</v>
      </c>
      <c r="I633" t="s">
        <v>17</v>
      </c>
      <c r="J633" t="s">
        <v>25</v>
      </c>
    </row>
    <row r="634" spans="1:11" x14ac:dyDescent="0.2">
      <c r="A634" t="s">
        <v>2437</v>
      </c>
      <c r="B634" t="s">
        <v>2438</v>
      </c>
      <c r="C634" t="s">
        <v>2439</v>
      </c>
      <c r="D634" t="s">
        <v>2440</v>
      </c>
      <c r="E634">
        <v>49303044734</v>
      </c>
      <c r="F634" s="2">
        <v>525123494</v>
      </c>
      <c r="G634" s="2">
        <v>132678849</v>
      </c>
      <c r="H634" t="s">
        <v>51</v>
      </c>
      <c r="I634" t="s">
        <v>17</v>
      </c>
      <c r="J634" t="s">
        <v>25</v>
      </c>
      <c r="K634" t="s">
        <v>2441</v>
      </c>
    </row>
    <row r="635" spans="1:11" x14ac:dyDescent="0.2">
      <c r="A635" t="s">
        <v>2442</v>
      </c>
      <c r="B635" t="s">
        <v>2443</v>
      </c>
      <c r="C635" t="s">
        <v>2444</v>
      </c>
      <c r="E635" t="s">
        <v>2445</v>
      </c>
      <c r="F635" s="2">
        <v>525477169</v>
      </c>
      <c r="G635" s="2">
        <v>133510974</v>
      </c>
      <c r="H635" t="s">
        <v>38</v>
      </c>
      <c r="I635" t="s">
        <v>17</v>
      </c>
      <c r="J635" t="s">
        <v>25</v>
      </c>
    </row>
    <row r="636" spans="1:11" x14ac:dyDescent="0.2">
      <c r="A636" t="s">
        <v>2446</v>
      </c>
      <c r="B636" t="s">
        <v>2447</v>
      </c>
      <c r="C636" t="s">
        <v>2448</v>
      </c>
      <c r="D636" t="s">
        <v>2449</v>
      </c>
      <c r="E636" t="s">
        <v>2450</v>
      </c>
      <c r="F636" s="2">
        <v>524748086</v>
      </c>
      <c r="G636" s="2">
        <v>132914994</v>
      </c>
      <c r="H636" t="s">
        <v>51</v>
      </c>
      <c r="I636" t="s">
        <v>17</v>
      </c>
      <c r="J636" t="s">
        <v>25</v>
      </c>
      <c r="K636" t="s">
        <v>2451</v>
      </c>
    </row>
    <row r="637" spans="1:11" x14ac:dyDescent="0.2">
      <c r="A637" t="s">
        <v>2452</v>
      </c>
      <c r="B637" t="s">
        <v>2453</v>
      </c>
      <c r="C637" t="s">
        <v>2454</v>
      </c>
      <c r="E637" t="s">
        <v>2455</v>
      </c>
      <c r="F637" s="2">
        <v>524746439</v>
      </c>
      <c r="G637" s="2">
        <v>132936273</v>
      </c>
      <c r="H637" t="s">
        <v>38</v>
      </c>
      <c r="I637" t="s">
        <v>17</v>
      </c>
      <c r="J637" t="s">
        <v>25</v>
      </c>
    </row>
    <row r="638" spans="1:11" x14ac:dyDescent="0.2">
      <c r="A638" t="s">
        <v>2456</v>
      </c>
      <c r="B638" t="s">
        <v>2457</v>
      </c>
      <c r="F638" s="2">
        <v>52583727</v>
      </c>
      <c r="G638" s="2">
        <v>13300888</v>
      </c>
      <c r="H638" t="s">
        <v>28</v>
      </c>
      <c r="I638" t="s">
        <v>17</v>
      </c>
      <c r="J638" t="s">
        <v>25</v>
      </c>
    </row>
    <row r="639" spans="1:11" x14ac:dyDescent="0.2">
      <c r="A639" t="s">
        <v>2458</v>
      </c>
      <c r="B639" t="s">
        <v>2459</v>
      </c>
      <c r="C639" t="s">
        <v>2460</v>
      </c>
      <c r="E639" t="s">
        <v>2461</v>
      </c>
      <c r="F639" s="2">
        <v>525063185</v>
      </c>
      <c r="G639" s="2">
        <v>133164489</v>
      </c>
      <c r="H639" t="s">
        <v>277</v>
      </c>
      <c r="I639" t="s">
        <v>17</v>
      </c>
      <c r="J639" t="s">
        <v>25</v>
      </c>
      <c r="K639" t="s">
        <v>2462</v>
      </c>
    </row>
    <row r="640" spans="1:11" x14ac:dyDescent="0.2">
      <c r="A640" t="s">
        <v>2463</v>
      </c>
      <c r="F640" s="2">
        <v>5253794</v>
      </c>
      <c r="G640" s="2">
        <v>13280153</v>
      </c>
      <c r="H640" t="s">
        <v>28</v>
      </c>
      <c r="I640" t="s">
        <v>17</v>
      </c>
      <c r="J640" t="s">
        <v>25</v>
      </c>
    </row>
    <row r="641" spans="1:11" x14ac:dyDescent="0.2">
      <c r="A641" t="s">
        <v>2464</v>
      </c>
      <c r="B641" t="s">
        <v>2465</v>
      </c>
      <c r="C641" t="s">
        <v>2466</v>
      </c>
      <c r="D641" t="s">
        <v>2467</v>
      </c>
      <c r="F641" s="2">
        <v>52511314</v>
      </c>
      <c r="G641" s="2">
        <v>133978736</v>
      </c>
      <c r="H641" t="s">
        <v>24</v>
      </c>
      <c r="I641" t="s">
        <v>17</v>
      </c>
      <c r="J641" t="s">
        <v>25</v>
      </c>
    </row>
    <row r="642" spans="1:11" x14ac:dyDescent="0.2">
      <c r="A642" t="s">
        <v>2468</v>
      </c>
      <c r="B642" t="s">
        <v>2469</v>
      </c>
      <c r="C642" t="s">
        <v>2470</v>
      </c>
      <c r="D642" t="s">
        <v>2471</v>
      </c>
      <c r="E642" t="s">
        <v>2472</v>
      </c>
      <c r="F642" s="2">
        <v>525120994</v>
      </c>
      <c r="G642" s="2">
        <v>132643913</v>
      </c>
      <c r="H642" t="s">
        <v>51</v>
      </c>
      <c r="I642" t="s">
        <v>17</v>
      </c>
      <c r="J642" t="s">
        <v>25</v>
      </c>
      <c r="K642" t="s">
        <v>2473</v>
      </c>
    </row>
    <row r="643" spans="1:11" x14ac:dyDescent="0.2">
      <c r="A643" t="s">
        <v>2474</v>
      </c>
      <c r="F643" s="2">
        <v>525135416</v>
      </c>
      <c r="G643" s="2">
        <v>13264929</v>
      </c>
      <c r="H643" t="s">
        <v>28</v>
      </c>
      <c r="I643" t="s">
        <v>17</v>
      </c>
      <c r="J643" t="s">
        <v>25</v>
      </c>
    </row>
    <row r="644" spans="1:11" x14ac:dyDescent="0.2">
      <c r="A644" t="s">
        <v>2475</v>
      </c>
      <c r="B644" t="s">
        <v>2476</v>
      </c>
      <c r="C644" t="s">
        <v>2477</v>
      </c>
      <c r="E644" t="s">
        <v>2478</v>
      </c>
      <c r="F644" s="2">
        <v>525114996</v>
      </c>
      <c r="G644" s="2">
        <v>132683306</v>
      </c>
      <c r="H644" t="s">
        <v>38</v>
      </c>
      <c r="I644" t="s">
        <v>17</v>
      </c>
      <c r="J644" t="s">
        <v>25</v>
      </c>
    </row>
    <row r="645" spans="1:11" x14ac:dyDescent="0.2">
      <c r="A645" t="s">
        <v>2479</v>
      </c>
      <c r="F645" s="2">
        <v>525113359</v>
      </c>
      <c r="G645" s="2">
        <v>132695868</v>
      </c>
      <c r="H645" t="s">
        <v>28</v>
      </c>
      <c r="I645" t="s">
        <v>17</v>
      </c>
      <c r="J645" t="s">
        <v>25</v>
      </c>
    </row>
    <row r="646" spans="1:11" x14ac:dyDescent="0.2">
      <c r="A646" t="s">
        <v>2480</v>
      </c>
      <c r="B646" t="s">
        <v>2481</v>
      </c>
      <c r="F646" s="2">
        <v>52510693</v>
      </c>
      <c r="G646" s="2">
        <v>132707094</v>
      </c>
      <c r="H646" t="s">
        <v>28</v>
      </c>
      <c r="I646" t="s">
        <v>17</v>
      </c>
      <c r="J646" t="s">
        <v>25</v>
      </c>
    </row>
    <row r="647" spans="1:11" x14ac:dyDescent="0.2">
      <c r="A647" t="s">
        <v>2482</v>
      </c>
      <c r="B647" t="s">
        <v>2483</v>
      </c>
      <c r="C647" t="s">
        <v>2484</v>
      </c>
      <c r="D647" t="s">
        <v>2485</v>
      </c>
      <c r="E647" t="s">
        <v>2486</v>
      </c>
      <c r="F647" s="2">
        <v>525164118</v>
      </c>
      <c r="G647" s="2">
        <v>132598493</v>
      </c>
      <c r="H647" t="s">
        <v>24</v>
      </c>
      <c r="I647" t="s">
        <v>17</v>
      </c>
      <c r="J647" t="s">
        <v>25</v>
      </c>
    </row>
    <row r="648" spans="1:11" x14ac:dyDescent="0.2">
      <c r="A648" t="s">
        <v>2487</v>
      </c>
      <c r="B648" t="s">
        <v>2488</v>
      </c>
      <c r="F648" s="2">
        <v>525125845</v>
      </c>
      <c r="G648" s="2">
        <v>13458203</v>
      </c>
      <c r="H648" t="s">
        <v>28</v>
      </c>
      <c r="I648" t="s">
        <v>17</v>
      </c>
      <c r="J648" t="s">
        <v>25</v>
      </c>
    </row>
    <row r="649" spans="1:11" x14ac:dyDescent="0.2">
      <c r="A649" t="s">
        <v>2489</v>
      </c>
      <c r="B649" t="s">
        <v>2490</v>
      </c>
      <c r="F649" s="2">
        <v>525041663</v>
      </c>
      <c r="G649" s="2">
        <v>133257102</v>
      </c>
      <c r="H649" t="s">
        <v>28</v>
      </c>
      <c r="I649" t="s">
        <v>17</v>
      </c>
      <c r="J649" t="s">
        <v>25</v>
      </c>
    </row>
    <row r="650" spans="1:11" x14ac:dyDescent="0.2">
      <c r="A650" t="s">
        <v>2491</v>
      </c>
      <c r="B650" t="s">
        <v>2492</v>
      </c>
      <c r="F650" s="2">
        <v>525275895</v>
      </c>
      <c r="G650" s="2">
        <v>134034466</v>
      </c>
      <c r="H650" t="s">
        <v>28</v>
      </c>
      <c r="I650" t="s">
        <v>17</v>
      </c>
      <c r="J650" t="s">
        <v>25</v>
      </c>
    </row>
    <row r="651" spans="1:11" x14ac:dyDescent="0.2">
      <c r="A651" t="s">
        <v>2493</v>
      </c>
      <c r="B651" t="s">
        <v>2494</v>
      </c>
      <c r="F651" s="2">
        <v>52514404</v>
      </c>
      <c r="G651" s="2">
        <v>134596942</v>
      </c>
      <c r="H651" t="s">
        <v>28</v>
      </c>
      <c r="I651" t="s">
        <v>17</v>
      </c>
      <c r="J651" t="s">
        <v>25</v>
      </c>
    </row>
    <row r="652" spans="1:11" x14ac:dyDescent="0.2">
      <c r="A652" t="s">
        <v>2495</v>
      </c>
      <c r="B652" t="s">
        <v>1092</v>
      </c>
      <c r="F652" s="2">
        <v>525051305</v>
      </c>
      <c r="G652" s="2">
        <v>134690361</v>
      </c>
      <c r="H652" t="s">
        <v>28</v>
      </c>
      <c r="I652" t="s">
        <v>17</v>
      </c>
      <c r="J652" t="s">
        <v>25</v>
      </c>
    </row>
    <row r="653" spans="1:11" x14ac:dyDescent="0.2">
      <c r="A653" t="s">
        <v>2496</v>
      </c>
      <c r="B653" t="s">
        <v>2497</v>
      </c>
      <c r="C653" t="s">
        <v>2498</v>
      </c>
      <c r="F653" s="2">
        <v>525235156</v>
      </c>
      <c r="G653" s="2">
        <v>13404871</v>
      </c>
      <c r="H653" t="s">
        <v>38</v>
      </c>
      <c r="I653" t="s">
        <v>17</v>
      </c>
      <c r="J653" t="s">
        <v>25</v>
      </c>
    </row>
    <row r="654" spans="1:11" x14ac:dyDescent="0.2">
      <c r="A654" t="s">
        <v>2499</v>
      </c>
      <c r="B654" t="s">
        <v>2500</v>
      </c>
      <c r="C654" t="s">
        <v>2501</v>
      </c>
      <c r="D654" t="s">
        <v>2502</v>
      </c>
      <c r="E654" t="s">
        <v>2503</v>
      </c>
      <c r="F654" s="2">
        <v>525163714</v>
      </c>
      <c r="G654" s="2">
        <v>134657565</v>
      </c>
      <c r="H654" t="s">
        <v>51</v>
      </c>
      <c r="I654" t="s">
        <v>17</v>
      </c>
      <c r="J654" t="s">
        <v>25</v>
      </c>
      <c r="K654" t="s">
        <v>2504</v>
      </c>
    </row>
    <row r="655" spans="1:11" x14ac:dyDescent="0.2">
      <c r="A655" t="s">
        <v>2505</v>
      </c>
      <c r="B655" t="s">
        <v>2506</v>
      </c>
      <c r="E655" t="s">
        <v>2507</v>
      </c>
      <c r="F655" s="2">
        <v>52526693</v>
      </c>
      <c r="G655" s="2">
        <v>13401068</v>
      </c>
      <c r="H655" t="s">
        <v>34</v>
      </c>
      <c r="I655" t="s">
        <v>17</v>
      </c>
      <c r="J655" t="s">
        <v>25</v>
      </c>
    </row>
    <row r="656" spans="1:11" x14ac:dyDescent="0.2">
      <c r="A656" t="s">
        <v>2508</v>
      </c>
      <c r="B656" t="s">
        <v>2509</v>
      </c>
      <c r="C656" t="s">
        <v>2510</v>
      </c>
      <c r="E656" t="s">
        <v>2511</v>
      </c>
      <c r="F656" s="2">
        <v>525064666</v>
      </c>
      <c r="G656" s="2">
        <v>133460679</v>
      </c>
      <c r="H656" t="s">
        <v>38</v>
      </c>
      <c r="I656" t="s">
        <v>17</v>
      </c>
      <c r="J656" t="s">
        <v>25</v>
      </c>
    </row>
    <row r="657" spans="1:11" x14ac:dyDescent="0.2">
      <c r="A657" t="s">
        <v>2512</v>
      </c>
      <c r="B657" t="s">
        <v>2513</v>
      </c>
      <c r="C657" t="s">
        <v>2514</v>
      </c>
      <c r="E657" t="s">
        <v>2515</v>
      </c>
      <c r="F657" s="2">
        <v>525263394</v>
      </c>
      <c r="G657" s="2">
        <v>133927056</v>
      </c>
      <c r="H657" t="s">
        <v>38</v>
      </c>
      <c r="I657" t="s">
        <v>17</v>
      </c>
      <c r="J657" t="s">
        <v>25</v>
      </c>
    </row>
    <row r="658" spans="1:11" x14ac:dyDescent="0.2">
      <c r="A658" t="s">
        <v>2516</v>
      </c>
      <c r="B658" t="s">
        <v>2517</v>
      </c>
      <c r="C658" t="s">
        <v>2518</v>
      </c>
      <c r="D658" t="s">
        <v>2519</v>
      </c>
      <c r="E658" t="s">
        <v>2520</v>
      </c>
      <c r="F658" s="2">
        <v>525106827</v>
      </c>
      <c r="G658" s="2">
        <v>134582789</v>
      </c>
      <c r="H658" t="s">
        <v>51</v>
      </c>
      <c r="I658" t="s">
        <v>17</v>
      </c>
      <c r="J658" t="s">
        <v>25</v>
      </c>
      <c r="K658" t="s">
        <v>2521</v>
      </c>
    </row>
    <row r="659" spans="1:11" x14ac:dyDescent="0.2">
      <c r="A659" t="s">
        <v>2522</v>
      </c>
      <c r="B659" t="s">
        <v>2523</v>
      </c>
      <c r="C659" t="s">
        <v>2524</v>
      </c>
      <c r="D659" t="s">
        <v>2525</v>
      </c>
      <c r="E659" t="s">
        <v>2526</v>
      </c>
      <c r="F659" s="2">
        <v>525096443</v>
      </c>
      <c r="G659" s="2">
        <v>134577523</v>
      </c>
      <c r="H659" t="s">
        <v>51</v>
      </c>
      <c r="I659" t="s">
        <v>17</v>
      </c>
      <c r="J659" t="s">
        <v>25</v>
      </c>
      <c r="K659" t="s">
        <v>2527</v>
      </c>
    </row>
    <row r="660" spans="1:11" x14ac:dyDescent="0.2">
      <c r="A660" t="s">
        <v>2528</v>
      </c>
      <c r="B660" t="s">
        <v>2529</v>
      </c>
      <c r="F660" s="2">
        <v>524985621</v>
      </c>
      <c r="G660" s="2">
        <v>134279344</v>
      </c>
      <c r="H660" t="s">
        <v>28</v>
      </c>
      <c r="I660" t="s">
        <v>17</v>
      </c>
      <c r="J660" t="s">
        <v>25</v>
      </c>
    </row>
    <row r="661" spans="1:11" x14ac:dyDescent="0.2">
      <c r="A661" t="s">
        <v>2530</v>
      </c>
      <c r="B661" t="s">
        <v>2531</v>
      </c>
      <c r="C661" t="s">
        <v>2532</v>
      </c>
      <c r="E661" t="s">
        <v>2533</v>
      </c>
      <c r="F661" s="2">
        <v>525100861</v>
      </c>
      <c r="G661" s="2">
        <v>134579966</v>
      </c>
      <c r="H661" t="s">
        <v>38</v>
      </c>
      <c r="I661" t="s">
        <v>17</v>
      </c>
      <c r="J661" t="s">
        <v>25</v>
      </c>
    </row>
    <row r="662" spans="1:11" x14ac:dyDescent="0.2">
      <c r="A662" t="s">
        <v>2534</v>
      </c>
      <c r="B662" t="s">
        <v>2535</v>
      </c>
      <c r="C662" t="s">
        <v>2536</v>
      </c>
      <c r="E662" t="s">
        <v>2537</v>
      </c>
      <c r="F662" s="2">
        <v>524501013</v>
      </c>
      <c r="G662" s="2">
        <v>132550747</v>
      </c>
      <c r="H662" t="s">
        <v>277</v>
      </c>
      <c r="I662" t="s">
        <v>17</v>
      </c>
      <c r="J662" t="s">
        <v>25</v>
      </c>
      <c r="K662" t="s">
        <v>2538</v>
      </c>
    </row>
    <row r="663" spans="1:11" x14ac:dyDescent="0.2">
      <c r="A663" t="s">
        <v>2539</v>
      </c>
      <c r="B663" t="s">
        <v>2540</v>
      </c>
      <c r="E663" t="s">
        <v>2541</v>
      </c>
      <c r="F663" s="2">
        <v>525265371</v>
      </c>
      <c r="G663" s="2">
        <v>134982994</v>
      </c>
      <c r="H663" t="s">
        <v>34</v>
      </c>
      <c r="I663" t="s">
        <v>17</v>
      </c>
      <c r="J663" t="s">
        <v>25</v>
      </c>
    </row>
    <row r="664" spans="1:11" x14ac:dyDescent="0.2">
      <c r="A664" t="s">
        <v>2542</v>
      </c>
      <c r="F664" s="2">
        <v>52522731</v>
      </c>
      <c r="G664" s="2">
        <v>135568419</v>
      </c>
      <c r="H664" t="s">
        <v>28</v>
      </c>
      <c r="I664" t="s">
        <v>17</v>
      </c>
      <c r="J664" t="s">
        <v>25</v>
      </c>
    </row>
    <row r="665" spans="1:11" x14ac:dyDescent="0.2">
      <c r="A665" t="s">
        <v>2543</v>
      </c>
      <c r="B665" t="s">
        <v>2544</v>
      </c>
      <c r="C665" t="s">
        <v>2545</v>
      </c>
      <c r="E665" t="s">
        <v>2546</v>
      </c>
      <c r="F665" s="2">
        <v>525473412</v>
      </c>
      <c r="G665" s="2">
        <v>133893501</v>
      </c>
      <c r="H665" t="s">
        <v>38</v>
      </c>
      <c r="I665" t="s">
        <v>17</v>
      </c>
      <c r="J665" t="s">
        <v>25</v>
      </c>
    </row>
    <row r="666" spans="1:11" x14ac:dyDescent="0.2">
      <c r="A666" t="s">
        <v>2547</v>
      </c>
      <c r="B666" t="s">
        <v>2548</v>
      </c>
      <c r="C666" t="s">
        <v>2549</v>
      </c>
      <c r="F666" s="2">
        <v>525537712</v>
      </c>
      <c r="G666" s="2">
        <v>131986604</v>
      </c>
      <c r="H666" t="s">
        <v>38</v>
      </c>
      <c r="I666" t="s">
        <v>17</v>
      </c>
      <c r="J666" t="s">
        <v>25</v>
      </c>
    </row>
    <row r="667" spans="1:11" x14ac:dyDescent="0.2">
      <c r="A667" t="s">
        <v>2550</v>
      </c>
      <c r="B667" t="s">
        <v>2551</v>
      </c>
      <c r="C667" t="s">
        <v>2552</v>
      </c>
      <c r="D667" t="s">
        <v>2553</v>
      </c>
      <c r="F667" s="2">
        <v>525531314</v>
      </c>
      <c r="G667" s="2">
        <v>131990761</v>
      </c>
      <c r="H667" t="s">
        <v>24</v>
      </c>
      <c r="I667" t="s">
        <v>17</v>
      </c>
      <c r="J667" t="s">
        <v>25</v>
      </c>
    </row>
    <row r="668" spans="1:11" x14ac:dyDescent="0.2">
      <c r="A668" t="s">
        <v>2554</v>
      </c>
      <c r="B668" t="s">
        <v>2555</v>
      </c>
      <c r="C668" t="s">
        <v>2556</v>
      </c>
      <c r="D668" t="s">
        <v>2557</v>
      </c>
      <c r="E668" t="s">
        <v>2558</v>
      </c>
      <c r="F668" s="2">
        <v>525563238</v>
      </c>
      <c r="G668" s="2">
        <v>134219808</v>
      </c>
      <c r="H668" t="s">
        <v>24</v>
      </c>
      <c r="I668" t="s">
        <v>17</v>
      </c>
      <c r="J668" t="s">
        <v>25</v>
      </c>
    </row>
    <row r="669" spans="1:11" x14ac:dyDescent="0.2">
      <c r="A669" t="s">
        <v>2559</v>
      </c>
      <c r="B669" t="s">
        <v>2560</v>
      </c>
      <c r="C669" t="s">
        <v>2561</v>
      </c>
      <c r="D669" t="s">
        <v>2562</v>
      </c>
      <c r="F669" s="2">
        <v>525363619</v>
      </c>
      <c r="G669" s="2">
        <v>13377943</v>
      </c>
      <c r="H669" t="s">
        <v>24</v>
      </c>
      <c r="I669" t="s">
        <v>17</v>
      </c>
      <c r="J669" t="s">
        <v>25</v>
      </c>
    </row>
    <row r="670" spans="1:11" x14ac:dyDescent="0.2">
      <c r="A670" t="s">
        <v>2563</v>
      </c>
      <c r="B670" t="s">
        <v>2564</v>
      </c>
      <c r="F670" s="2">
        <v>525308057</v>
      </c>
      <c r="G670" s="2">
        <v>134024016</v>
      </c>
      <c r="H670" t="s">
        <v>28</v>
      </c>
      <c r="I670" t="s">
        <v>17</v>
      </c>
      <c r="J670" t="s">
        <v>25</v>
      </c>
    </row>
    <row r="671" spans="1:11" x14ac:dyDescent="0.2">
      <c r="A671" t="s">
        <v>2565</v>
      </c>
      <c r="B671" t="s">
        <v>2566</v>
      </c>
      <c r="C671" t="s">
        <v>2567</v>
      </c>
      <c r="D671" t="s">
        <v>2568</v>
      </c>
      <c r="E671" t="s">
        <v>2569</v>
      </c>
      <c r="F671" s="2">
        <v>525490702</v>
      </c>
      <c r="G671" s="2">
        <v>134590899</v>
      </c>
      <c r="H671" t="s">
        <v>51</v>
      </c>
      <c r="I671" t="s">
        <v>17</v>
      </c>
      <c r="J671" t="s">
        <v>25</v>
      </c>
      <c r="K671" t="s">
        <v>2570</v>
      </c>
    </row>
    <row r="672" spans="1:11" x14ac:dyDescent="0.2">
      <c r="A672" t="s">
        <v>2571</v>
      </c>
      <c r="F672" s="2">
        <v>524462866</v>
      </c>
      <c r="G672" s="2">
        <v>132935243</v>
      </c>
      <c r="H672" t="s">
        <v>28</v>
      </c>
      <c r="I672" t="s">
        <v>17</v>
      </c>
      <c r="J672" t="s">
        <v>25</v>
      </c>
    </row>
    <row r="673" spans="1:11" x14ac:dyDescent="0.2">
      <c r="A673" t="s">
        <v>2572</v>
      </c>
      <c r="C673" t="s">
        <v>2573</v>
      </c>
      <c r="E673" t="s">
        <v>2574</v>
      </c>
      <c r="F673" s="2">
        <v>525354429</v>
      </c>
      <c r="G673" s="2">
        <v>134167102</v>
      </c>
      <c r="H673" t="s">
        <v>38</v>
      </c>
      <c r="I673" t="s">
        <v>17</v>
      </c>
      <c r="J673" t="s">
        <v>25</v>
      </c>
    </row>
    <row r="674" spans="1:11" x14ac:dyDescent="0.2">
      <c r="A674" t="s">
        <v>2575</v>
      </c>
      <c r="B674" t="s">
        <v>2576</v>
      </c>
      <c r="C674" t="s">
        <v>2577</v>
      </c>
      <c r="D674" t="s">
        <v>2578</v>
      </c>
      <c r="E674">
        <v>49304313091</v>
      </c>
      <c r="F674" s="2">
        <v>526080761</v>
      </c>
      <c r="G674" s="2">
        <v>132116735</v>
      </c>
      <c r="H674" t="s">
        <v>24</v>
      </c>
      <c r="I674" t="s">
        <v>17</v>
      </c>
      <c r="J674" t="s">
        <v>25</v>
      </c>
    </row>
    <row r="675" spans="1:11" x14ac:dyDescent="0.2">
      <c r="A675" t="s">
        <v>2579</v>
      </c>
      <c r="B675" t="s">
        <v>2580</v>
      </c>
      <c r="C675" t="s">
        <v>2581</v>
      </c>
      <c r="D675" t="s">
        <v>2582</v>
      </c>
      <c r="E675" t="s">
        <v>2583</v>
      </c>
      <c r="F675" s="2">
        <v>52606838</v>
      </c>
      <c r="G675" s="2">
        <v>13211553</v>
      </c>
      <c r="H675" t="s">
        <v>24</v>
      </c>
      <c r="I675" t="s">
        <v>17</v>
      </c>
      <c r="J675" t="s">
        <v>25</v>
      </c>
    </row>
    <row r="676" spans="1:11" x14ac:dyDescent="0.2">
      <c r="A676" t="s">
        <v>2584</v>
      </c>
      <c r="B676" t="s">
        <v>2585</v>
      </c>
      <c r="C676" t="s">
        <v>2586</v>
      </c>
      <c r="E676" t="s">
        <v>2587</v>
      </c>
      <c r="F676" s="2">
        <v>526130338</v>
      </c>
      <c r="G676" s="2">
        <v>132175639</v>
      </c>
      <c r="H676" t="s">
        <v>277</v>
      </c>
      <c r="I676" t="s">
        <v>17</v>
      </c>
      <c r="J676" t="s">
        <v>25</v>
      </c>
      <c r="K676" t="s">
        <v>2588</v>
      </c>
    </row>
    <row r="677" spans="1:11" x14ac:dyDescent="0.2">
      <c r="A677" t="s">
        <v>2589</v>
      </c>
      <c r="F677" s="2">
        <v>526082586</v>
      </c>
      <c r="G677" s="2">
        <v>132306314</v>
      </c>
      <c r="H677" t="s">
        <v>28</v>
      </c>
      <c r="I677" t="s">
        <v>17</v>
      </c>
      <c r="J677" t="s">
        <v>25</v>
      </c>
    </row>
    <row r="678" spans="1:11" x14ac:dyDescent="0.2">
      <c r="A678" t="s">
        <v>2590</v>
      </c>
      <c r="B678" t="s">
        <v>2591</v>
      </c>
      <c r="C678" t="s">
        <v>2592</v>
      </c>
      <c r="E678" t="s">
        <v>2593</v>
      </c>
      <c r="F678" s="2">
        <v>525178177</v>
      </c>
      <c r="G678" s="2">
        <v>132932026</v>
      </c>
      <c r="H678" t="s">
        <v>38</v>
      </c>
      <c r="I678" t="s">
        <v>17</v>
      </c>
      <c r="J678" t="s">
        <v>25</v>
      </c>
    </row>
    <row r="679" spans="1:11" x14ac:dyDescent="0.2">
      <c r="A679" t="s">
        <v>2594</v>
      </c>
      <c r="F679" s="2">
        <v>525126863</v>
      </c>
      <c r="G679" s="2">
        <v>134589947</v>
      </c>
      <c r="H679" t="s">
        <v>28</v>
      </c>
      <c r="I679" t="s">
        <v>17</v>
      </c>
      <c r="J679" t="s">
        <v>25</v>
      </c>
    </row>
    <row r="680" spans="1:11" x14ac:dyDescent="0.2">
      <c r="A680" t="s">
        <v>2595</v>
      </c>
      <c r="B680" t="s">
        <v>2596</v>
      </c>
      <c r="C680" t="s">
        <v>2597</v>
      </c>
      <c r="D680" t="s">
        <v>2598</v>
      </c>
      <c r="E680" t="s">
        <v>2599</v>
      </c>
      <c r="F680" s="2">
        <v>525422679</v>
      </c>
      <c r="G680" s="2">
        <v>134161588</v>
      </c>
      <c r="H680" t="s">
        <v>51</v>
      </c>
      <c r="I680" t="s">
        <v>17</v>
      </c>
      <c r="J680" t="s">
        <v>25</v>
      </c>
      <c r="K680" t="s">
        <v>2600</v>
      </c>
    </row>
    <row r="681" spans="1:11" x14ac:dyDescent="0.2">
      <c r="A681" t="s">
        <v>2601</v>
      </c>
      <c r="B681" t="s">
        <v>2602</v>
      </c>
      <c r="C681" t="s">
        <v>2603</v>
      </c>
      <c r="D681" t="s">
        <v>2604</v>
      </c>
      <c r="E681" t="s">
        <v>2605</v>
      </c>
      <c r="F681" s="2">
        <v>525807923</v>
      </c>
      <c r="G681" s="2">
        <v>133025783</v>
      </c>
      <c r="H681" t="s">
        <v>51</v>
      </c>
      <c r="I681" t="s">
        <v>17</v>
      </c>
      <c r="J681" t="s">
        <v>25</v>
      </c>
      <c r="K681" t="s">
        <v>2606</v>
      </c>
    </row>
    <row r="682" spans="1:11" x14ac:dyDescent="0.2">
      <c r="A682" t="s">
        <v>2607</v>
      </c>
      <c r="B682" t="s">
        <v>2608</v>
      </c>
      <c r="C682" t="s">
        <v>2609</v>
      </c>
      <c r="D682" t="s">
        <v>2610</v>
      </c>
      <c r="E682" t="s">
        <v>2611</v>
      </c>
      <c r="F682" s="2">
        <v>525108553</v>
      </c>
      <c r="G682" s="2">
        <v>134504143</v>
      </c>
      <c r="H682" t="s">
        <v>51</v>
      </c>
      <c r="I682" t="s">
        <v>17</v>
      </c>
      <c r="J682" t="s">
        <v>25</v>
      </c>
      <c r="K682" t="s">
        <v>2612</v>
      </c>
    </row>
    <row r="683" spans="1:11" x14ac:dyDescent="0.2">
      <c r="A683" t="s">
        <v>2613</v>
      </c>
      <c r="B683" t="s">
        <v>2614</v>
      </c>
      <c r="C683" t="s">
        <v>2615</v>
      </c>
      <c r="F683" s="2">
        <v>524472881</v>
      </c>
      <c r="G683" s="2">
        <v>135072468</v>
      </c>
      <c r="H683" t="s">
        <v>38</v>
      </c>
      <c r="I683" t="s">
        <v>17</v>
      </c>
      <c r="J683" t="s">
        <v>25</v>
      </c>
    </row>
    <row r="684" spans="1:11" x14ac:dyDescent="0.2">
      <c r="A684" t="s">
        <v>2616</v>
      </c>
      <c r="C684" t="s">
        <v>2617</v>
      </c>
      <c r="E684" t="s">
        <v>2618</v>
      </c>
      <c r="F684" s="2">
        <v>524437031</v>
      </c>
      <c r="G684" s="2">
        <v>132892594</v>
      </c>
      <c r="H684" t="s">
        <v>38</v>
      </c>
      <c r="I684" t="s">
        <v>17</v>
      </c>
      <c r="J684" t="s">
        <v>25</v>
      </c>
    </row>
    <row r="685" spans="1:11" x14ac:dyDescent="0.2">
      <c r="A685" t="s">
        <v>2619</v>
      </c>
      <c r="B685" t="s">
        <v>2620</v>
      </c>
      <c r="C685" t="s">
        <v>2621</v>
      </c>
      <c r="F685" s="2">
        <v>524476427</v>
      </c>
      <c r="G685" s="2">
        <v>132999648</v>
      </c>
      <c r="H685" t="s">
        <v>277</v>
      </c>
      <c r="I685" t="s">
        <v>17</v>
      </c>
      <c r="J685" t="s">
        <v>25</v>
      </c>
      <c r="K685" t="s">
        <v>2622</v>
      </c>
    </row>
    <row r="686" spans="1:11" x14ac:dyDescent="0.2">
      <c r="A686" t="s">
        <v>2623</v>
      </c>
      <c r="B686" t="s">
        <v>2624</v>
      </c>
      <c r="C686" t="s">
        <v>2625</v>
      </c>
      <c r="D686" t="s">
        <v>2626</v>
      </c>
      <c r="E686" t="s">
        <v>2627</v>
      </c>
      <c r="F686" s="2">
        <v>524489294</v>
      </c>
      <c r="G686" s="2">
        <v>133034925</v>
      </c>
      <c r="H686" t="s">
        <v>24</v>
      </c>
      <c r="I686" t="s">
        <v>17</v>
      </c>
      <c r="J686" t="s">
        <v>25</v>
      </c>
    </row>
    <row r="687" spans="1:11" x14ac:dyDescent="0.2">
      <c r="A687" t="s">
        <v>2628</v>
      </c>
      <c r="B687" t="s">
        <v>2629</v>
      </c>
      <c r="C687" t="s">
        <v>2630</v>
      </c>
      <c r="E687" t="s">
        <v>2631</v>
      </c>
      <c r="F687" s="2">
        <v>524480009</v>
      </c>
      <c r="G687" s="2">
        <v>135075687</v>
      </c>
      <c r="H687" t="s">
        <v>277</v>
      </c>
      <c r="I687" t="s">
        <v>17</v>
      </c>
      <c r="J687" t="s">
        <v>25</v>
      </c>
      <c r="K687" t="s">
        <v>2632</v>
      </c>
    </row>
    <row r="688" spans="1:11" x14ac:dyDescent="0.2">
      <c r="A688" t="s">
        <v>2633</v>
      </c>
      <c r="B688" t="s">
        <v>2634</v>
      </c>
      <c r="C688" t="s">
        <v>2635</v>
      </c>
      <c r="E688" t="s">
        <v>2636</v>
      </c>
      <c r="F688" s="2">
        <v>52447981</v>
      </c>
      <c r="G688" s="2">
        <v>135079203</v>
      </c>
      <c r="H688" t="s">
        <v>38</v>
      </c>
      <c r="I688" t="s">
        <v>17</v>
      </c>
      <c r="J688" t="s">
        <v>25</v>
      </c>
    </row>
    <row r="689" spans="1:11" x14ac:dyDescent="0.2">
      <c r="A689" t="s">
        <v>2637</v>
      </c>
      <c r="C689" t="s">
        <v>2638</v>
      </c>
      <c r="D689" t="s">
        <v>2639</v>
      </c>
      <c r="E689" t="s">
        <v>2640</v>
      </c>
      <c r="F689" s="2">
        <v>524418343</v>
      </c>
      <c r="G689" s="2">
        <v>133531359</v>
      </c>
      <c r="H689" t="s">
        <v>24</v>
      </c>
      <c r="I689" t="s">
        <v>17</v>
      </c>
      <c r="J689" t="s">
        <v>25</v>
      </c>
    </row>
    <row r="690" spans="1:11" x14ac:dyDescent="0.2">
      <c r="A690" t="s">
        <v>2641</v>
      </c>
      <c r="B690" t="s">
        <v>2642</v>
      </c>
      <c r="C690" t="s">
        <v>2643</v>
      </c>
      <c r="D690" t="s">
        <v>2644</v>
      </c>
      <c r="E690" t="s">
        <v>2645</v>
      </c>
      <c r="F690" s="2">
        <v>524467726</v>
      </c>
      <c r="G690" s="2">
        <v>133062338</v>
      </c>
      <c r="H690" t="s">
        <v>304</v>
      </c>
      <c r="I690" t="s">
        <v>17</v>
      </c>
      <c r="J690" t="s">
        <v>25</v>
      </c>
      <c r="K690" t="s">
        <v>2646</v>
      </c>
    </row>
    <row r="691" spans="1:11" x14ac:dyDescent="0.2">
      <c r="A691" t="s">
        <v>2647</v>
      </c>
      <c r="B691" t="s">
        <v>2648</v>
      </c>
      <c r="C691" t="s">
        <v>2649</v>
      </c>
      <c r="E691" t="s">
        <v>2650</v>
      </c>
      <c r="F691" s="2">
        <v>524493298</v>
      </c>
      <c r="G691" s="2">
        <v>133027853</v>
      </c>
      <c r="H691" t="s">
        <v>38</v>
      </c>
      <c r="I691" t="s">
        <v>17</v>
      </c>
      <c r="J691" t="s">
        <v>25</v>
      </c>
    </row>
    <row r="692" spans="1:11" x14ac:dyDescent="0.2">
      <c r="A692" t="s">
        <v>2651</v>
      </c>
      <c r="F692" s="2">
        <v>524581602</v>
      </c>
      <c r="G692" s="2">
        <v>133276053</v>
      </c>
      <c r="H692" t="s">
        <v>28</v>
      </c>
      <c r="I692" t="s">
        <v>17</v>
      </c>
      <c r="J692" t="s">
        <v>25</v>
      </c>
    </row>
    <row r="693" spans="1:11" x14ac:dyDescent="0.2">
      <c r="A693" t="s">
        <v>2652</v>
      </c>
      <c r="C693" t="s">
        <v>2653</v>
      </c>
      <c r="F693" s="2">
        <v>524689488</v>
      </c>
      <c r="G693" s="2">
        <v>133336209</v>
      </c>
      <c r="H693" t="s">
        <v>255</v>
      </c>
      <c r="I693" t="s">
        <v>17</v>
      </c>
      <c r="J693" t="s">
        <v>25</v>
      </c>
    </row>
    <row r="694" spans="1:11" x14ac:dyDescent="0.2">
      <c r="A694" t="s">
        <v>2654</v>
      </c>
      <c r="B694" t="s">
        <v>2655</v>
      </c>
      <c r="C694" t="s">
        <v>2656</v>
      </c>
      <c r="E694" t="s">
        <v>2657</v>
      </c>
      <c r="F694" s="2">
        <v>52466685</v>
      </c>
      <c r="G694" s="2">
        <v>133388677</v>
      </c>
      <c r="H694" t="s">
        <v>38</v>
      </c>
      <c r="I694" t="s">
        <v>17</v>
      </c>
      <c r="J694" t="s">
        <v>25</v>
      </c>
    </row>
    <row r="695" spans="1:11" x14ac:dyDescent="0.2">
      <c r="A695" t="s">
        <v>2658</v>
      </c>
      <c r="B695" t="s">
        <v>2659</v>
      </c>
      <c r="C695" t="s">
        <v>2660</v>
      </c>
      <c r="D695" t="s">
        <v>2661</v>
      </c>
      <c r="F695" s="2">
        <v>524723157</v>
      </c>
      <c r="G695" s="2">
        <v>133350244</v>
      </c>
      <c r="H695" t="s">
        <v>51</v>
      </c>
      <c r="I695" t="s">
        <v>17</v>
      </c>
      <c r="J695" t="s">
        <v>25</v>
      </c>
      <c r="K695" t="s">
        <v>2662</v>
      </c>
    </row>
    <row r="696" spans="1:11" x14ac:dyDescent="0.2">
      <c r="A696" t="s">
        <v>2663</v>
      </c>
      <c r="B696" t="s">
        <v>2664</v>
      </c>
      <c r="C696" t="s">
        <v>2665</v>
      </c>
      <c r="D696" t="s">
        <v>2666</v>
      </c>
      <c r="E696" t="s">
        <v>2667</v>
      </c>
      <c r="F696" s="2">
        <v>524978571</v>
      </c>
      <c r="G696" s="2">
        <v>133250856</v>
      </c>
      <c r="H696" t="s">
        <v>24</v>
      </c>
      <c r="I696" t="s">
        <v>17</v>
      </c>
      <c r="J696" t="s">
        <v>25</v>
      </c>
    </row>
    <row r="697" spans="1:11" x14ac:dyDescent="0.2">
      <c r="A697" t="s">
        <v>2668</v>
      </c>
      <c r="B697" t="s">
        <v>2669</v>
      </c>
      <c r="C697" t="s">
        <v>2670</v>
      </c>
      <c r="E697" t="s">
        <v>2671</v>
      </c>
      <c r="F697" s="2">
        <v>52413165</v>
      </c>
      <c r="G697" s="2">
        <v>133530162</v>
      </c>
      <c r="H697" t="s">
        <v>277</v>
      </c>
      <c r="I697" t="s">
        <v>17</v>
      </c>
      <c r="J697" t="s">
        <v>25</v>
      </c>
      <c r="K697" t="s">
        <v>2672</v>
      </c>
    </row>
    <row r="698" spans="1:11" x14ac:dyDescent="0.2">
      <c r="A698" t="s">
        <v>2673</v>
      </c>
      <c r="B698" t="s">
        <v>2674</v>
      </c>
      <c r="F698" s="2">
        <v>525044561</v>
      </c>
      <c r="G698" s="2">
        <v>133153856</v>
      </c>
      <c r="H698" t="s">
        <v>28</v>
      </c>
      <c r="I698" t="s">
        <v>17</v>
      </c>
      <c r="J698" t="s">
        <v>25</v>
      </c>
    </row>
    <row r="699" spans="1:11" x14ac:dyDescent="0.2">
      <c r="A699" t="s">
        <v>2675</v>
      </c>
      <c r="B699" t="s">
        <v>2676</v>
      </c>
      <c r="C699" t="s">
        <v>2677</v>
      </c>
      <c r="D699" t="s">
        <v>2678</v>
      </c>
      <c r="E699" t="s">
        <v>2679</v>
      </c>
      <c r="F699" s="2">
        <v>524914239</v>
      </c>
      <c r="G699" s="2">
        <v>133181079</v>
      </c>
      <c r="H699" t="s">
        <v>304</v>
      </c>
      <c r="I699" t="s">
        <v>17</v>
      </c>
      <c r="J699" t="s">
        <v>25</v>
      </c>
      <c r="K699" t="s">
        <v>2680</v>
      </c>
    </row>
    <row r="700" spans="1:11" x14ac:dyDescent="0.2">
      <c r="A700" t="s">
        <v>2681</v>
      </c>
      <c r="B700" t="s">
        <v>2682</v>
      </c>
      <c r="E700" t="s">
        <v>2683</v>
      </c>
      <c r="F700" s="2">
        <v>525032789</v>
      </c>
      <c r="G700" s="2">
        <v>13319915</v>
      </c>
      <c r="H700" t="s">
        <v>34</v>
      </c>
      <c r="I700" t="s">
        <v>17</v>
      </c>
      <c r="J700" t="s">
        <v>25</v>
      </c>
    </row>
    <row r="701" spans="1:11" x14ac:dyDescent="0.2">
      <c r="A701" t="s">
        <v>2684</v>
      </c>
      <c r="B701" t="s">
        <v>2685</v>
      </c>
      <c r="C701" t="s">
        <v>2686</v>
      </c>
      <c r="D701" t="s">
        <v>2687</v>
      </c>
      <c r="E701" t="s">
        <v>2688</v>
      </c>
      <c r="F701" s="2">
        <v>525039802</v>
      </c>
      <c r="G701" s="2">
        <v>133169304</v>
      </c>
      <c r="H701" t="s">
        <v>24</v>
      </c>
      <c r="I701" t="s">
        <v>17</v>
      </c>
      <c r="J701" t="s">
        <v>25</v>
      </c>
    </row>
    <row r="702" spans="1:11" x14ac:dyDescent="0.2">
      <c r="A702" t="s">
        <v>2689</v>
      </c>
      <c r="B702" t="s">
        <v>2690</v>
      </c>
      <c r="F702" s="2">
        <v>525064682</v>
      </c>
      <c r="G702" s="2">
        <v>133203826</v>
      </c>
      <c r="H702" t="s">
        <v>28</v>
      </c>
      <c r="I702" t="s">
        <v>17</v>
      </c>
      <c r="J702" t="s">
        <v>25</v>
      </c>
    </row>
    <row r="703" spans="1:11" x14ac:dyDescent="0.2">
      <c r="A703" t="s">
        <v>2691</v>
      </c>
      <c r="B703" t="s">
        <v>2692</v>
      </c>
      <c r="C703" t="s">
        <v>2693</v>
      </c>
      <c r="E703" t="s">
        <v>2694</v>
      </c>
      <c r="F703" s="2">
        <v>524925522</v>
      </c>
      <c r="G703" s="2">
        <v>133236686</v>
      </c>
      <c r="H703" t="s">
        <v>277</v>
      </c>
      <c r="I703" t="s">
        <v>17</v>
      </c>
      <c r="J703" t="s">
        <v>25</v>
      </c>
      <c r="K703" t="s">
        <v>2695</v>
      </c>
    </row>
    <row r="704" spans="1:11" x14ac:dyDescent="0.2">
      <c r="A704" t="s">
        <v>2696</v>
      </c>
      <c r="B704" t="s">
        <v>2697</v>
      </c>
      <c r="E704" t="s">
        <v>2698</v>
      </c>
      <c r="F704" s="2">
        <v>524350376</v>
      </c>
      <c r="G704" s="2">
        <v>132577302</v>
      </c>
      <c r="H704" t="s">
        <v>34</v>
      </c>
      <c r="I704" t="s">
        <v>17</v>
      </c>
      <c r="J704" t="s">
        <v>25</v>
      </c>
    </row>
    <row r="705" spans="1:11" x14ac:dyDescent="0.2">
      <c r="A705" t="s">
        <v>2699</v>
      </c>
      <c r="B705" t="s">
        <v>2700</v>
      </c>
      <c r="E705" t="s">
        <v>2701</v>
      </c>
      <c r="F705" s="2">
        <v>52446575</v>
      </c>
      <c r="G705" s="2">
        <v>13379106</v>
      </c>
      <c r="H705" t="s">
        <v>34</v>
      </c>
      <c r="I705" t="s">
        <v>17</v>
      </c>
      <c r="J705" t="s">
        <v>25</v>
      </c>
    </row>
    <row r="706" spans="1:11" x14ac:dyDescent="0.2">
      <c r="A706" t="s">
        <v>2702</v>
      </c>
      <c r="B706" t="s">
        <v>2703</v>
      </c>
      <c r="C706" t="s">
        <v>2704</v>
      </c>
      <c r="E706" t="s">
        <v>2705</v>
      </c>
      <c r="F706" s="2">
        <v>525448075</v>
      </c>
      <c r="G706" s="2">
        <v>134369044</v>
      </c>
      <c r="H706" t="s">
        <v>38</v>
      </c>
      <c r="I706" t="s">
        <v>17</v>
      </c>
      <c r="J706" t="s">
        <v>25</v>
      </c>
    </row>
    <row r="707" spans="1:11" x14ac:dyDescent="0.2">
      <c r="A707" t="s">
        <v>2706</v>
      </c>
      <c r="B707" t="s">
        <v>2707</v>
      </c>
      <c r="C707" t="s">
        <v>2708</v>
      </c>
      <c r="D707" t="s">
        <v>2709</v>
      </c>
      <c r="E707" t="s">
        <v>2710</v>
      </c>
      <c r="F707" s="2">
        <v>525338145</v>
      </c>
      <c r="G707" s="2">
        <v>134097166</v>
      </c>
      <c r="H707" t="s">
        <v>51</v>
      </c>
      <c r="I707" t="s">
        <v>17</v>
      </c>
      <c r="J707" t="s">
        <v>25</v>
      </c>
      <c r="K707" t="s">
        <v>2711</v>
      </c>
    </row>
    <row r="708" spans="1:11" x14ac:dyDescent="0.2">
      <c r="A708" t="s">
        <v>2712</v>
      </c>
      <c r="B708" t="s">
        <v>2713</v>
      </c>
      <c r="C708" t="s">
        <v>2714</v>
      </c>
      <c r="D708" t="s">
        <v>2715</v>
      </c>
      <c r="F708" s="2">
        <v>525306822</v>
      </c>
      <c r="G708" s="2">
        <v>134117225</v>
      </c>
      <c r="H708" t="s">
        <v>304</v>
      </c>
      <c r="I708" t="s">
        <v>17</v>
      </c>
      <c r="J708" t="s">
        <v>25</v>
      </c>
      <c r="K708" t="s">
        <v>2716</v>
      </c>
    </row>
    <row r="709" spans="1:11" x14ac:dyDescent="0.2">
      <c r="A709" t="s">
        <v>2717</v>
      </c>
      <c r="B709" t="s">
        <v>2718</v>
      </c>
      <c r="C709" t="s">
        <v>2719</v>
      </c>
      <c r="D709" t="s">
        <v>2720</v>
      </c>
      <c r="E709" t="s">
        <v>2721</v>
      </c>
      <c r="F709" s="2">
        <v>525455885</v>
      </c>
      <c r="G709" s="2">
        <v>134132229</v>
      </c>
      <c r="H709" t="s">
        <v>51</v>
      </c>
      <c r="I709" t="s">
        <v>17</v>
      </c>
      <c r="J709" t="s">
        <v>25</v>
      </c>
      <c r="K709" t="s">
        <v>2722</v>
      </c>
    </row>
    <row r="710" spans="1:11" x14ac:dyDescent="0.2">
      <c r="A710" t="s">
        <v>2723</v>
      </c>
      <c r="B710" t="s">
        <v>2724</v>
      </c>
      <c r="C710" t="s">
        <v>2725</v>
      </c>
      <c r="D710" t="s">
        <v>2726</v>
      </c>
      <c r="E710" t="s">
        <v>2727</v>
      </c>
      <c r="F710" s="2">
        <v>525191623</v>
      </c>
      <c r="G710" s="2">
        <v>133185195</v>
      </c>
      <c r="H710" t="s">
        <v>16</v>
      </c>
      <c r="I710" t="s">
        <v>17</v>
      </c>
      <c r="J710" t="s">
        <v>25</v>
      </c>
    </row>
    <row r="711" spans="1:11" x14ac:dyDescent="0.2">
      <c r="A711" t="s">
        <v>2728</v>
      </c>
      <c r="F711" s="2">
        <v>52403666</v>
      </c>
      <c r="G711" s="2">
        <v>135061196</v>
      </c>
      <c r="H711" t="s">
        <v>28</v>
      </c>
      <c r="I711" t="s">
        <v>17</v>
      </c>
      <c r="J711" t="s">
        <v>25</v>
      </c>
    </row>
    <row r="712" spans="1:11" x14ac:dyDescent="0.2">
      <c r="A712" t="s">
        <v>2729</v>
      </c>
      <c r="B712" t="s">
        <v>2730</v>
      </c>
      <c r="C712" t="s">
        <v>2731</v>
      </c>
      <c r="D712" t="s">
        <v>2732</v>
      </c>
      <c r="E712" t="s">
        <v>2733</v>
      </c>
      <c r="F712" s="2">
        <v>524207028</v>
      </c>
      <c r="G712" s="2">
        <v>134886645</v>
      </c>
      <c r="H712" t="s">
        <v>24</v>
      </c>
      <c r="I712" t="s">
        <v>17</v>
      </c>
      <c r="J712" t="s">
        <v>25</v>
      </c>
    </row>
    <row r="713" spans="1:11" x14ac:dyDescent="0.2">
      <c r="A713" t="s">
        <v>2734</v>
      </c>
      <c r="B713" t="s">
        <v>2735</v>
      </c>
      <c r="F713" s="2">
        <v>524215057</v>
      </c>
      <c r="G713" s="2">
        <v>134945968</v>
      </c>
      <c r="H713" t="s">
        <v>28</v>
      </c>
      <c r="I713" t="s">
        <v>17</v>
      </c>
      <c r="J713" t="s">
        <v>25</v>
      </c>
    </row>
    <row r="714" spans="1:11" x14ac:dyDescent="0.2">
      <c r="A714" t="s">
        <v>2736</v>
      </c>
      <c r="B714" t="s">
        <v>2737</v>
      </c>
      <c r="C714" t="s">
        <v>2738</v>
      </c>
      <c r="E714">
        <v>493088667916</v>
      </c>
      <c r="F714" s="2">
        <v>52491559</v>
      </c>
      <c r="G714" s="2">
        <v>133216903</v>
      </c>
      <c r="H714" t="s">
        <v>38</v>
      </c>
      <c r="I714" t="s">
        <v>17</v>
      </c>
      <c r="J714" t="s">
        <v>25</v>
      </c>
    </row>
    <row r="715" spans="1:11" x14ac:dyDescent="0.2">
      <c r="A715" t="s">
        <v>2739</v>
      </c>
      <c r="B715" t="s">
        <v>2740</v>
      </c>
      <c r="F715" s="2">
        <v>524913419</v>
      </c>
      <c r="G715" s="2">
        <v>133260399</v>
      </c>
      <c r="H715" t="s">
        <v>28</v>
      </c>
      <c r="I715" t="s">
        <v>17</v>
      </c>
      <c r="J715" t="s">
        <v>25</v>
      </c>
    </row>
    <row r="716" spans="1:11" x14ac:dyDescent="0.2">
      <c r="A716" t="s">
        <v>2741</v>
      </c>
      <c r="B716" t="s">
        <v>2742</v>
      </c>
      <c r="F716" s="2">
        <v>524932331</v>
      </c>
      <c r="G716" s="2">
        <v>134284019</v>
      </c>
      <c r="H716" t="s">
        <v>28</v>
      </c>
      <c r="I716" t="s">
        <v>17</v>
      </c>
      <c r="J716" t="s">
        <v>25</v>
      </c>
    </row>
    <row r="717" spans="1:11" x14ac:dyDescent="0.2">
      <c r="A717" t="s">
        <v>2743</v>
      </c>
      <c r="B717" t="s">
        <v>2744</v>
      </c>
      <c r="C717" t="s">
        <v>2745</v>
      </c>
      <c r="F717" s="2">
        <v>524122879</v>
      </c>
      <c r="G717" s="2">
        <v>131413603</v>
      </c>
      <c r="H717" t="s">
        <v>255</v>
      </c>
      <c r="I717" t="s">
        <v>17</v>
      </c>
      <c r="J717" t="s">
        <v>25</v>
      </c>
    </row>
    <row r="718" spans="1:11" x14ac:dyDescent="0.2">
      <c r="A718" t="s">
        <v>2746</v>
      </c>
      <c r="C718" t="s">
        <v>2747</v>
      </c>
      <c r="D718" t="s">
        <v>2748</v>
      </c>
      <c r="E718" t="s">
        <v>2749</v>
      </c>
      <c r="F718" s="2">
        <v>524050906</v>
      </c>
      <c r="G718" s="2">
        <v>131408531</v>
      </c>
      <c r="H718" t="s">
        <v>24</v>
      </c>
      <c r="I718" t="s">
        <v>17</v>
      </c>
      <c r="J718" t="s">
        <v>25</v>
      </c>
    </row>
    <row r="719" spans="1:11" x14ac:dyDescent="0.2">
      <c r="A719" t="s">
        <v>2750</v>
      </c>
      <c r="B719" t="s">
        <v>2751</v>
      </c>
      <c r="E719" t="s">
        <v>2752</v>
      </c>
      <c r="F719" s="2">
        <v>524196696</v>
      </c>
      <c r="G719" s="2">
        <v>134934625</v>
      </c>
      <c r="H719" t="s">
        <v>34</v>
      </c>
      <c r="I719" t="s">
        <v>17</v>
      </c>
      <c r="J719" t="s">
        <v>25</v>
      </c>
    </row>
    <row r="720" spans="1:11" x14ac:dyDescent="0.2">
      <c r="A720" t="s">
        <v>2753</v>
      </c>
      <c r="F720" s="2">
        <v>524909168</v>
      </c>
      <c r="G720" s="2">
        <v>133271882</v>
      </c>
      <c r="H720" t="s">
        <v>28</v>
      </c>
      <c r="I720" t="s">
        <v>17</v>
      </c>
      <c r="J720" t="s">
        <v>25</v>
      </c>
    </row>
    <row r="721" spans="1:11" x14ac:dyDescent="0.2">
      <c r="A721" t="s">
        <v>2754</v>
      </c>
      <c r="B721" t="s">
        <v>2755</v>
      </c>
      <c r="C721" t="s">
        <v>2756</v>
      </c>
      <c r="D721" t="s">
        <v>2757</v>
      </c>
      <c r="E721">
        <v>493086319901</v>
      </c>
      <c r="F721" s="2">
        <v>524866669</v>
      </c>
      <c r="G721" s="2">
        <v>13323129</v>
      </c>
      <c r="H721" t="s">
        <v>24</v>
      </c>
      <c r="I721" t="s">
        <v>17</v>
      </c>
      <c r="J721" t="s">
        <v>25</v>
      </c>
    </row>
    <row r="722" spans="1:11" x14ac:dyDescent="0.2">
      <c r="A722" t="s">
        <v>2758</v>
      </c>
      <c r="B722" t="s">
        <v>2759</v>
      </c>
      <c r="C722" t="s">
        <v>2760</v>
      </c>
      <c r="E722" t="s">
        <v>2761</v>
      </c>
      <c r="F722" s="2">
        <v>524941864</v>
      </c>
      <c r="G722" s="2">
        <v>13331275</v>
      </c>
      <c r="H722" t="s">
        <v>277</v>
      </c>
      <c r="I722" t="s">
        <v>17</v>
      </c>
      <c r="J722" t="s">
        <v>25</v>
      </c>
      <c r="K722" t="s">
        <v>2762</v>
      </c>
    </row>
    <row r="723" spans="1:11" x14ac:dyDescent="0.2">
      <c r="A723" t="s">
        <v>2763</v>
      </c>
      <c r="F723" s="2">
        <v>5249149</v>
      </c>
      <c r="G723" s="2">
        <v>133271303</v>
      </c>
      <c r="H723" t="s">
        <v>28</v>
      </c>
      <c r="I723" t="s">
        <v>17</v>
      </c>
      <c r="J723" t="s">
        <v>25</v>
      </c>
    </row>
    <row r="724" spans="1:11" x14ac:dyDescent="0.2">
      <c r="A724" t="s">
        <v>2764</v>
      </c>
      <c r="B724" t="s">
        <v>2765</v>
      </c>
      <c r="C724" t="s">
        <v>2766</v>
      </c>
      <c r="D724" t="s">
        <v>2767</v>
      </c>
      <c r="E724" t="s">
        <v>2768</v>
      </c>
      <c r="F724" s="2">
        <v>525310608</v>
      </c>
      <c r="G724" s="2">
        <v>133469103</v>
      </c>
      <c r="H724" t="s">
        <v>24</v>
      </c>
      <c r="I724" t="s">
        <v>17</v>
      </c>
      <c r="J724" t="s">
        <v>25</v>
      </c>
    </row>
    <row r="725" spans="1:11" x14ac:dyDescent="0.2">
      <c r="A725" t="s">
        <v>2769</v>
      </c>
      <c r="B725" t="s">
        <v>2770</v>
      </c>
      <c r="C725" t="s">
        <v>2771</v>
      </c>
      <c r="E725" t="s">
        <v>2772</v>
      </c>
      <c r="F725" s="2">
        <v>524620066</v>
      </c>
      <c r="G725" s="2">
        <v>133187993</v>
      </c>
      <c r="H725" t="s">
        <v>277</v>
      </c>
      <c r="I725" t="s">
        <v>17</v>
      </c>
      <c r="J725" t="s">
        <v>25</v>
      </c>
      <c r="K725" t="s">
        <v>2773</v>
      </c>
    </row>
    <row r="726" spans="1:11" x14ac:dyDescent="0.2">
      <c r="A726" t="s">
        <v>2774</v>
      </c>
      <c r="B726" t="s">
        <v>2775</v>
      </c>
      <c r="F726" s="2">
        <v>52459232</v>
      </c>
      <c r="G726" s="2">
        <v>1331951</v>
      </c>
      <c r="H726" t="s">
        <v>28</v>
      </c>
      <c r="I726" t="s">
        <v>17</v>
      </c>
      <c r="J726" t="s">
        <v>25</v>
      </c>
    </row>
    <row r="727" spans="1:11" x14ac:dyDescent="0.2">
      <c r="A727" t="s">
        <v>2776</v>
      </c>
      <c r="B727" t="s">
        <v>2777</v>
      </c>
      <c r="C727" t="s">
        <v>2778</v>
      </c>
      <c r="F727" s="2">
        <v>525505219</v>
      </c>
      <c r="G727" s="2">
        <v>133789659</v>
      </c>
      <c r="H727" t="s">
        <v>255</v>
      </c>
      <c r="I727" t="s">
        <v>17</v>
      </c>
      <c r="J727" t="s">
        <v>25</v>
      </c>
    </row>
    <row r="728" spans="1:11" x14ac:dyDescent="0.2">
      <c r="A728" t="s">
        <v>2779</v>
      </c>
      <c r="F728" s="2">
        <v>525286936</v>
      </c>
      <c r="G728" s="2">
        <v>133779214</v>
      </c>
      <c r="H728" t="s">
        <v>28</v>
      </c>
      <c r="I728" t="s">
        <v>17</v>
      </c>
      <c r="J728" t="s">
        <v>25</v>
      </c>
    </row>
    <row r="729" spans="1:11" x14ac:dyDescent="0.2">
      <c r="A729" t="s">
        <v>2780</v>
      </c>
      <c r="B729" t="s">
        <v>2781</v>
      </c>
      <c r="F729" s="2">
        <v>525233511</v>
      </c>
      <c r="G729" s="2">
        <v>133793298</v>
      </c>
      <c r="H729" t="s">
        <v>28</v>
      </c>
      <c r="I729" t="s">
        <v>17</v>
      </c>
      <c r="J729" t="s">
        <v>25</v>
      </c>
    </row>
    <row r="730" spans="1:11" x14ac:dyDescent="0.2">
      <c r="A730" t="s">
        <v>2782</v>
      </c>
      <c r="B730" t="s">
        <v>2783</v>
      </c>
      <c r="C730" t="s">
        <v>2784</v>
      </c>
      <c r="D730" t="s">
        <v>2785</v>
      </c>
      <c r="E730" t="s">
        <v>2786</v>
      </c>
      <c r="F730" s="2">
        <v>525038667</v>
      </c>
      <c r="G730" s="2">
        <v>132920994</v>
      </c>
      <c r="H730" t="s">
        <v>24</v>
      </c>
      <c r="I730" t="s">
        <v>17</v>
      </c>
      <c r="J730" t="s">
        <v>25</v>
      </c>
    </row>
    <row r="731" spans="1:11" x14ac:dyDescent="0.2">
      <c r="A731" t="s">
        <v>2787</v>
      </c>
      <c r="F731" s="2">
        <v>5248734</v>
      </c>
      <c r="G731" s="2">
        <v>1332288</v>
      </c>
      <c r="H731" t="s">
        <v>28</v>
      </c>
      <c r="I731" t="s">
        <v>17</v>
      </c>
      <c r="J731" t="s">
        <v>25</v>
      </c>
    </row>
    <row r="732" spans="1:11" x14ac:dyDescent="0.2">
      <c r="A732" t="s">
        <v>2788</v>
      </c>
      <c r="B732" t="s">
        <v>2789</v>
      </c>
      <c r="E732" t="s">
        <v>2790</v>
      </c>
      <c r="F732" s="2">
        <v>524641129</v>
      </c>
      <c r="G732" s="2">
        <v>132966929</v>
      </c>
      <c r="H732" t="s">
        <v>34</v>
      </c>
      <c r="I732" t="s">
        <v>17</v>
      </c>
      <c r="J732" t="s">
        <v>25</v>
      </c>
    </row>
    <row r="733" spans="1:11" x14ac:dyDescent="0.2">
      <c r="A733" t="s">
        <v>2791</v>
      </c>
      <c r="B733" t="s">
        <v>2792</v>
      </c>
      <c r="C733" t="s">
        <v>2793</v>
      </c>
      <c r="D733" t="s">
        <v>2794</v>
      </c>
      <c r="E733" t="s">
        <v>2795</v>
      </c>
      <c r="F733" s="2">
        <v>524729458</v>
      </c>
      <c r="G733" s="2">
        <v>132990233</v>
      </c>
      <c r="H733" t="s">
        <v>24</v>
      </c>
      <c r="I733" t="s">
        <v>17</v>
      </c>
      <c r="J733" t="s">
        <v>25</v>
      </c>
    </row>
    <row r="734" spans="1:11" x14ac:dyDescent="0.2">
      <c r="A734" t="s">
        <v>2796</v>
      </c>
      <c r="B734" t="s">
        <v>2797</v>
      </c>
      <c r="F734" s="2">
        <v>525033007</v>
      </c>
      <c r="G734" s="2">
        <v>1331565</v>
      </c>
      <c r="H734" t="s">
        <v>28</v>
      </c>
      <c r="I734" t="s">
        <v>17</v>
      </c>
      <c r="J734" t="s">
        <v>25</v>
      </c>
    </row>
    <row r="735" spans="1:11" x14ac:dyDescent="0.2">
      <c r="A735" t="s">
        <v>2798</v>
      </c>
      <c r="B735" t="s">
        <v>2799</v>
      </c>
      <c r="C735" t="s">
        <v>2800</v>
      </c>
      <c r="D735" t="s">
        <v>2801</v>
      </c>
      <c r="E735" t="s">
        <v>2802</v>
      </c>
      <c r="F735" s="2">
        <v>525032305</v>
      </c>
      <c r="G735" s="2">
        <v>133168135</v>
      </c>
      <c r="H735" t="s">
        <v>51</v>
      </c>
      <c r="I735" t="s">
        <v>17</v>
      </c>
      <c r="J735" t="s">
        <v>25</v>
      </c>
      <c r="K735" t="s">
        <v>2803</v>
      </c>
    </row>
    <row r="736" spans="1:11" x14ac:dyDescent="0.2">
      <c r="A736" t="s">
        <v>2804</v>
      </c>
      <c r="B736" t="s">
        <v>2805</v>
      </c>
      <c r="C736" t="s">
        <v>2806</v>
      </c>
      <c r="D736" t="s">
        <v>2807</v>
      </c>
      <c r="E736" t="s">
        <v>2808</v>
      </c>
      <c r="F736" s="2">
        <v>525107741</v>
      </c>
      <c r="G736" s="2">
        <v>133139715</v>
      </c>
      <c r="H736" t="s">
        <v>24</v>
      </c>
      <c r="I736" t="s">
        <v>17</v>
      </c>
      <c r="J736" t="s">
        <v>25</v>
      </c>
    </row>
    <row r="737" spans="1:11" x14ac:dyDescent="0.2">
      <c r="A737" t="s">
        <v>2809</v>
      </c>
      <c r="B737" t="s">
        <v>2810</v>
      </c>
      <c r="F737" s="2">
        <v>525100812</v>
      </c>
      <c r="G737" s="2">
        <v>132977492</v>
      </c>
      <c r="H737" t="s">
        <v>28</v>
      </c>
      <c r="I737" t="s">
        <v>17</v>
      </c>
      <c r="J737" t="s">
        <v>25</v>
      </c>
    </row>
    <row r="738" spans="1:11" x14ac:dyDescent="0.2">
      <c r="A738" t="s">
        <v>2811</v>
      </c>
      <c r="B738" t="s">
        <v>2812</v>
      </c>
      <c r="C738" t="s">
        <v>2813</v>
      </c>
      <c r="F738" s="2">
        <v>525042445</v>
      </c>
      <c r="G738" s="2">
        <v>132947425</v>
      </c>
      <c r="H738" t="s">
        <v>277</v>
      </c>
      <c r="I738" t="s">
        <v>17</v>
      </c>
      <c r="J738" t="s">
        <v>25</v>
      </c>
      <c r="K738" t="s">
        <v>2814</v>
      </c>
    </row>
    <row r="739" spans="1:11" x14ac:dyDescent="0.2">
      <c r="A739" t="s">
        <v>2815</v>
      </c>
      <c r="B739" t="s">
        <v>2816</v>
      </c>
      <c r="E739" t="s">
        <v>2817</v>
      </c>
      <c r="F739" s="2">
        <v>525080578</v>
      </c>
      <c r="G739" s="2">
        <v>133144157</v>
      </c>
      <c r="H739" t="s">
        <v>34</v>
      </c>
      <c r="I739" t="s">
        <v>17</v>
      </c>
      <c r="J739" t="s">
        <v>25</v>
      </c>
    </row>
    <row r="740" spans="1:11" x14ac:dyDescent="0.2">
      <c r="A740" t="s">
        <v>2818</v>
      </c>
      <c r="B740" t="s">
        <v>2819</v>
      </c>
      <c r="C740" t="s">
        <v>2820</v>
      </c>
      <c r="D740" t="s">
        <v>2821</v>
      </c>
      <c r="E740" t="s">
        <v>2822</v>
      </c>
      <c r="F740" s="2">
        <v>525069253</v>
      </c>
      <c r="G740" s="2">
        <v>132915418</v>
      </c>
      <c r="H740" t="s">
        <v>51</v>
      </c>
      <c r="I740" t="s">
        <v>17</v>
      </c>
      <c r="J740" t="s">
        <v>25</v>
      </c>
      <c r="K740" t="s">
        <v>2823</v>
      </c>
    </row>
    <row r="741" spans="1:11" x14ac:dyDescent="0.2">
      <c r="A741" t="s">
        <v>2824</v>
      </c>
      <c r="B741" t="s">
        <v>2825</v>
      </c>
      <c r="F741" s="2">
        <v>52507029</v>
      </c>
      <c r="G741" s="2">
        <v>133142539</v>
      </c>
      <c r="H741" t="s">
        <v>28</v>
      </c>
      <c r="I741" t="s">
        <v>17</v>
      </c>
      <c r="J741" t="s">
        <v>25</v>
      </c>
    </row>
    <row r="742" spans="1:11" x14ac:dyDescent="0.2">
      <c r="A742" t="s">
        <v>2826</v>
      </c>
      <c r="B742" t="s">
        <v>2827</v>
      </c>
      <c r="F742" s="2">
        <v>525001155</v>
      </c>
      <c r="G742" s="2">
        <v>133013417</v>
      </c>
      <c r="H742" t="s">
        <v>28</v>
      </c>
      <c r="I742" t="s">
        <v>17</v>
      </c>
      <c r="J742" t="s">
        <v>25</v>
      </c>
    </row>
    <row r="743" spans="1:11" x14ac:dyDescent="0.2">
      <c r="A743" t="s">
        <v>2828</v>
      </c>
      <c r="B743" t="s">
        <v>2829</v>
      </c>
      <c r="C743" t="s">
        <v>2830</v>
      </c>
      <c r="F743" s="2">
        <v>525057312</v>
      </c>
      <c r="G743" s="2">
        <v>132920058</v>
      </c>
      <c r="H743" t="s">
        <v>255</v>
      </c>
      <c r="I743" t="s">
        <v>17</v>
      </c>
      <c r="J743" t="s">
        <v>25</v>
      </c>
    </row>
    <row r="744" spans="1:11" x14ac:dyDescent="0.2">
      <c r="A744" t="s">
        <v>2831</v>
      </c>
      <c r="B744" t="s">
        <v>2832</v>
      </c>
      <c r="F744" s="2">
        <v>525062211</v>
      </c>
      <c r="G744" s="2">
        <v>13294257</v>
      </c>
      <c r="H744" t="s">
        <v>28</v>
      </c>
      <c r="I744" t="s">
        <v>17</v>
      </c>
      <c r="J744" t="s">
        <v>25</v>
      </c>
    </row>
    <row r="745" spans="1:11" x14ac:dyDescent="0.2">
      <c r="A745" t="s">
        <v>2833</v>
      </c>
      <c r="B745" t="s">
        <v>2834</v>
      </c>
      <c r="C745" t="s">
        <v>2835</v>
      </c>
      <c r="E745" t="s">
        <v>2836</v>
      </c>
      <c r="F745" s="2">
        <v>525006731</v>
      </c>
      <c r="G745" s="2">
        <v>132963304</v>
      </c>
      <c r="H745" t="s">
        <v>38</v>
      </c>
      <c r="I745" t="s">
        <v>17</v>
      </c>
      <c r="J745" t="s">
        <v>25</v>
      </c>
    </row>
    <row r="746" spans="1:11" x14ac:dyDescent="0.2">
      <c r="A746" t="s">
        <v>2837</v>
      </c>
      <c r="B746" t="s">
        <v>2838</v>
      </c>
      <c r="C746" t="s">
        <v>2839</v>
      </c>
      <c r="E746" t="s">
        <v>2840</v>
      </c>
      <c r="F746" s="2">
        <v>52516232</v>
      </c>
      <c r="G746" s="2">
        <v>132545284</v>
      </c>
      <c r="H746" t="s">
        <v>277</v>
      </c>
      <c r="I746" t="s">
        <v>17</v>
      </c>
      <c r="J746" t="s">
        <v>25</v>
      </c>
      <c r="K746" t="s">
        <v>2841</v>
      </c>
    </row>
    <row r="747" spans="1:11" x14ac:dyDescent="0.2">
      <c r="A747" t="s">
        <v>2842</v>
      </c>
      <c r="B747" t="s">
        <v>2843</v>
      </c>
      <c r="F747" s="2">
        <v>525002493</v>
      </c>
      <c r="G747" s="2">
        <v>133009439</v>
      </c>
      <c r="H747" t="s">
        <v>28</v>
      </c>
      <c r="I747" t="s">
        <v>17</v>
      </c>
      <c r="J747" t="s">
        <v>25</v>
      </c>
    </row>
    <row r="748" spans="1:11" x14ac:dyDescent="0.2">
      <c r="A748" t="s">
        <v>2844</v>
      </c>
      <c r="B748" t="s">
        <v>2845</v>
      </c>
      <c r="C748" t="s">
        <v>2846</v>
      </c>
      <c r="E748" t="s">
        <v>2847</v>
      </c>
      <c r="F748" s="2">
        <v>524724946</v>
      </c>
      <c r="G748" s="2">
        <v>133147144</v>
      </c>
      <c r="H748" t="s">
        <v>277</v>
      </c>
      <c r="I748" t="s">
        <v>17</v>
      </c>
      <c r="J748" t="s">
        <v>25</v>
      </c>
      <c r="K748" t="s">
        <v>2848</v>
      </c>
    </row>
    <row r="749" spans="1:11" x14ac:dyDescent="0.2">
      <c r="A749" t="s">
        <v>2849</v>
      </c>
      <c r="B749" t="s">
        <v>2850</v>
      </c>
      <c r="C749" t="s">
        <v>2851</v>
      </c>
      <c r="D749" t="s">
        <v>2852</v>
      </c>
      <c r="E749" t="s">
        <v>2853</v>
      </c>
      <c r="F749" s="2">
        <v>525166214</v>
      </c>
      <c r="G749" s="2">
        <v>132957794</v>
      </c>
      <c r="H749" t="s">
        <v>24</v>
      </c>
      <c r="I749" t="s">
        <v>17</v>
      </c>
      <c r="J749" t="s">
        <v>25</v>
      </c>
    </row>
    <row r="750" spans="1:11" x14ac:dyDescent="0.2">
      <c r="A750" t="s">
        <v>2854</v>
      </c>
      <c r="B750" t="s">
        <v>2855</v>
      </c>
      <c r="C750" t="s">
        <v>2856</v>
      </c>
      <c r="D750" t="s">
        <v>2857</v>
      </c>
      <c r="E750" t="s">
        <v>2858</v>
      </c>
      <c r="F750" s="2">
        <v>525175422</v>
      </c>
      <c r="G750" s="2">
        <v>132968392</v>
      </c>
      <c r="H750" t="s">
        <v>51</v>
      </c>
      <c r="I750" t="s">
        <v>17</v>
      </c>
      <c r="J750" t="s">
        <v>25</v>
      </c>
      <c r="K750" t="s">
        <v>2859</v>
      </c>
    </row>
    <row r="751" spans="1:11" x14ac:dyDescent="0.2">
      <c r="A751" t="s">
        <v>2860</v>
      </c>
      <c r="B751" t="s">
        <v>2861</v>
      </c>
      <c r="F751" s="2">
        <v>525133112</v>
      </c>
      <c r="G751" s="2">
        <v>132979225</v>
      </c>
      <c r="H751" t="s">
        <v>28</v>
      </c>
      <c r="I751" t="s">
        <v>17</v>
      </c>
      <c r="J751" t="s">
        <v>25</v>
      </c>
    </row>
    <row r="752" spans="1:11" x14ac:dyDescent="0.2">
      <c r="A752" t="s">
        <v>2862</v>
      </c>
      <c r="B752" t="s">
        <v>2863</v>
      </c>
      <c r="C752" t="s">
        <v>2864</v>
      </c>
      <c r="D752" t="s">
        <v>2865</v>
      </c>
      <c r="E752" t="s">
        <v>2866</v>
      </c>
      <c r="F752" s="2">
        <v>52472986</v>
      </c>
      <c r="G752" s="2">
        <v>133139512</v>
      </c>
      <c r="H752" t="s">
        <v>51</v>
      </c>
      <c r="I752" t="s">
        <v>17</v>
      </c>
      <c r="J752" t="s">
        <v>25</v>
      </c>
      <c r="K752" t="s">
        <v>2867</v>
      </c>
    </row>
    <row r="753" spans="1:11" x14ac:dyDescent="0.2">
      <c r="A753" t="s">
        <v>2868</v>
      </c>
      <c r="B753" t="s">
        <v>2869</v>
      </c>
      <c r="C753" t="s">
        <v>2870</v>
      </c>
      <c r="D753" t="s">
        <v>2871</v>
      </c>
      <c r="E753" t="s">
        <v>2872</v>
      </c>
      <c r="F753" s="2">
        <v>524542416</v>
      </c>
      <c r="G753" s="2">
        <v>133174048</v>
      </c>
      <c r="H753" t="s">
        <v>24</v>
      </c>
      <c r="I753" t="s">
        <v>17</v>
      </c>
      <c r="J753" t="s">
        <v>25</v>
      </c>
    </row>
    <row r="754" spans="1:11" x14ac:dyDescent="0.2">
      <c r="A754" t="s">
        <v>2873</v>
      </c>
      <c r="B754" t="s">
        <v>2874</v>
      </c>
      <c r="C754" t="s">
        <v>2875</v>
      </c>
      <c r="E754">
        <v>49308514383</v>
      </c>
      <c r="F754" s="2">
        <v>524683534</v>
      </c>
      <c r="G754" s="2">
        <v>133322792</v>
      </c>
      <c r="H754" t="s">
        <v>38</v>
      </c>
      <c r="I754" t="s">
        <v>17</v>
      </c>
      <c r="J754" t="s">
        <v>25</v>
      </c>
    </row>
    <row r="755" spans="1:11" x14ac:dyDescent="0.2">
      <c r="A755" t="s">
        <v>2876</v>
      </c>
      <c r="B755" t="s">
        <v>2877</v>
      </c>
      <c r="C755" t="s">
        <v>2878</v>
      </c>
      <c r="E755" t="s">
        <v>2879</v>
      </c>
      <c r="F755" s="2">
        <v>524802274</v>
      </c>
      <c r="G755" s="2">
        <v>135247813</v>
      </c>
      <c r="H755" t="s">
        <v>277</v>
      </c>
      <c r="I755" t="s">
        <v>17</v>
      </c>
      <c r="J755" t="s">
        <v>25</v>
      </c>
      <c r="K755" t="s">
        <v>2880</v>
      </c>
    </row>
    <row r="756" spans="1:11" x14ac:dyDescent="0.2">
      <c r="A756" t="s">
        <v>2881</v>
      </c>
      <c r="B756" t="s">
        <v>2882</v>
      </c>
      <c r="C756" t="s">
        <v>2883</v>
      </c>
      <c r="E756" t="s">
        <v>2884</v>
      </c>
      <c r="F756" s="2">
        <v>5251063</v>
      </c>
      <c r="G756" s="2">
        <v>1345631</v>
      </c>
      <c r="H756" t="s">
        <v>38</v>
      </c>
      <c r="I756" t="s">
        <v>17</v>
      </c>
      <c r="J756" t="s">
        <v>25</v>
      </c>
    </row>
    <row r="757" spans="1:11" x14ac:dyDescent="0.2">
      <c r="A757" t="s">
        <v>2885</v>
      </c>
      <c r="F757" s="2">
        <v>525259429</v>
      </c>
      <c r="G757" s="2">
        <v>135299372</v>
      </c>
      <c r="H757" t="s">
        <v>28</v>
      </c>
      <c r="I757" t="s">
        <v>17</v>
      </c>
      <c r="J757" t="s">
        <v>25</v>
      </c>
    </row>
    <row r="758" spans="1:11" x14ac:dyDescent="0.2">
      <c r="A758" t="s">
        <v>2886</v>
      </c>
      <c r="B758" t="s">
        <v>2887</v>
      </c>
      <c r="F758" s="2">
        <v>525468823</v>
      </c>
      <c r="G758" s="2">
        <v>134061075</v>
      </c>
      <c r="H758" t="s">
        <v>28</v>
      </c>
      <c r="I758" t="s">
        <v>17</v>
      </c>
      <c r="J758" t="s">
        <v>25</v>
      </c>
    </row>
    <row r="759" spans="1:11" x14ac:dyDescent="0.2">
      <c r="A759" t="s">
        <v>2888</v>
      </c>
      <c r="B759" t="s">
        <v>2889</v>
      </c>
      <c r="F759" s="2">
        <v>52517248</v>
      </c>
      <c r="G759" s="2">
        <v>133054159</v>
      </c>
      <c r="H759" t="s">
        <v>28</v>
      </c>
      <c r="I759" t="s">
        <v>17</v>
      </c>
      <c r="J759" t="s">
        <v>25</v>
      </c>
    </row>
    <row r="760" spans="1:11" x14ac:dyDescent="0.2">
      <c r="A760" t="s">
        <v>2890</v>
      </c>
      <c r="B760" t="s">
        <v>2891</v>
      </c>
      <c r="C760" t="s">
        <v>2892</v>
      </c>
      <c r="E760" t="s">
        <v>2893</v>
      </c>
      <c r="F760" s="2">
        <v>525423372</v>
      </c>
      <c r="G760" s="2">
        <v>13370132</v>
      </c>
      <c r="H760" t="s">
        <v>38</v>
      </c>
      <c r="I760" t="s">
        <v>17</v>
      </c>
      <c r="J760" t="s">
        <v>25</v>
      </c>
    </row>
    <row r="761" spans="1:11" x14ac:dyDescent="0.2">
      <c r="A761" t="s">
        <v>2894</v>
      </c>
      <c r="B761" t="s">
        <v>2895</v>
      </c>
      <c r="C761" t="s">
        <v>2896</v>
      </c>
      <c r="E761" t="s">
        <v>2897</v>
      </c>
      <c r="F761" s="2">
        <v>525213708</v>
      </c>
      <c r="G761" s="2">
        <v>133381763</v>
      </c>
      <c r="H761" t="s">
        <v>277</v>
      </c>
      <c r="I761" t="s">
        <v>17</v>
      </c>
      <c r="J761" t="s">
        <v>25</v>
      </c>
      <c r="K761" t="s">
        <v>2898</v>
      </c>
    </row>
    <row r="762" spans="1:11" x14ac:dyDescent="0.2">
      <c r="A762" t="s">
        <v>2899</v>
      </c>
      <c r="B762" t="s">
        <v>2900</v>
      </c>
      <c r="C762" t="s">
        <v>2901</v>
      </c>
      <c r="D762" t="s">
        <v>2902</v>
      </c>
      <c r="E762" t="s">
        <v>2903</v>
      </c>
      <c r="F762" s="2">
        <v>525274064</v>
      </c>
      <c r="G762" s="2">
        <v>133513531</v>
      </c>
      <c r="H762" t="s">
        <v>24</v>
      </c>
      <c r="I762" t="s">
        <v>17</v>
      </c>
      <c r="J762" t="s">
        <v>25</v>
      </c>
    </row>
    <row r="763" spans="1:11" x14ac:dyDescent="0.2">
      <c r="A763" t="s">
        <v>2904</v>
      </c>
      <c r="B763" t="s">
        <v>2905</v>
      </c>
      <c r="C763" t="s">
        <v>2906</v>
      </c>
      <c r="D763" t="s">
        <v>2907</v>
      </c>
      <c r="E763" t="s">
        <v>2908</v>
      </c>
      <c r="F763" s="2">
        <v>525753012</v>
      </c>
      <c r="G763" s="2">
        <v>133148008</v>
      </c>
      <c r="H763" t="s">
        <v>16</v>
      </c>
      <c r="I763" t="s">
        <v>17</v>
      </c>
      <c r="J763" t="s">
        <v>25</v>
      </c>
    </row>
    <row r="764" spans="1:11" x14ac:dyDescent="0.2">
      <c r="A764" t="s">
        <v>2909</v>
      </c>
      <c r="B764" t="s">
        <v>2910</v>
      </c>
      <c r="C764" t="s">
        <v>2911</v>
      </c>
      <c r="D764" t="s">
        <v>2912</v>
      </c>
      <c r="E764" t="s">
        <v>2913</v>
      </c>
      <c r="F764" s="2">
        <v>524451591</v>
      </c>
      <c r="G764" s="2">
        <v>135743539</v>
      </c>
      <c r="H764" t="s">
        <v>24</v>
      </c>
      <c r="I764" t="s">
        <v>17</v>
      </c>
      <c r="J764" t="s">
        <v>25</v>
      </c>
    </row>
    <row r="765" spans="1:11" x14ac:dyDescent="0.2">
      <c r="A765" t="s">
        <v>2914</v>
      </c>
      <c r="B765" t="s">
        <v>2915</v>
      </c>
      <c r="E765">
        <v>493043735761</v>
      </c>
      <c r="F765" s="2">
        <v>525468669</v>
      </c>
      <c r="G765" s="2">
        <v>134059515</v>
      </c>
      <c r="H765" t="s">
        <v>34</v>
      </c>
      <c r="I765" t="s">
        <v>17</v>
      </c>
      <c r="J765" t="s">
        <v>25</v>
      </c>
    </row>
    <row r="766" spans="1:11" x14ac:dyDescent="0.2">
      <c r="A766" t="s">
        <v>2916</v>
      </c>
      <c r="B766" t="s">
        <v>2917</v>
      </c>
      <c r="E766" t="s">
        <v>2918</v>
      </c>
      <c r="F766" s="2">
        <v>525532013</v>
      </c>
      <c r="G766" s="2">
        <v>134161771</v>
      </c>
      <c r="H766" t="s">
        <v>34</v>
      </c>
      <c r="I766" t="s">
        <v>17</v>
      </c>
      <c r="J766" t="s">
        <v>25</v>
      </c>
    </row>
    <row r="767" spans="1:11" x14ac:dyDescent="0.2">
      <c r="A767" t="s">
        <v>2919</v>
      </c>
      <c r="B767" t="s">
        <v>2920</v>
      </c>
      <c r="C767" t="s">
        <v>2921</v>
      </c>
      <c r="E767" t="s">
        <v>2922</v>
      </c>
      <c r="F767" s="2">
        <v>525046892</v>
      </c>
      <c r="G767" s="2">
        <v>134686152</v>
      </c>
      <c r="H767" t="s">
        <v>38</v>
      </c>
      <c r="I767" t="s">
        <v>17</v>
      </c>
      <c r="J767" t="s">
        <v>25</v>
      </c>
    </row>
    <row r="768" spans="1:11" x14ac:dyDescent="0.2">
      <c r="A768" t="s">
        <v>2923</v>
      </c>
      <c r="F768" s="2">
        <v>523759416</v>
      </c>
      <c r="G768" s="2">
        <v>136488756</v>
      </c>
      <c r="H768" t="s">
        <v>28</v>
      </c>
      <c r="I768" t="s">
        <v>17</v>
      </c>
      <c r="J768" t="s">
        <v>25</v>
      </c>
    </row>
    <row r="769" spans="1:11" x14ac:dyDescent="0.2">
      <c r="A769" t="s">
        <v>2924</v>
      </c>
      <c r="F769" s="2">
        <v>523762234</v>
      </c>
      <c r="G769" s="2">
        <v>136484918</v>
      </c>
      <c r="H769" t="s">
        <v>28</v>
      </c>
      <c r="I769" t="s">
        <v>17</v>
      </c>
      <c r="J769" t="s">
        <v>25</v>
      </c>
    </row>
    <row r="770" spans="1:11" x14ac:dyDescent="0.2">
      <c r="A770" t="s">
        <v>2925</v>
      </c>
      <c r="B770" t="s">
        <v>2926</v>
      </c>
      <c r="C770" t="s">
        <v>2927</v>
      </c>
      <c r="E770" t="s">
        <v>2928</v>
      </c>
      <c r="F770" s="2">
        <v>523685839</v>
      </c>
      <c r="G770" s="2">
        <v>136858635</v>
      </c>
      <c r="H770" t="s">
        <v>38</v>
      </c>
      <c r="I770" t="s">
        <v>17</v>
      </c>
      <c r="J770" t="s">
        <v>25</v>
      </c>
    </row>
    <row r="771" spans="1:11" x14ac:dyDescent="0.2">
      <c r="A771" t="s">
        <v>2929</v>
      </c>
      <c r="B771" t="s">
        <v>2930</v>
      </c>
      <c r="C771" t="s">
        <v>2931</v>
      </c>
      <c r="E771" t="s">
        <v>2932</v>
      </c>
      <c r="F771" s="2">
        <v>525114214</v>
      </c>
      <c r="G771" s="2">
        <v>133912474</v>
      </c>
      <c r="H771" t="s">
        <v>38</v>
      </c>
      <c r="I771" t="s">
        <v>17</v>
      </c>
      <c r="J771" t="s">
        <v>25</v>
      </c>
    </row>
    <row r="772" spans="1:11" x14ac:dyDescent="0.2">
      <c r="A772" t="s">
        <v>2933</v>
      </c>
      <c r="B772" t="s">
        <v>2934</v>
      </c>
      <c r="C772" t="s">
        <v>2935</v>
      </c>
      <c r="E772" t="s">
        <v>2936</v>
      </c>
      <c r="F772" s="2">
        <v>525205374</v>
      </c>
      <c r="G772" s="2">
        <v>132648941</v>
      </c>
      <c r="H772" t="s">
        <v>38</v>
      </c>
      <c r="I772" t="s">
        <v>17</v>
      </c>
      <c r="J772" t="s">
        <v>25</v>
      </c>
    </row>
    <row r="773" spans="1:11" x14ac:dyDescent="0.2">
      <c r="A773" t="s">
        <v>2937</v>
      </c>
      <c r="B773" t="s">
        <v>2938</v>
      </c>
      <c r="C773" t="s">
        <v>2939</v>
      </c>
      <c r="D773" t="s">
        <v>2940</v>
      </c>
      <c r="E773" t="s">
        <v>2941</v>
      </c>
      <c r="F773" s="2">
        <v>524901275</v>
      </c>
      <c r="G773" s="2">
        <v>134344382</v>
      </c>
      <c r="H773" t="s">
        <v>51</v>
      </c>
      <c r="I773" t="s">
        <v>17</v>
      </c>
      <c r="J773" t="s">
        <v>25</v>
      </c>
      <c r="K773" t="s">
        <v>2942</v>
      </c>
    </row>
    <row r="774" spans="1:11" x14ac:dyDescent="0.2">
      <c r="A774" t="s">
        <v>2943</v>
      </c>
      <c r="B774" t="s">
        <v>2944</v>
      </c>
      <c r="C774" t="s">
        <v>2945</v>
      </c>
      <c r="D774" t="s">
        <v>2946</v>
      </c>
      <c r="F774" s="2">
        <v>524882367</v>
      </c>
      <c r="G774" s="2">
        <v>134296602</v>
      </c>
      <c r="H774" t="s">
        <v>51</v>
      </c>
      <c r="I774" t="s">
        <v>17</v>
      </c>
      <c r="J774" t="s">
        <v>25</v>
      </c>
      <c r="K774" t="s">
        <v>2947</v>
      </c>
    </row>
    <row r="775" spans="1:11" x14ac:dyDescent="0.2">
      <c r="A775" t="s">
        <v>2948</v>
      </c>
      <c r="B775" t="s">
        <v>2949</v>
      </c>
      <c r="C775" t="s">
        <v>2950</v>
      </c>
      <c r="E775">
        <v>493049088205</v>
      </c>
      <c r="F775" s="2">
        <v>526174602</v>
      </c>
      <c r="G775" s="2">
        <v>133548812</v>
      </c>
      <c r="H775" t="s">
        <v>38</v>
      </c>
      <c r="I775" t="s">
        <v>17</v>
      </c>
      <c r="J775" t="s">
        <v>25</v>
      </c>
    </row>
    <row r="776" spans="1:11" x14ac:dyDescent="0.2">
      <c r="A776" t="s">
        <v>2951</v>
      </c>
      <c r="F776" s="2">
        <v>525325865</v>
      </c>
      <c r="G776" s="2">
        <v>131569461</v>
      </c>
      <c r="H776" t="s">
        <v>28</v>
      </c>
      <c r="I776" t="s">
        <v>17</v>
      </c>
      <c r="J776" t="s">
        <v>25</v>
      </c>
    </row>
    <row r="777" spans="1:11" x14ac:dyDescent="0.2">
      <c r="A777" t="s">
        <v>2952</v>
      </c>
      <c r="B777" t="s">
        <v>2953</v>
      </c>
      <c r="C777" t="s">
        <v>2954</v>
      </c>
      <c r="D777" t="s">
        <v>2955</v>
      </c>
      <c r="E777">
        <v>493044045076</v>
      </c>
      <c r="F777" s="2">
        <v>525841988</v>
      </c>
      <c r="G777" s="2">
        <v>134026157</v>
      </c>
      <c r="H777" t="s">
        <v>16</v>
      </c>
      <c r="I777" t="s">
        <v>17</v>
      </c>
      <c r="J777" t="s">
        <v>25</v>
      </c>
    </row>
    <row r="778" spans="1:11" x14ac:dyDescent="0.2">
      <c r="A778" t="s">
        <v>2956</v>
      </c>
      <c r="B778" t="s">
        <v>2957</v>
      </c>
      <c r="F778" s="2">
        <v>525875245</v>
      </c>
      <c r="G778" s="2">
        <v>134021068</v>
      </c>
      <c r="H778" t="s">
        <v>28</v>
      </c>
      <c r="I778" t="s">
        <v>17</v>
      </c>
      <c r="J778" t="s">
        <v>25</v>
      </c>
    </row>
    <row r="779" spans="1:11" x14ac:dyDescent="0.2">
      <c r="A779" t="s">
        <v>2958</v>
      </c>
      <c r="F779" s="2">
        <v>524751781</v>
      </c>
      <c r="G779" s="2">
        <v>131831636</v>
      </c>
      <c r="H779" t="s">
        <v>28</v>
      </c>
      <c r="I779" t="s">
        <v>17</v>
      </c>
      <c r="J779" t="s">
        <v>25</v>
      </c>
    </row>
    <row r="780" spans="1:11" x14ac:dyDescent="0.2">
      <c r="A780" t="s">
        <v>2959</v>
      </c>
      <c r="B780" t="s">
        <v>2960</v>
      </c>
      <c r="C780" t="s">
        <v>2961</v>
      </c>
      <c r="D780" t="s">
        <v>2962</v>
      </c>
      <c r="E780" t="s">
        <v>2963</v>
      </c>
      <c r="F780" s="2">
        <v>524890372</v>
      </c>
      <c r="G780" s="2">
        <v>131808833</v>
      </c>
      <c r="H780" t="s">
        <v>51</v>
      </c>
      <c r="I780" t="s">
        <v>17</v>
      </c>
      <c r="J780" t="s">
        <v>25</v>
      </c>
      <c r="K780" t="s">
        <v>2964</v>
      </c>
    </row>
    <row r="781" spans="1:11" x14ac:dyDescent="0.2">
      <c r="A781" t="s">
        <v>2965</v>
      </c>
      <c r="B781" t="s">
        <v>2966</v>
      </c>
      <c r="C781" t="s">
        <v>2967</v>
      </c>
      <c r="D781" t="s">
        <v>2968</v>
      </c>
      <c r="E781" t="s">
        <v>2969</v>
      </c>
      <c r="F781" s="2">
        <v>524869931</v>
      </c>
      <c r="G781" s="2">
        <v>131823672</v>
      </c>
      <c r="H781" t="s">
        <v>51</v>
      </c>
      <c r="I781" t="s">
        <v>17</v>
      </c>
      <c r="J781" t="s">
        <v>25</v>
      </c>
      <c r="K781" t="s">
        <v>2970</v>
      </c>
    </row>
    <row r="782" spans="1:11" x14ac:dyDescent="0.2">
      <c r="A782" t="s">
        <v>2971</v>
      </c>
      <c r="B782" t="s">
        <v>2972</v>
      </c>
      <c r="C782" t="s">
        <v>2973</v>
      </c>
      <c r="D782" t="s">
        <v>2974</v>
      </c>
      <c r="E782" t="s">
        <v>2975</v>
      </c>
      <c r="F782" s="2">
        <v>525454568</v>
      </c>
      <c r="G782" s="2">
        <v>134114056</v>
      </c>
      <c r="H782" t="s">
        <v>24</v>
      </c>
      <c r="I782" t="s">
        <v>17</v>
      </c>
      <c r="J782" t="s">
        <v>25</v>
      </c>
    </row>
    <row r="783" spans="1:11" x14ac:dyDescent="0.2">
      <c r="A783" t="s">
        <v>2976</v>
      </c>
      <c r="B783" t="s">
        <v>2977</v>
      </c>
      <c r="C783" t="s">
        <v>2978</v>
      </c>
      <c r="D783" t="s">
        <v>2979</v>
      </c>
      <c r="E783" t="s">
        <v>2980</v>
      </c>
      <c r="F783" s="2">
        <v>525105914</v>
      </c>
      <c r="G783" s="2">
        <v>134575203</v>
      </c>
      <c r="H783" t="s">
        <v>16</v>
      </c>
      <c r="I783" t="s">
        <v>17</v>
      </c>
      <c r="J783" t="s">
        <v>25</v>
      </c>
    </row>
    <row r="784" spans="1:11" x14ac:dyDescent="0.2">
      <c r="A784" t="s">
        <v>2981</v>
      </c>
      <c r="B784" t="s">
        <v>2982</v>
      </c>
      <c r="C784" t="s">
        <v>2983</v>
      </c>
      <c r="E784" t="s">
        <v>2984</v>
      </c>
      <c r="F784" s="2">
        <v>525522252</v>
      </c>
      <c r="G784" s="2">
        <v>133877</v>
      </c>
      <c r="H784" t="s">
        <v>38</v>
      </c>
      <c r="I784" t="s">
        <v>17</v>
      </c>
      <c r="J784" t="s">
        <v>25</v>
      </c>
    </row>
    <row r="785" spans="1:11" x14ac:dyDescent="0.2">
      <c r="A785" t="s">
        <v>2985</v>
      </c>
      <c r="B785" t="s">
        <v>2986</v>
      </c>
      <c r="C785" t="s">
        <v>2987</v>
      </c>
      <c r="E785" t="s">
        <v>2988</v>
      </c>
      <c r="F785" s="2">
        <v>524867956</v>
      </c>
      <c r="G785" s="2">
        <v>133421285</v>
      </c>
      <c r="H785" t="s">
        <v>277</v>
      </c>
      <c r="I785" t="s">
        <v>17</v>
      </c>
      <c r="J785" t="s">
        <v>25</v>
      </c>
      <c r="K785" t="s">
        <v>2989</v>
      </c>
    </row>
    <row r="786" spans="1:11" x14ac:dyDescent="0.2">
      <c r="A786" t="s">
        <v>2990</v>
      </c>
      <c r="B786" t="s">
        <v>2991</v>
      </c>
      <c r="C786" t="s">
        <v>2992</v>
      </c>
      <c r="D786" t="s">
        <v>2993</v>
      </c>
      <c r="E786" t="s">
        <v>2994</v>
      </c>
      <c r="F786" s="2">
        <v>524815261</v>
      </c>
      <c r="G786" s="2">
        <v>133502468</v>
      </c>
      <c r="H786" t="s">
        <v>51</v>
      </c>
      <c r="I786" t="s">
        <v>17</v>
      </c>
      <c r="J786" t="s">
        <v>25</v>
      </c>
      <c r="K786" t="s">
        <v>2995</v>
      </c>
    </row>
    <row r="787" spans="1:11" x14ac:dyDescent="0.2">
      <c r="A787" t="s">
        <v>2996</v>
      </c>
      <c r="B787" t="s">
        <v>2997</v>
      </c>
      <c r="C787" t="s">
        <v>2998</v>
      </c>
      <c r="E787" t="s">
        <v>2999</v>
      </c>
      <c r="F787" s="2">
        <v>524792213</v>
      </c>
      <c r="G787" s="2">
        <v>133498817</v>
      </c>
      <c r="H787" t="s">
        <v>277</v>
      </c>
      <c r="I787" t="s">
        <v>17</v>
      </c>
      <c r="J787" t="s">
        <v>25</v>
      </c>
      <c r="K787" t="s">
        <v>3000</v>
      </c>
    </row>
    <row r="788" spans="1:11" x14ac:dyDescent="0.2">
      <c r="A788" t="s">
        <v>3001</v>
      </c>
      <c r="B788" t="s">
        <v>3002</v>
      </c>
      <c r="E788" t="s">
        <v>3003</v>
      </c>
      <c r="F788" s="2">
        <v>52425883</v>
      </c>
      <c r="G788" s="2">
        <v>134783268</v>
      </c>
      <c r="H788" t="s">
        <v>34</v>
      </c>
      <c r="I788" t="s">
        <v>17</v>
      </c>
      <c r="J788" t="s">
        <v>25</v>
      </c>
    </row>
    <row r="789" spans="1:11" x14ac:dyDescent="0.2">
      <c r="A789" t="s">
        <v>3004</v>
      </c>
      <c r="B789" t="s">
        <v>3005</v>
      </c>
      <c r="F789" s="2">
        <v>524913087</v>
      </c>
      <c r="G789" s="2">
        <v>134127373</v>
      </c>
      <c r="H789" t="s">
        <v>28</v>
      </c>
      <c r="I789" t="s">
        <v>17</v>
      </c>
      <c r="J789" t="s">
        <v>25</v>
      </c>
    </row>
    <row r="790" spans="1:11" x14ac:dyDescent="0.2">
      <c r="A790" t="s">
        <v>3006</v>
      </c>
      <c r="B790" t="s">
        <v>3007</v>
      </c>
      <c r="C790" t="s">
        <v>3008</v>
      </c>
      <c r="F790" s="2">
        <v>524900257</v>
      </c>
      <c r="G790" s="2">
        <v>134085445</v>
      </c>
      <c r="H790" t="s">
        <v>255</v>
      </c>
      <c r="I790" t="s">
        <v>17</v>
      </c>
      <c r="J790" t="s">
        <v>25</v>
      </c>
    </row>
    <row r="791" spans="1:11" x14ac:dyDescent="0.2">
      <c r="A791" t="s">
        <v>3009</v>
      </c>
      <c r="B791" t="s">
        <v>3010</v>
      </c>
      <c r="E791" t="s">
        <v>3011</v>
      </c>
      <c r="F791" s="2">
        <v>524888976</v>
      </c>
      <c r="G791" s="2">
        <v>13411134</v>
      </c>
      <c r="H791" t="s">
        <v>34</v>
      </c>
      <c r="I791" t="s">
        <v>17</v>
      </c>
      <c r="J791" t="s">
        <v>25</v>
      </c>
    </row>
    <row r="792" spans="1:11" x14ac:dyDescent="0.2">
      <c r="A792" t="s">
        <v>3012</v>
      </c>
      <c r="B792" t="s">
        <v>3013</v>
      </c>
      <c r="F792" s="2">
        <v>524357987</v>
      </c>
      <c r="G792" s="2">
        <v>135483194</v>
      </c>
      <c r="H792" t="s">
        <v>28</v>
      </c>
      <c r="I792" t="s">
        <v>17</v>
      </c>
      <c r="J792" t="s">
        <v>25</v>
      </c>
    </row>
    <row r="793" spans="1:11" x14ac:dyDescent="0.2">
      <c r="A793" t="s">
        <v>3014</v>
      </c>
      <c r="B793" t="s">
        <v>3015</v>
      </c>
      <c r="C793" t="s">
        <v>3016</v>
      </c>
      <c r="E793">
        <v>493032597872</v>
      </c>
      <c r="F793" s="2">
        <v>524348636</v>
      </c>
      <c r="G793" s="2">
        <v>13546805</v>
      </c>
      <c r="H793" t="s">
        <v>38</v>
      </c>
      <c r="I793" t="s">
        <v>17</v>
      </c>
      <c r="J793" t="s">
        <v>25</v>
      </c>
    </row>
    <row r="794" spans="1:11" x14ac:dyDescent="0.2">
      <c r="A794" t="s">
        <v>3017</v>
      </c>
      <c r="B794" t="s">
        <v>3018</v>
      </c>
      <c r="F794" s="2">
        <v>524342899</v>
      </c>
      <c r="G794" s="2">
        <v>135431272</v>
      </c>
      <c r="H794" t="s">
        <v>28</v>
      </c>
      <c r="I794" t="s">
        <v>17</v>
      </c>
      <c r="J794" t="s">
        <v>25</v>
      </c>
    </row>
    <row r="795" spans="1:11" x14ac:dyDescent="0.2">
      <c r="A795" t="s">
        <v>3019</v>
      </c>
      <c r="B795" t="s">
        <v>3020</v>
      </c>
      <c r="C795" t="s">
        <v>3021</v>
      </c>
      <c r="D795" t="s">
        <v>609</v>
      </c>
      <c r="E795" t="s">
        <v>3022</v>
      </c>
      <c r="F795" s="2">
        <v>524346257</v>
      </c>
      <c r="G795" s="2">
        <v>135432335</v>
      </c>
      <c r="H795" t="s">
        <v>51</v>
      </c>
      <c r="I795" t="s">
        <v>17</v>
      </c>
      <c r="J795" t="s">
        <v>25</v>
      </c>
      <c r="K795" t="s">
        <v>3023</v>
      </c>
    </row>
    <row r="796" spans="1:11" x14ac:dyDescent="0.2">
      <c r="A796" t="s">
        <v>3024</v>
      </c>
      <c r="B796" t="s">
        <v>3025</v>
      </c>
      <c r="C796" t="s">
        <v>3026</v>
      </c>
      <c r="E796" t="s">
        <v>3027</v>
      </c>
      <c r="F796" s="2">
        <v>524774025</v>
      </c>
      <c r="G796" s="2">
        <v>132875429</v>
      </c>
      <c r="H796" t="s">
        <v>38</v>
      </c>
      <c r="I796" t="s">
        <v>17</v>
      </c>
      <c r="J796" t="s">
        <v>25</v>
      </c>
    </row>
    <row r="797" spans="1:11" x14ac:dyDescent="0.2">
      <c r="A797" t="s">
        <v>3028</v>
      </c>
      <c r="B797" t="s">
        <v>3029</v>
      </c>
      <c r="C797" t="s">
        <v>3030</v>
      </c>
      <c r="D797" t="s">
        <v>3031</v>
      </c>
      <c r="E797" t="s">
        <v>3032</v>
      </c>
      <c r="F797" s="2">
        <v>525014221</v>
      </c>
      <c r="G797" s="2">
        <v>134192151</v>
      </c>
      <c r="H797" t="s">
        <v>24</v>
      </c>
      <c r="I797" t="s">
        <v>17</v>
      </c>
      <c r="J797" t="s">
        <v>25</v>
      </c>
    </row>
    <row r="798" spans="1:11" x14ac:dyDescent="0.2">
      <c r="A798" t="s">
        <v>3033</v>
      </c>
      <c r="B798" t="s">
        <v>3034</v>
      </c>
      <c r="C798" t="s">
        <v>3035</v>
      </c>
      <c r="E798" t="s">
        <v>3036</v>
      </c>
      <c r="F798" s="2">
        <v>524947272</v>
      </c>
      <c r="G798" s="2">
        <v>134143516</v>
      </c>
      <c r="H798" t="s">
        <v>38</v>
      </c>
      <c r="I798" t="s">
        <v>17</v>
      </c>
      <c r="J798" t="s">
        <v>25</v>
      </c>
    </row>
    <row r="799" spans="1:11" x14ac:dyDescent="0.2">
      <c r="A799" t="s">
        <v>3037</v>
      </c>
      <c r="B799" t="s">
        <v>3038</v>
      </c>
      <c r="F799" s="2">
        <v>525285154</v>
      </c>
      <c r="G799" s="2">
        <v>134659303</v>
      </c>
      <c r="H799" t="s">
        <v>28</v>
      </c>
      <c r="I799" t="s">
        <v>17</v>
      </c>
      <c r="J799" t="s">
        <v>25</v>
      </c>
    </row>
    <row r="800" spans="1:11" x14ac:dyDescent="0.2">
      <c r="A800" t="s">
        <v>3039</v>
      </c>
      <c r="B800" t="s">
        <v>3040</v>
      </c>
      <c r="C800" t="s">
        <v>3041</v>
      </c>
      <c r="D800" t="s">
        <v>3042</v>
      </c>
      <c r="F800" s="2">
        <v>524947925</v>
      </c>
      <c r="G800" s="2">
        <v>133394366</v>
      </c>
      <c r="H800" t="s">
        <v>24</v>
      </c>
      <c r="I800" t="s">
        <v>17</v>
      </c>
      <c r="J800" t="s">
        <v>25</v>
      </c>
    </row>
    <row r="801" spans="1:11" x14ac:dyDescent="0.2">
      <c r="A801" t="s">
        <v>3043</v>
      </c>
      <c r="B801" t="s">
        <v>3044</v>
      </c>
      <c r="C801" t="s">
        <v>3045</v>
      </c>
      <c r="D801" t="s">
        <v>3046</v>
      </c>
      <c r="E801" t="s">
        <v>3047</v>
      </c>
      <c r="F801" s="2">
        <v>524891724</v>
      </c>
      <c r="G801" s="2">
        <v>134514776</v>
      </c>
      <c r="H801" t="s">
        <v>24</v>
      </c>
      <c r="I801" t="s">
        <v>17</v>
      </c>
      <c r="J801" t="s">
        <v>25</v>
      </c>
    </row>
    <row r="802" spans="1:11" x14ac:dyDescent="0.2">
      <c r="A802" t="s">
        <v>3048</v>
      </c>
      <c r="B802" t="s">
        <v>3049</v>
      </c>
      <c r="C802" t="s">
        <v>3050</v>
      </c>
      <c r="E802" t="s">
        <v>3051</v>
      </c>
      <c r="F802" s="2">
        <v>525403657</v>
      </c>
      <c r="G802" s="2">
        <v>134181476</v>
      </c>
      <c r="H802" t="s">
        <v>277</v>
      </c>
      <c r="I802" t="s">
        <v>17</v>
      </c>
      <c r="J802" t="s">
        <v>25</v>
      </c>
      <c r="K802" t="s">
        <v>3052</v>
      </c>
    </row>
    <row r="803" spans="1:11" x14ac:dyDescent="0.2">
      <c r="A803" t="s">
        <v>3053</v>
      </c>
      <c r="B803" t="s">
        <v>3054</v>
      </c>
      <c r="C803" t="s">
        <v>3055</v>
      </c>
      <c r="D803" t="s">
        <v>3056</v>
      </c>
      <c r="E803" t="s">
        <v>3057</v>
      </c>
      <c r="F803" s="2">
        <v>524884165</v>
      </c>
      <c r="G803" s="2">
        <v>134104709</v>
      </c>
      <c r="H803" t="s">
        <v>51</v>
      </c>
      <c r="I803" t="s">
        <v>17</v>
      </c>
      <c r="J803" t="s">
        <v>25</v>
      </c>
      <c r="K803" t="s">
        <v>3058</v>
      </c>
    </row>
    <row r="804" spans="1:11" x14ac:dyDescent="0.2">
      <c r="A804" t="s">
        <v>3059</v>
      </c>
      <c r="B804" t="s">
        <v>3060</v>
      </c>
      <c r="C804" t="s">
        <v>3061</v>
      </c>
      <c r="F804" s="2">
        <v>524601017</v>
      </c>
      <c r="G804" s="2">
        <v>133093849</v>
      </c>
      <c r="H804" t="s">
        <v>38</v>
      </c>
      <c r="I804" t="s">
        <v>17</v>
      </c>
      <c r="J804" t="s">
        <v>25</v>
      </c>
    </row>
    <row r="805" spans="1:11" x14ac:dyDescent="0.2">
      <c r="A805" t="s">
        <v>3062</v>
      </c>
      <c r="B805" t="s">
        <v>3063</v>
      </c>
      <c r="C805" t="s">
        <v>3064</v>
      </c>
      <c r="D805" t="s">
        <v>3065</v>
      </c>
      <c r="E805" t="s">
        <v>3066</v>
      </c>
      <c r="F805" s="2">
        <v>525088541</v>
      </c>
      <c r="G805" s="2">
        <v>134049397</v>
      </c>
      <c r="H805" t="s">
        <v>51</v>
      </c>
      <c r="I805" t="s">
        <v>17</v>
      </c>
      <c r="J805" t="s">
        <v>25</v>
      </c>
      <c r="K805" t="s">
        <v>3067</v>
      </c>
    </row>
    <row r="806" spans="1:11" x14ac:dyDescent="0.2">
      <c r="A806" t="s">
        <v>3068</v>
      </c>
      <c r="B806" t="s">
        <v>3069</v>
      </c>
      <c r="F806" s="2">
        <v>525017035</v>
      </c>
      <c r="G806" s="2">
        <v>133137428</v>
      </c>
      <c r="H806" t="s">
        <v>28</v>
      </c>
      <c r="I806" t="s">
        <v>17</v>
      </c>
      <c r="J806" t="s">
        <v>25</v>
      </c>
    </row>
    <row r="807" spans="1:11" x14ac:dyDescent="0.2">
      <c r="A807" t="s">
        <v>3070</v>
      </c>
      <c r="C807" t="s">
        <v>3071</v>
      </c>
      <c r="D807" t="s">
        <v>3072</v>
      </c>
      <c r="E807" t="s">
        <v>3073</v>
      </c>
      <c r="F807" s="2">
        <v>525019544</v>
      </c>
      <c r="G807" s="2">
        <v>133149992</v>
      </c>
      <c r="H807" t="s">
        <v>51</v>
      </c>
      <c r="I807" t="s">
        <v>17</v>
      </c>
      <c r="J807" t="s">
        <v>25</v>
      </c>
      <c r="K807" t="s">
        <v>3074</v>
      </c>
    </row>
    <row r="808" spans="1:11" x14ac:dyDescent="0.2">
      <c r="A808" t="s">
        <v>3075</v>
      </c>
      <c r="B808" t="s">
        <v>3076</v>
      </c>
      <c r="F808" s="2">
        <v>52504615</v>
      </c>
      <c r="G808" s="2">
        <v>133232123</v>
      </c>
      <c r="H808" t="s">
        <v>28</v>
      </c>
      <c r="I808" t="s">
        <v>17</v>
      </c>
      <c r="J808" t="s">
        <v>25</v>
      </c>
    </row>
    <row r="809" spans="1:11" x14ac:dyDescent="0.2">
      <c r="A809" t="s">
        <v>3077</v>
      </c>
      <c r="B809" t="s">
        <v>3078</v>
      </c>
      <c r="F809" s="2">
        <v>52503705</v>
      </c>
      <c r="G809" s="2">
        <v>13313712</v>
      </c>
      <c r="H809" t="s">
        <v>28</v>
      </c>
      <c r="I809" t="s">
        <v>17</v>
      </c>
      <c r="J809" t="s">
        <v>25</v>
      </c>
    </row>
    <row r="810" spans="1:11" x14ac:dyDescent="0.2">
      <c r="A810" t="s">
        <v>3079</v>
      </c>
      <c r="B810" t="s">
        <v>3080</v>
      </c>
      <c r="F810" s="2">
        <v>525029797</v>
      </c>
      <c r="G810" s="2">
        <v>133136048</v>
      </c>
      <c r="H810" t="s">
        <v>28</v>
      </c>
      <c r="I810" t="s">
        <v>17</v>
      </c>
      <c r="J810" t="s">
        <v>25</v>
      </c>
    </row>
    <row r="811" spans="1:11" x14ac:dyDescent="0.2">
      <c r="A811" t="s">
        <v>3081</v>
      </c>
      <c r="B811" t="s">
        <v>3082</v>
      </c>
      <c r="C811" t="s">
        <v>3083</v>
      </c>
      <c r="D811" t="s">
        <v>3084</v>
      </c>
      <c r="E811">
        <v>493024355756</v>
      </c>
      <c r="F811" s="2">
        <v>52503423</v>
      </c>
      <c r="G811" s="2">
        <v>133168426</v>
      </c>
      <c r="H811" t="s">
        <v>24</v>
      </c>
      <c r="I811" t="s">
        <v>17</v>
      </c>
      <c r="J811" t="s">
        <v>25</v>
      </c>
    </row>
    <row r="812" spans="1:11" x14ac:dyDescent="0.2">
      <c r="A812" t="s">
        <v>3085</v>
      </c>
      <c r="B812" t="s">
        <v>3086</v>
      </c>
      <c r="C812" t="s">
        <v>3087</v>
      </c>
      <c r="E812" t="s">
        <v>3088</v>
      </c>
      <c r="F812" s="2">
        <v>525044569</v>
      </c>
      <c r="G812" s="2">
        <v>133233392</v>
      </c>
      <c r="H812" t="s">
        <v>277</v>
      </c>
      <c r="I812" t="s">
        <v>17</v>
      </c>
      <c r="J812" t="s">
        <v>25</v>
      </c>
      <c r="K812" t="s">
        <v>3089</v>
      </c>
    </row>
    <row r="813" spans="1:11" x14ac:dyDescent="0.2">
      <c r="A813" t="s">
        <v>3090</v>
      </c>
      <c r="B813" t="s">
        <v>3091</v>
      </c>
      <c r="C813" t="s">
        <v>3092</v>
      </c>
      <c r="D813" t="s">
        <v>3093</v>
      </c>
      <c r="E813" t="s">
        <v>3094</v>
      </c>
      <c r="F813" s="2">
        <v>525153653</v>
      </c>
      <c r="G813" s="2">
        <v>134165702</v>
      </c>
      <c r="H813" t="s">
        <v>51</v>
      </c>
      <c r="I813" t="s">
        <v>17</v>
      </c>
      <c r="J813" t="s">
        <v>25</v>
      </c>
      <c r="K813" t="s">
        <v>3095</v>
      </c>
    </row>
    <row r="814" spans="1:11" x14ac:dyDescent="0.2">
      <c r="A814" t="s">
        <v>3096</v>
      </c>
      <c r="B814" t="s">
        <v>3097</v>
      </c>
      <c r="C814" t="s">
        <v>3098</v>
      </c>
      <c r="D814" t="s">
        <v>3099</v>
      </c>
      <c r="E814" t="s">
        <v>3100</v>
      </c>
      <c r="F814" s="2">
        <v>524416096</v>
      </c>
      <c r="G814" s="2">
        <v>13535473</v>
      </c>
      <c r="H814" t="s">
        <v>24</v>
      </c>
      <c r="I814" t="s">
        <v>17</v>
      </c>
      <c r="J814" t="s">
        <v>25</v>
      </c>
    </row>
    <row r="815" spans="1:11" x14ac:dyDescent="0.2">
      <c r="A815" t="s">
        <v>3101</v>
      </c>
      <c r="B815" t="s">
        <v>3102</v>
      </c>
      <c r="C815" t="s">
        <v>3103</v>
      </c>
      <c r="D815" t="s">
        <v>3104</v>
      </c>
      <c r="F815" s="2">
        <v>525387743</v>
      </c>
      <c r="G815" s="2">
        <v>134096595</v>
      </c>
      <c r="H815" t="s">
        <v>51</v>
      </c>
      <c r="I815" t="s">
        <v>17</v>
      </c>
      <c r="J815" t="s">
        <v>25</v>
      </c>
      <c r="K815" t="s">
        <v>3105</v>
      </c>
    </row>
    <row r="816" spans="1:11" x14ac:dyDescent="0.2">
      <c r="A816" t="s">
        <v>3106</v>
      </c>
      <c r="B816" t="s">
        <v>3107</v>
      </c>
      <c r="E816" t="s">
        <v>3108</v>
      </c>
      <c r="F816" s="2">
        <v>525372539</v>
      </c>
      <c r="G816" s="2">
        <v>134080606</v>
      </c>
      <c r="H816" t="s">
        <v>34</v>
      </c>
      <c r="I816" t="s">
        <v>17</v>
      </c>
      <c r="J816" t="s">
        <v>25</v>
      </c>
    </row>
    <row r="817" spans="1:11" x14ac:dyDescent="0.2">
      <c r="A817" t="s">
        <v>3109</v>
      </c>
      <c r="B817" t="s">
        <v>3110</v>
      </c>
      <c r="C817" t="s">
        <v>3111</v>
      </c>
      <c r="E817" t="s">
        <v>3112</v>
      </c>
      <c r="F817" s="2">
        <v>525367019</v>
      </c>
      <c r="G817" s="2">
        <v>13407453</v>
      </c>
      <c r="H817" t="s">
        <v>38</v>
      </c>
      <c r="I817" t="s">
        <v>17</v>
      </c>
      <c r="J817" t="s">
        <v>25</v>
      </c>
    </row>
    <row r="818" spans="1:11" x14ac:dyDescent="0.2">
      <c r="A818" t="s">
        <v>3113</v>
      </c>
      <c r="B818" t="s">
        <v>3114</v>
      </c>
      <c r="C818" t="s">
        <v>3115</v>
      </c>
      <c r="F818" s="2">
        <v>525379895</v>
      </c>
      <c r="G818" s="2">
        <v>13409357</v>
      </c>
      <c r="H818" t="s">
        <v>255</v>
      </c>
      <c r="I818" t="s">
        <v>17</v>
      </c>
      <c r="J818" t="s">
        <v>25</v>
      </c>
    </row>
    <row r="819" spans="1:11" x14ac:dyDescent="0.2">
      <c r="A819" t="s">
        <v>3116</v>
      </c>
      <c r="B819" t="s">
        <v>3117</v>
      </c>
      <c r="D819" t="s">
        <v>3118</v>
      </c>
      <c r="E819" t="s">
        <v>3119</v>
      </c>
      <c r="F819" s="2">
        <v>525380375</v>
      </c>
      <c r="G819" s="2">
        <v>13409405</v>
      </c>
      <c r="H819" t="s">
        <v>3120</v>
      </c>
      <c r="I819" t="s">
        <v>17</v>
      </c>
      <c r="J819" t="s">
        <v>25</v>
      </c>
    </row>
    <row r="820" spans="1:11" x14ac:dyDescent="0.2">
      <c r="A820" t="s">
        <v>3121</v>
      </c>
      <c r="C820" t="s">
        <v>3122</v>
      </c>
      <c r="F820" s="2">
        <v>525093435</v>
      </c>
      <c r="G820" s="2">
        <v>134067212</v>
      </c>
      <c r="H820" t="s">
        <v>277</v>
      </c>
      <c r="I820" t="s">
        <v>17</v>
      </c>
      <c r="J820" t="s">
        <v>25</v>
      </c>
      <c r="K820" t="s">
        <v>3123</v>
      </c>
    </row>
    <row r="821" spans="1:11" x14ac:dyDescent="0.2">
      <c r="A821" t="s">
        <v>3124</v>
      </c>
      <c r="B821" t="s">
        <v>211</v>
      </c>
      <c r="C821" t="s">
        <v>3125</v>
      </c>
      <c r="F821" s="2">
        <v>525405026</v>
      </c>
      <c r="G821" s="2">
        <v>134140916</v>
      </c>
      <c r="H821" t="s">
        <v>3120</v>
      </c>
      <c r="I821" t="s">
        <v>17</v>
      </c>
      <c r="J821" t="s">
        <v>25</v>
      </c>
      <c r="K821" t="s">
        <v>3126</v>
      </c>
    </row>
    <row r="822" spans="1:11" x14ac:dyDescent="0.2">
      <c r="A822" t="s">
        <v>3127</v>
      </c>
      <c r="C822" t="s">
        <v>3128</v>
      </c>
      <c r="F822" s="2">
        <v>524123875</v>
      </c>
      <c r="G822" s="2">
        <v>133685496</v>
      </c>
      <c r="H822" t="s">
        <v>38</v>
      </c>
      <c r="I822" t="s">
        <v>17</v>
      </c>
      <c r="J822" t="s">
        <v>25</v>
      </c>
    </row>
    <row r="823" spans="1:11" x14ac:dyDescent="0.2">
      <c r="A823" t="s">
        <v>3129</v>
      </c>
      <c r="B823" t="s">
        <v>3130</v>
      </c>
      <c r="C823" t="s">
        <v>3131</v>
      </c>
      <c r="D823" t="s">
        <v>3132</v>
      </c>
      <c r="E823" t="s">
        <v>3133</v>
      </c>
      <c r="F823" s="2">
        <v>525373611</v>
      </c>
      <c r="G823" s="2">
        <v>134209975</v>
      </c>
      <c r="H823" t="s">
        <v>51</v>
      </c>
      <c r="I823" t="s">
        <v>17</v>
      </c>
      <c r="J823" t="s">
        <v>25</v>
      </c>
      <c r="K823" t="s">
        <v>3134</v>
      </c>
    </row>
    <row r="824" spans="1:11" x14ac:dyDescent="0.2">
      <c r="A824" t="s">
        <v>3135</v>
      </c>
      <c r="B824" t="s">
        <v>3136</v>
      </c>
      <c r="C824" t="s">
        <v>3137</v>
      </c>
      <c r="E824">
        <v>493031489028</v>
      </c>
      <c r="F824" s="2">
        <v>525366482</v>
      </c>
      <c r="G824" s="2">
        <v>134209592</v>
      </c>
      <c r="H824" t="s">
        <v>38</v>
      </c>
      <c r="I824" t="s">
        <v>17</v>
      </c>
      <c r="J824" t="s">
        <v>25</v>
      </c>
    </row>
    <row r="825" spans="1:11" x14ac:dyDescent="0.2">
      <c r="A825" t="s">
        <v>3138</v>
      </c>
      <c r="B825" t="s">
        <v>3139</v>
      </c>
      <c r="C825" t="s">
        <v>3140</v>
      </c>
      <c r="E825">
        <v>49304425301</v>
      </c>
      <c r="F825" s="2">
        <v>525338792</v>
      </c>
      <c r="G825" s="2">
        <v>134206727</v>
      </c>
      <c r="H825" t="s">
        <v>38</v>
      </c>
      <c r="I825" t="s">
        <v>17</v>
      </c>
      <c r="J825" t="s">
        <v>25</v>
      </c>
    </row>
    <row r="826" spans="1:11" x14ac:dyDescent="0.2">
      <c r="A826" t="s">
        <v>3141</v>
      </c>
      <c r="B826" t="s">
        <v>3142</v>
      </c>
      <c r="F826" s="2">
        <v>525329463</v>
      </c>
      <c r="G826" s="2">
        <v>13420964</v>
      </c>
      <c r="H826" t="s">
        <v>28</v>
      </c>
      <c r="I826" t="s">
        <v>17</v>
      </c>
      <c r="J826" t="s">
        <v>25</v>
      </c>
    </row>
    <row r="827" spans="1:11" x14ac:dyDescent="0.2">
      <c r="A827" t="s">
        <v>3143</v>
      </c>
      <c r="B827" t="s">
        <v>3144</v>
      </c>
      <c r="C827" t="s">
        <v>3145</v>
      </c>
      <c r="F827" s="2">
        <v>525327225</v>
      </c>
      <c r="G827" s="2">
        <v>134208253</v>
      </c>
      <c r="H827" t="s">
        <v>255</v>
      </c>
      <c r="I827" t="s">
        <v>17</v>
      </c>
      <c r="J827" t="s">
        <v>25</v>
      </c>
    </row>
    <row r="828" spans="1:11" x14ac:dyDescent="0.2">
      <c r="A828" t="s">
        <v>3146</v>
      </c>
      <c r="B828" t="s">
        <v>3147</v>
      </c>
      <c r="C828" t="s">
        <v>3148</v>
      </c>
      <c r="E828" t="s">
        <v>3149</v>
      </c>
      <c r="F828" s="2">
        <v>52500215</v>
      </c>
      <c r="G828" s="2">
        <v>13414931</v>
      </c>
      <c r="H828" t="s">
        <v>38</v>
      </c>
      <c r="I828" t="s">
        <v>17</v>
      </c>
      <c r="J828" t="s">
        <v>25</v>
      </c>
    </row>
    <row r="829" spans="1:11" x14ac:dyDescent="0.2">
      <c r="A829" t="s">
        <v>3150</v>
      </c>
      <c r="F829" s="2">
        <v>52551831</v>
      </c>
      <c r="G829" s="2">
        <v>13413717</v>
      </c>
      <c r="H829" t="s">
        <v>28</v>
      </c>
      <c r="I829" t="s">
        <v>17</v>
      </c>
      <c r="J829" t="s">
        <v>25</v>
      </c>
    </row>
    <row r="830" spans="1:11" x14ac:dyDescent="0.2">
      <c r="A830" t="s">
        <v>3151</v>
      </c>
      <c r="B830" t="s">
        <v>3152</v>
      </c>
      <c r="E830" t="s">
        <v>3153</v>
      </c>
      <c r="F830" s="2">
        <v>525560901</v>
      </c>
      <c r="G830" s="2">
        <v>135584639</v>
      </c>
      <c r="H830" t="s">
        <v>34</v>
      </c>
      <c r="I830" t="s">
        <v>17</v>
      </c>
      <c r="J830" t="s">
        <v>25</v>
      </c>
    </row>
    <row r="831" spans="1:11" x14ac:dyDescent="0.2">
      <c r="A831" t="s">
        <v>3154</v>
      </c>
      <c r="B831" t="s">
        <v>3155</v>
      </c>
      <c r="C831" t="s">
        <v>3156</v>
      </c>
      <c r="D831" t="s">
        <v>3157</v>
      </c>
      <c r="E831" t="s">
        <v>3158</v>
      </c>
      <c r="F831" s="2">
        <v>52591255</v>
      </c>
      <c r="G831" s="2">
        <v>13346361</v>
      </c>
      <c r="H831" t="s">
        <v>24</v>
      </c>
      <c r="I831" t="s">
        <v>17</v>
      </c>
      <c r="J831" t="s">
        <v>25</v>
      </c>
    </row>
    <row r="832" spans="1:11" x14ac:dyDescent="0.2">
      <c r="A832" t="s">
        <v>3159</v>
      </c>
      <c r="B832" t="s">
        <v>3160</v>
      </c>
      <c r="C832" t="s">
        <v>3161</v>
      </c>
      <c r="E832" t="s">
        <v>3162</v>
      </c>
      <c r="F832" s="2">
        <v>525519591</v>
      </c>
      <c r="G832" s="2">
        <v>134192116</v>
      </c>
      <c r="H832" t="s">
        <v>38</v>
      </c>
      <c r="I832" t="s">
        <v>17</v>
      </c>
      <c r="J832" t="s">
        <v>25</v>
      </c>
    </row>
    <row r="833" spans="1:11" x14ac:dyDescent="0.2">
      <c r="A833" t="s">
        <v>3163</v>
      </c>
      <c r="B833" t="s">
        <v>3164</v>
      </c>
      <c r="C833" t="s">
        <v>3165</v>
      </c>
      <c r="E833" t="s">
        <v>3166</v>
      </c>
      <c r="F833" s="2">
        <v>524553448</v>
      </c>
      <c r="G833" s="2">
        <v>133261909</v>
      </c>
      <c r="H833" t="s">
        <v>38</v>
      </c>
      <c r="I833" t="s">
        <v>17</v>
      </c>
      <c r="J833" t="s">
        <v>25</v>
      </c>
    </row>
    <row r="834" spans="1:11" x14ac:dyDescent="0.2">
      <c r="A834" t="s">
        <v>3167</v>
      </c>
      <c r="B834" t="s">
        <v>3168</v>
      </c>
      <c r="C834" t="s">
        <v>3169</v>
      </c>
      <c r="E834" t="s">
        <v>3170</v>
      </c>
      <c r="F834" s="2">
        <v>524565312</v>
      </c>
      <c r="G834" s="2">
        <v>135105881</v>
      </c>
      <c r="H834" t="s">
        <v>38</v>
      </c>
      <c r="I834" t="s">
        <v>17</v>
      </c>
      <c r="J834" t="s">
        <v>25</v>
      </c>
    </row>
    <row r="835" spans="1:11" x14ac:dyDescent="0.2">
      <c r="A835" t="s">
        <v>3171</v>
      </c>
      <c r="B835" t="s">
        <v>3172</v>
      </c>
      <c r="C835" t="s">
        <v>3173</v>
      </c>
      <c r="D835" t="s">
        <v>3174</v>
      </c>
      <c r="E835" t="s">
        <v>3175</v>
      </c>
      <c r="F835" s="2">
        <v>52456525</v>
      </c>
      <c r="G835" s="2">
        <v>135112094</v>
      </c>
      <c r="H835" t="s">
        <v>24</v>
      </c>
      <c r="I835" t="s">
        <v>17</v>
      </c>
      <c r="J835" t="s">
        <v>25</v>
      </c>
    </row>
    <row r="836" spans="1:11" x14ac:dyDescent="0.2">
      <c r="A836" t="s">
        <v>3176</v>
      </c>
      <c r="B836" t="s">
        <v>3177</v>
      </c>
      <c r="C836" t="s">
        <v>3178</v>
      </c>
      <c r="D836" t="s">
        <v>3179</v>
      </c>
      <c r="E836" t="s">
        <v>3180</v>
      </c>
      <c r="F836" s="2">
        <v>524642274</v>
      </c>
      <c r="G836" s="2">
        <v>134886016</v>
      </c>
      <c r="H836" t="s">
        <v>24</v>
      </c>
      <c r="I836" t="s">
        <v>17</v>
      </c>
      <c r="J836" t="s">
        <v>25</v>
      </c>
    </row>
    <row r="837" spans="1:11" x14ac:dyDescent="0.2">
      <c r="A837" t="s">
        <v>3181</v>
      </c>
      <c r="C837" t="s">
        <v>3182</v>
      </c>
      <c r="F837" s="2">
        <v>524069029</v>
      </c>
      <c r="G837" s="2">
        <v>134152637</v>
      </c>
      <c r="H837" t="s">
        <v>255</v>
      </c>
      <c r="I837" t="s">
        <v>17</v>
      </c>
      <c r="J837" t="s">
        <v>25</v>
      </c>
    </row>
    <row r="838" spans="1:11" x14ac:dyDescent="0.2">
      <c r="A838" t="s">
        <v>3183</v>
      </c>
      <c r="B838" t="s">
        <v>3184</v>
      </c>
      <c r="C838" t="s">
        <v>3185</v>
      </c>
      <c r="E838" t="s">
        <v>3186</v>
      </c>
      <c r="F838" s="2">
        <v>524878242</v>
      </c>
      <c r="G838" s="2">
        <v>132993789</v>
      </c>
      <c r="H838" t="s">
        <v>277</v>
      </c>
      <c r="I838" t="s">
        <v>17</v>
      </c>
      <c r="J838" t="s">
        <v>25</v>
      </c>
      <c r="K838" t="s">
        <v>3187</v>
      </c>
    </row>
    <row r="839" spans="1:11" x14ac:dyDescent="0.2">
      <c r="A839" t="s">
        <v>3188</v>
      </c>
      <c r="B839" t="s">
        <v>3189</v>
      </c>
      <c r="F839" s="2">
        <v>524896884</v>
      </c>
      <c r="G839" s="2">
        <v>134073459</v>
      </c>
      <c r="H839" t="s">
        <v>28</v>
      </c>
      <c r="I839" t="s">
        <v>17</v>
      </c>
      <c r="J839" t="s">
        <v>25</v>
      </c>
    </row>
    <row r="840" spans="1:11" x14ac:dyDescent="0.2">
      <c r="A840" t="s">
        <v>3190</v>
      </c>
      <c r="B840" t="s">
        <v>3191</v>
      </c>
      <c r="C840" t="s">
        <v>3192</v>
      </c>
      <c r="E840" t="s">
        <v>3193</v>
      </c>
      <c r="F840" s="2">
        <v>525428945</v>
      </c>
      <c r="G840" s="2">
        <v>134168345</v>
      </c>
      <c r="H840" t="s">
        <v>38</v>
      </c>
      <c r="I840" t="s">
        <v>17</v>
      </c>
      <c r="J840" t="s">
        <v>25</v>
      </c>
    </row>
    <row r="841" spans="1:11" x14ac:dyDescent="0.2">
      <c r="A841" t="s">
        <v>3194</v>
      </c>
      <c r="B841" t="s">
        <v>3195</v>
      </c>
      <c r="E841" t="s">
        <v>3196</v>
      </c>
      <c r="F841" s="2">
        <v>524858072</v>
      </c>
      <c r="G841" s="2">
        <v>133011535</v>
      </c>
      <c r="H841" t="s">
        <v>34</v>
      </c>
      <c r="I841" t="s">
        <v>17</v>
      </c>
      <c r="J841" t="s">
        <v>25</v>
      </c>
    </row>
    <row r="842" spans="1:11" x14ac:dyDescent="0.2">
      <c r="A842" t="s">
        <v>3197</v>
      </c>
      <c r="B842" t="s">
        <v>3198</v>
      </c>
      <c r="C842" t="s">
        <v>3199</v>
      </c>
      <c r="D842" t="s">
        <v>3200</v>
      </c>
      <c r="E842" t="s">
        <v>3201</v>
      </c>
      <c r="F842" s="2">
        <v>525054217</v>
      </c>
      <c r="G842" s="2">
        <v>133263141</v>
      </c>
      <c r="H842" t="s">
        <v>24</v>
      </c>
      <c r="I842" t="s">
        <v>17</v>
      </c>
      <c r="J842" t="s">
        <v>25</v>
      </c>
    </row>
    <row r="843" spans="1:11" x14ac:dyDescent="0.2">
      <c r="A843" t="s">
        <v>3202</v>
      </c>
      <c r="B843" t="s">
        <v>3203</v>
      </c>
      <c r="C843" t="s">
        <v>3204</v>
      </c>
      <c r="D843" t="s">
        <v>3205</v>
      </c>
      <c r="E843" t="s">
        <v>3206</v>
      </c>
      <c r="F843" s="2">
        <v>524621063</v>
      </c>
      <c r="G843" s="2">
        <v>133389645</v>
      </c>
      <c r="H843" t="s">
        <v>51</v>
      </c>
      <c r="I843" t="s">
        <v>17</v>
      </c>
      <c r="J843" t="s">
        <v>25</v>
      </c>
      <c r="K843" t="s">
        <v>3207</v>
      </c>
    </row>
    <row r="844" spans="1:11" x14ac:dyDescent="0.2">
      <c r="A844" t="s">
        <v>3208</v>
      </c>
      <c r="F844" s="2">
        <v>525509014</v>
      </c>
      <c r="G844" s="2">
        <v>133673535</v>
      </c>
      <c r="H844" t="s">
        <v>28</v>
      </c>
      <c r="I844" t="s">
        <v>17</v>
      </c>
      <c r="J844" t="s">
        <v>25</v>
      </c>
    </row>
    <row r="845" spans="1:11" x14ac:dyDescent="0.2">
      <c r="A845" t="s">
        <v>3209</v>
      </c>
      <c r="B845" t="s">
        <v>3210</v>
      </c>
      <c r="C845" t="s">
        <v>3211</v>
      </c>
      <c r="D845" t="s">
        <v>3212</v>
      </c>
      <c r="F845" s="2">
        <v>52586582</v>
      </c>
      <c r="G845" s="2">
        <v>13401796</v>
      </c>
      <c r="H845" t="s">
        <v>24</v>
      </c>
      <c r="I845" t="s">
        <v>17</v>
      </c>
      <c r="J845" t="s">
        <v>25</v>
      </c>
    </row>
    <row r="846" spans="1:11" x14ac:dyDescent="0.2">
      <c r="A846" t="s">
        <v>3213</v>
      </c>
      <c r="B846" t="s">
        <v>3214</v>
      </c>
      <c r="C846" t="s">
        <v>3215</v>
      </c>
      <c r="E846" t="s">
        <v>3216</v>
      </c>
      <c r="F846" s="2">
        <v>52528161</v>
      </c>
      <c r="G846" s="2">
        <v>133730123</v>
      </c>
      <c r="H846" t="s">
        <v>277</v>
      </c>
      <c r="I846" t="s">
        <v>17</v>
      </c>
      <c r="J846" t="s">
        <v>25</v>
      </c>
      <c r="K846" t="s">
        <v>3217</v>
      </c>
    </row>
    <row r="847" spans="1:11" x14ac:dyDescent="0.2">
      <c r="A847" t="s">
        <v>3218</v>
      </c>
      <c r="C847" t="s">
        <v>3219</v>
      </c>
      <c r="F847" s="2">
        <v>525249384</v>
      </c>
      <c r="G847" s="2">
        <v>133936795</v>
      </c>
      <c r="H847" t="s">
        <v>255</v>
      </c>
      <c r="I847" t="s">
        <v>17</v>
      </c>
      <c r="J847" t="s">
        <v>25</v>
      </c>
    </row>
    <row r="848" spans="1:11" x14ac:dyDescent="0.2">
      <c r="A848" t="s">
        <v>3220</v>
      </c>
      <c r="B848" t="s">
        <v>3221</v>
      </c>
      <c r="F848" s="2">
        <v>525132274</v>
      </c>
      <c r="G848" s="2">
        <v>134819351</v>
      </c>
      <c r="H848" t="s">
        <v>28</v>
      </c>
      <c r="I848" t="s">
        <v>17</v>
      </c>
      <c r="J848" t="s">
        <v>25</v>
      </c>
    </row>
    <row r="849" spans="1:11" x14ac:dyDescent="0.2">
      <c r="A849" t="s">
        <v>3222</v>
      </c>
      <c r="B849" t="s">
        <v>3223</v>
      </c>
      <c r="C849" t="s">
        <v>3224</v>
      </c>
      <c r="D849" t="s">
        <v>3225</v>
      </c>
      <c r="E849" t="s">
        <v>3226</v>
      </c>
      <c r="F849" s="2">
        <v>52523266</v>
      </c>
      <c r="G849" s="2">
        <v>133583494</v>
      </c>
      <c r="H849" t="s">
        <v>51</v>
      </c>
      <c r="I849" t="s">
        <v>17</v>
      </c>
      <c r="J849" t="s">
        <v>25</v>
      </c>
      <c r="K849" t="s">
        <v>3227</v>
      </c>
    </row>
    <row r="850" spans="1:11" x14ac:dyDescent="0.2">
      <c r="A850" t="s">
        <v>3228</v>
      </c>
      <c r="C850" t="s">
        <v>3229</v>
      </c>
      <c r="D850" t="s">
        <v>3230</v>
      </c>
      <c r="E850" t="s">
        <v>3231</v>
      </c>
      <c r="F850" s="2">
        <v>52464973</v>
      </c>
      <c r="G850" s="2">
        <v>131800669</v>
      </c>
      <c r="H850" t="s">
        <v>51</v>
      </c>
      <c r="I850" t="s">
        <v>17</v>
      </c>
      <c r="J850" t="s">
        <v>25</v>
      </c>
      <c r="K850" t="s">
        <v>3232</v>
      </c>
    </row>
    <row r="851" spans="1:11" x14ac:dyDescent="0.2">
      <c r="A851" t="s">
        <v>3233</v>
      </c>
      <c r="B851" t="s">
        <v>3234</v>
      </c>
      <c r="C851" t="s">
        <v>3235</v>
      </c>
      <c r="D851" t="s">
        <v>3236</v>
      </c>
      <c r="E851" t="s">
        <v>3237</v>
      </c>
      <c r="F851" s="2">
        <v>525059672</v>
      </c>
      <c r="G851" s="2">
        <v>13465723</v>
      </c>
      <c r="H851" t="s">
        <v>51</v>
      </c>
      <c r="I851" t="s">
        <v>17</v>
      </c>
      <c r="J851" t="s">
        <v>25</v>
      </c>
      <c r="K851" t="s">
        <v>3238</v>
      </c>
    </row>
    <row r="852" spans="1:11" x14ac:dyDescent="0.2">
      <c r="A852" t="s">
        <v>3239</v>
      </c>
      <c r="F852" s="2">
        <v>524236779</v>
      </c>
      <c r="G852" s="2">
        <v>135847376</v>
      </c>
      <c r="H852" t="s">
        <v>28</v>
      </c>
      <c r="I852" t="s">
        <v>17</v>
      </c>
      <c r="J852" t="s">
        <v>25</v>
      </c>
    </row>
    <row r="853" spans="1:11" x14ac:dyDescent="0.2">
      <c r="A853" t="s">
        <v>3240</v>
      </c>
      <c r="B853" t="s">
        <v>3241</v>
      </c>
      <c r="C853" t="s">
        <v>3242</v>
      </c>
      <c r="D853" t="s">
        <v>3243</v>
      </c>
      <c r="E853" t="s">
        <v>3244</v>
      </c>
      <c r="F853" s="2">
        <v>525021842</v>
      </c>
      <c r="G853" s="2">
        <v>134429364</v>
      </c>
      <c r="H853" t="s">
        <v>24</v>
      </c>
      <c r="I853" t="s">
        <v>17</v>
      </c>
      <c r="J853" t="s">
        <v>25</v>
      </c>
    </row>
    <row r="854" spans="1:11" x14ac:dyDescent="0.2">
      <c r="A854" t="s">
        <v>3245</v>
      </c>
      <c r="B854" t="s">
        <v>3246</v>
      </c>
      <c r="C854" t="s">
        <v>3247</v>
      </c>
      <c r="E854" t="s">
        <v>3248</v>
      </c>
      <c r="F854" s="2">
        <v>525348555</v>
      </c>
      <c r="G854" s="2">
        <v>134194896</v>
      </c>
      <c r="H854" t="s">
        <v>38</v>
      </c>
      <c r="I854" t="s">
        <v>17</v>
      </c>
      <c r="J854" t="s">
        <v>25</v>
      </c>
    </row>
    <row r="855" spans="1:11" x14ac:dyDescent="0.2">
      <c r="A855" t="s">
        <v>3249</v>
      </c>
      <c r="B855" t="s">
        <v>3250</v>
      </c>
      <c r="C855" t="s">
        <v>3251</v>
      </c>
      <c r="E855">
        <v>493031015806</v>
      </c>
      <c r="F855" s="2">
        <v>52507014</v>
      </c>
      <c r="G855" s="2">
        <v>133217458</v>
      </c>
      <c r="H855" t="s">
        <v>38</v>
      </c>
      <c r="I855" t="s">
        <v>17</v>
      </c>
      <c r="J855" t="s">
        <v>25</v>
      </c>
    </row>
    <row r="856" spans="1:11" x14ac:dyDescent="0.2">
      <c r="A856" t="s">
        <v>3252</v>
      </c>
      <c r="F856" s="2">
        <v>525059216</v>
      </c>
      <c r="G856" s="2">
        <v>133435623</v>
      </c>
      <c r="H856" t="s">
        <v>28</v>
      </c>
      <c r="I856" t="s">
        <v>17</v>
      </c>
      <c r="J856" t="s">
        <v>25</v>
      </c>
    </row>
    <row r="857" spans="1:11" x14ac:dyDescent="0.2">
      <c r="A857" t="s">
        <v>3253</v>
      </c>
      <c r="B857" t="s">
        <v>3254</v>
      </c>
      <c r="C857" t="s">
        <v>3255</v>
      </c>
      <c r="D857" t="s">
        <v>3256</v>
      </c>
      <c r="E857" t="s">
        <v>3257</v>
      </c>
      <c r="F857" s="2">
        <v>524568725</v>
      </c>
      <c r="G857" s="2">
        <v>133836513</v>
      </c>
      <c r="H857" t="s">
        <v>16</v>
      </c>
      <c r="I857" t="s">
        <v>17</v>
      </c>
      <c r="J857" t="s">
        <v>25</v>
      </c>
    </row>
    <row r="858" spans="1:11" x14ac:dyDescent="0.2">
      <c r="A858" t="s">
        <v>3258</v>
      </c>
      <c r="C858" t="s">
        <v>3259</v>
      </c>
      <c r="E858" t="s">
        <v>3260</v>
      </c>
      <c r="F858" s="2">
        <v>525193058</v>
      </c>
      <c r="G858" s="2">
        <v>133182405</v>
      </c>
      <c r="H858" t="s">
        <v>38</v>
      </c>
      <c r="I858" t="s">
        <v>17</v>
      </c>
      <c r="J858" t="s">
        <v>25</v>
      </c>
    </row>
    <row r="859" spans="1:11" x14ac:dyDescent="0.2">
      <c r="A859" t="s">
        <v>3261</v>
      </c>
      <c r="B859" t="s">
        <v>3262</v>
      </c>
      <c r="C859" t="s">
        <v>3263</v>
      </c>
      <c r="D859" t="s">
        <v>3264</v>
      </c>
      <c r="E859" t="s">
        <v>3265</v>
      </c>
      <c r="F859" s="2">
        <v>525133371</v>
      </c>
      <c r="G859" s="2">
        <v>133185871</v>
      </c>
      <c r="H859" t="s">
        <v>51</v>
      </c>
      <c r="I859" t="s">
        <v>17</v>
      </c>
      <c r="J859" t="s">
        <v>25</v>
      </c>
      <c r="K859" t="s">
        <v>3266</v>
      </c>
    </row>
    <row r="860" spans="1:11" x14ac:dyDescent="0.2">
      <c r="A860" t="s">
        <v>3267</v>
      </c>
      <c r="B860" t="s">
        <v>3268</v>
      </c>
      <c r="C860" t="s">
        <v>3269</v>
      </c>
      <c r="D860" t="s">
        <v>3270</v>
      </c>
      <c r="E860" t="s">
        <v>3271</v>
      </c>
      <c r="F860" s="2">
        <v>52513687</v>
      </c>
      <c r="G860" s="2">
        <v>13317605</v>
      </c>
      <c r="H860" t="s">
        <v>24</v>
      </c>
      <c r="I860" t="s">
        <v>17</v>
      </c>
      <c r="J860" t="s">
        <v>25</v>
      </c>
    </row>
    <row r="861" spans="1:11" x14ac:dyDescent="0.2">
      <c r="A861" t="s">
        <v>3272</v>
      </c>
      <c r="F861" s="2">
        <v>525054463</v>
      </c>
      <c r="G861" s="2">
        <v>134698391</v>
      </c>
      <c r="H861" t="s">
        <v>28</v>
      </c>
      <c r="I861" t="s">
        <v>17</v>
      </c>
      <c r="J861" t="s">
        <v>25</v>
      </c>
    </row>
    <row r="862" spans="1:11" x14ac:dyDescent="0.2">
      <c r="A862" t="s">
        <v>3273</v>
      </c>
      <c r="B862" t="s">
        <v>3274</v>
      </c>
      <c r="C862" t="s">
        <v>3275</v>
      </c>
      <c r="D862" t="s">
        <v>3276</v>
      </c>
      <c r="E862" t="s">
        <v>3277</v>
      </c>
      <c r="F862" s="2">
        <v>525063606</v>
      </c>
      <c r="G862" s="2">
        <v>134695741</v>
      </c>
      <c r="H862" t="s">
        <v>51</v>
      </c>
      <c r="I862" t="s">
        <v>17</v>
      </c>
      <c r="J862" t="s">
        <v>25</v>
      </c>
      <c r="K862" t="s">
        <v>3278</v>
      </c>
    </row>
    <row r="863" spans="1:11" x14ac:dyDescent="0.2">
      <c r="A863" t="s">
        <v>3279</v>
      </c>
      <c r="B863" t="s">
        <v>3280</v>
      </c>
      <c r="C863" t="s">
        <v>3281</v>
      </c>
      <c r="E863" t="s">
        <v>3282</v>
      </c>
      <c r="F863" s="2">
        <v>525009329</v>
      </c>
      <c r="G863" s="2">
        <v>134305895</v>
      </c>
      <c r="H863" t="s">
        <v>38</v>
      </c>
      <c r="I863" t="s">
        <v>17</v>
      </c>
      <c r="J863" t="s">
        <v>25</v>
      </c>
    </row>
    <row r="864" spans="1:11" x14ac:dyDescent="0.2">
      <c r="A864" t="s">
        <v>3283</v>
      </c>
      <c r="B864" t="s">
        <v>3284</v>
      </c>
      <c r="C864" t="s">
        <v>3285</v>
      </c>
      <c r="D864" t="s">
        <v>3286</v>
      </c>
      <c r="E864" t="s">
        <v>3287</v>
      </c>
      <c r="F864" s="2">
        <v>525217777</v>
      </c>
      <c r="G864" s="2">
        <v>133267882</v>
      </c>
      <c r="H864" t="s">
        <v>51</v>
      </c>
      <c r="I864" t="s">
        <v>17</v>
      </c>
      <c r="J864" t="s">
        <v>25</v>
      </c>
      <c r="K864" t="s">
        <v>3288</v>
      </c>
    </row>
    <row r="865" spans="1:11" x14ac:dyDescent="0.2">
      <c r="A865" t="s">
        <v>3289</v>
      </c>
      <c r="B865" t="s">
        <v>3290</v>
      </c>
      <c r="C865" t="s">
        <v>3291</v>
      </c>
      <c r="F865" s="2">
        <v>525243273</v>
      </c>
      <c r="G865" s="2">
        <v>133296027</v>
      </c>
      <c r="H865" t="s">
        <v>277</v>
      </c>
      <c r="I865" t="s">
        <v>17</v>
      </c>
      <c r="J865" t="s">
        <v>25</v>
      </c>
      <c r="K865" t="s">
        <v>3292</v>
      </c>
    </row>
    <row r="866" spans="1:11" x14ac:dyDescent="0.2">
      <c r="A866" t="s">
        <v>3293</v>
      </c>
      <c r="B866" t="s">
        <v>3294</v>
      </c>
      <c r="C866" t="s">
        <v>3295</v>
      </c>
      <c r="F866" s="2">
        <v>525241191</v>
      </c>
      <c r="G866" s="2">
        <v>133289667</v>
      </c>
      <c r="H866" t="s">
        <v>255</v>
      </c>
      <c r="I866" t="s">
        <v>17</v>
      </c>
      <c r="J866" t="s">
        <v>25</v>
      </c>
    </row>
    <row r="867" spans="1:11" x14ac:dyDescent="0.2">
      <c r="A867" t="s">
        <v>3296</v>
      </c>
      <c r="F867" s="2">
        <v>525242219</v>
      </c>
      <c r="G867" s="2">
        <v>133300197</v>
      </c>
      <c r="H867" t="s">
        <v>28</v>
      </c>
      <c r="I867" t="s">
        <v>17</v>
      </c>
      <c r="J867" t="s">
        <v>25</v>
      </c>
    </row>
    <row r="868" spans="1:11" x14ac:dyDescent="0.2">
      <c r="A868" t="s">
        <v>3297</v>
      </c>
      <c r="B868" t="s">
        <v>3298</v>
      </c>
      <c r="C868" t="s">
        <v>3299</v>
      </c>
      <c r="E868" t="s">
        <v>3300</v>
      </c>
      <c r="F868" s="2">
        <v>525018123</v>
      </c>
      <c r="G868" s="2">
        <v>134177084</v>
      </c>
      <c r="H868" t="s">
        <v>38</v>
      </c>
      <c r="I868" t="s">
        <v>17</v>
      </c>
      <c r="J868" t="s">
        <v>25</v>
      </c>
    </row>
    <row r="869" spans="1:11" x14ac:dyDescent="0.2">
      <c r="A869" t="s">
        <v>3301</v>
      </c>
      <c r="B869" t="s">
        <v>3302</v>
      </c>
      <c r="C869" t="s">
        <v>3303</v>
      </c>
      <c r="D869" t="s">
        <v>3304</v>
      </c>
      <c r="E869" t="s">
        <v>3305</v>
      </c>
      <c r="F869" s="2">
        <v>525014868</v>
      </c>
      <c r="G869" s="2">
        <v>134181472</v>
      </c>
      <c r="H869" t="s">
        <v>24</v>
      </c>
      <c r="I869" t="s">
        <v>17</v>
      </c>
      <c r="J869" t="s">
        <v>25</v>
      </c>
    </row>
    <row r="870" spans="1:11" x14ac:dyDescent="0.2">
      <c r="A870" t="s">
        <v>3306</v>
      </c>
      <c r="B870" t="s">
        <v>3307</v>
      </c>
      <c r="E870">
        <v>49303995990</v>
      </c>
      <c r="F870" s="2">
        <v>525262645</v>
      </c>
      <c r="G870" s="2">
        <v>133301138</v>
      </c>
      <c r="H870" t="s">
        <v>34</v>
      </c>
      <c r="I870" t="s">
        <v>17</v>
      </c>
      <c r="J870" t="s">
        <v>25</v>
      </c>
    </row>
    <row r="871" spans="1:11" x14ac:dyDescent="0.2">
      <c r="A871" t="s">
        <v>3308</v>
      </c>
      <c r="B871" t="s">
        <v>3309</v>
      </c>
      <c r="F871" s="2">
        <v>525266147</v>
      </c>
      <c r="G871" s="2">
        <v>133306378</v>
      </c>
      <c r="H871" t="s">
        <v>28</v>
      </c>
      <c r="I871" t="s">
        <v>17</v>
      </c>
      <c r="J871" t="s">
        <v>25</v>
      </c>
    </row>
    <row r="872" spans="1:11" x14ac:dyDescent="0.2">
      <c r="A872" t="s">
        <v>3310</v>
      </c>
      <c r="F872" s="2">
        <v>525254065</v>
      </c>
      <c r="G872" s="2">
        <v>133298869</v>
      </c>
      <c r="H872" t="s">
        <v>28</v>
      </c>
      <c r="I872" t="s">
        <v>17</v>
      </c>
      <c r="J872" t="s">
        <v>25</v>
      </c>
    </row>
    <row r="873" spans="1:11" x14ac:dyDescent="0.2">
      <c r="A873" t="s">
        <v>3311</v>
      </c>
      <c r="B873" t="s">
        <v>3312</v>
      </c>
      <c r="F873" s="2">
        <v>525024565</v>
      </c>
      <c r="G873" s="2">
        <v>134170619</v>
      </c>
      <c r="H873" t="s">
        <v>28</v>
      </c>
      <c r="I873" t="s">
        <v>17</v>
      </c>
      <c r="J873" t="s">
        <v>25</v>
      </c>
    </row>
    <row r="874" spans="1:11" x14ac:dyDescent="0.2">
      <c r="A874" t="s">
        <v>3313</v>
      </c>
      <c r="B874" t="s">
        <v>3314</v>
      </c>
      <c r="C874" t="s">
        <v>3315</v>
      </c>
      <c r="D874" t="s">
        <v>3316</v>
      </c>
      <c r="F874" s="2">
        <v>525011858</v>
      </c>
      <c r="G874" s="2">
        <v>134165717</v>
      </c>
      <c r="H874" t="s">
        <v>24</v>
      </c>
      <c r="I874" t="s">
        <v>17</v>
      </c>
      <c r="J874" t="s">
        <v>25</v>
      </c>
    </row>
    <row r="875" spans="1:11" x14ac:dyDescent="0.2">
      <c r="A875" t="s">
        <v>3317</v>
      </c>
      <c r="B875" t="s">
        <v>3318</v>
      </c>
      <c r="C875" t="s">
        <v>3319</v>
      </c>
      <c r="E875" t="s">
        <v>3320</v>
      </c>
      <c r="F875" s="2">
        <v>525012592</v>
      </c>
      <c r="G875" s="2">
        <v>134165423</v>
      </c>
      <c r="H875" t="s">
        <v>38</v>
      </c>
      <c r="I875" t="s">
        <v>17</v>
      </c>
      <c r="J875" t="s">
        <v>25</v>
      </c>
    </row>
    <row r="876" spans="1:11" x14ac:dyDescent="0.2">
      <c r="A876" t="s">
        <v>3321</v>
      </c>
      <c r="F876" s="2">
        <v>525026239</v>
      </c>
      <c r="G876" s="2">
        <v>134147967</v>
      </c>
      <c r="H876" t="s">
        <v>28</v>
      </c>
      <c r="I876" t="s">
        <v>17</v>
      </c>
      <c r="J876" t="s">
        <v>25</v>
      </c>
    </row>
    <row r="877" spans="1:11" x14ac:dyDescent="0.2">
      <c r="A877" t="s">
        <v>3322</v>
      </c>
      <c r="B877" t="s">
        <v>3323</v>
      </c>
      <c r="E877">
        <v>49306146816</v>
      </c>
      <c r="F877" s="2">
        <v>525029951</v>
      </c>
      <c r="G877" s="2">
        <v>134135396</v>
      </c>
      <c r="H877" t="s">
        <v>34</v>
      </c>
      <c r="I877" t="s">
        <v>17</v>
      </c>
      <c r="J877" t="s">
        <v>25</v>
      </c>
    </row>
    <row r="878" spans="1:11" x14ac:dyDescent="0.2">
      <c r="A878" t="s">
        <v>3324</v>
      </c>
      <c r="F878" s="2">
        <v>524997259</v>
      </c>
      <c r="G878" s="2">
        <v>134173193</v>
      </c>
      <c r="H878" t="s">
        <v>28</v>
      </c>
      <c r="I878" t="s">
        <v>17</v>
      </c>
      <c r="J878" t="s">
        <v>25</v>
      </c>
    </row>
    <row r="879" spans="1:11" x14ac:dyDescent="0.2">
      <c r="A879" t="s">
        <v>3325</v>
      </c>
      <c r="B879" t="s">
        <v>3326</v>
      </c>
      <c r="C879" t="s">
        <v>3327</v>
      </c>
      <c r="E879" t="s">
        <v>3328</v>
      </c>
      <c r="F879" s="2">
        <v>524928279</v>
      </c>
      <c r="G879" s="2">
        <v>134162445</v>
      </c>
      <c r="H879" t="s">
        <v>38</v>
      </c>
      <c r="I879" t="s">
        <v>17</v>
      </c>
      <c r="J879" t="s">
        <v>25</v>
      </c>
    </row>
    <row r="880" spans="1:11" x14ac:dyDescent="0.2">
      <c r="A880" t="s">
        <v>3329</v>
      </c>
      <c r="B880" t="s">
        <v>3330</v>
      </c>
      <c r="C880" t="s">
        <v>3331</v>
      </c>
      <c r="D880" t="s">
        <v>3332</v>
      </c>
      <c r="E880" t="s">
        <v>3333</v>
      </c>
      <c r="F880" s="2">
        <v>525007918</v>
      </c>
      <c r="G880" s="2">
        <v>134191064</v>
      </c>
      <c r="H880" t="s">
        <v>51</v>
      </c>
      <c r="I880" t="s">
        <v>17</v>
      </c>
      <c r="J880" t="s">
        <v>25</v>
      </c>
      <c r="K880" t="s">
        <v>3334</v>
      </c>
    </row>
    <row r="881" spans="1:11" x14ac:dyDescent="0.2">
      <c r="A881" t="s">
        <v>3335</v>
      </c>
      <c r="B881" t="s">
        <v>3336</v>
      </c>
      <c r="C881" t="s">
        <v>3337</v>
      </c>
      <c r="D881" t="s">
        <v>3338</v>
      </c>
      <c r="E881" t="s">
        <v>3339</v>
      </c>
      <c r="F881" s="2">
        <v>525015982</v>
      </c>
      <c r="G881" s="2">
        <v>134177362</v>
      </c>
      <c r="H881" t="s">
        <v>51</v>
      </c>
      <c r="I881" t="s">
        <v>17</v>
      </c>
      <c r="J881" t="s">
        <v>25</v>
      </c>
      <c r="K881" t="s">
        <v>3340</v>
      </c>
    </row>
    <row r="882" spans="1:11" x14ac:dyDescent="0.2">
      <c r="A882" t="s">
        <v>3341</v>
      </c>
      <c r="B882" t="s">
        <v>3342</v>
      </c>
      <c r="C882" t="s">
        <v>3343</v>
      </c>
      <c r="D882" t="s">
        <v>3344</v>
      </c>
      <c r="E882" t="s">
        <v>3345</v>
      </c>
      <c r="F882" s="2">
        <v>525114368</v>
      </c>
      <c r="G882" s="2">
        <v>13391466</v>
      </c>
      <c r="H882" t="s">
        <v>51</v>
      </c>
      <c r="I882" t="s">
        <v>17</v>
      </c>
      <c r="J882" t="s">
        <v>25</v>
      </c>
      <c r="K882" t="s">
        <v>3346</v>
      </c>
    </row>
    <row r="883" spans="1:11" x14ac:dyDescent="0.2">
      <c r="A883" t="s">
        <v>3347</v>
      </c>
      <c r="B883" t="s">
        <v>3348</v>
      </c>
      <c r="C883" t="s">
        <v>3349</v>
      </c>
      <c r="D883" t="s">
        <v>3350</v>
      </c>
      <c r="E883" t="s">
        <v>3351</v>
      </c>
      <c r="F883" s="2">
        <v>525010438</v>
      </c>
      <c r="G883" s="2">
        <v>134238472</v>
      </c>
      <c r="H883" t="s">
        <v>51</v>
      </c>
      <c r="I883" t="s">
        <v>17</v>
      </c>
      <c r="J883" t="s">
        <v>25</v>
      </c>
      <c r="K883" t="s">
        <v>3352</v>
      </c>
    </row>
    <row r="884" spans="1:11" x14ac:dyDescent="0.2">
      <c r="A884" t="s">
        <v>3353</v>
      </c>
      <c r="B884" t="s">
        <v>3354</v>
      </c>
      <c r="C884" t="s">
        <v>3355</v>
      </c>
      <c r="D884" t="s">
        <v>3356</v>
      </c>
      <c r="E884" t="s">
        <v>3357</v>
      </c>
      <c r="F884" s="2">
        <v>524916979</v>
      </c>
      <c r="G884" s="2">
        <v>134276668</v>
      </c>
      <c r="H884" t="s">
        <v>24</v>
      </c>
      <c r="I884" t="s">
        <v>17</v>
      </c>
      <c r="J884" t="s">
        <v>25</v>
      </c>
    </row>
    <row r="885" spans="1:11" x14ac:dyDescent="0.2">
      <c r="A885" t="s">
        <v>3358</v>
      </c>
      <c r="B885" t="s">
        <v>3359</v>
      </c>
      <c r="C885" t="s">
        <v>3360</v>
      </c>
      <c r="E885" t="s">
        <v>3361</v>
      </c>
      <c r="F885" s="2">
        <v>524676683</v>
      </c>
      <c r="G885" s="2">
        <v>133315808</v>
      </c>
      <c r="H885" t="s">
        <v>38</v>
      </c>
      <c r="I885" t="s">
        <v>17</v>
      </c>
      <c r="J885" t="s">
        <v>25</v>
      </c>
    </row>
    <row r="886" spans="1:11" x14ac:dyDescent="0.2">
      <c r="A886" t="s">
        <v>3362</v>
      </c>
      <c r="F886" s="2">
        <v>523997428</v>
      </c>
      <c r="G886" s="2">
        <v>135337699</v>
      </c>
      <c r="H886" t="s">
        <v>28</v>
      </c>
      <c r="I886" t="s">
        <v>17</v>
      </c>
      <c r="J886" t="s">
        <v>25</v>
      </c>
    </row>
    <row r="887" spans="1:11" x14ac:dyDescent="0.2">
      <c r="A887" t="s">
        <v>3363</v>
      </c>
      <c r="B887" t="s">
        <v>3364</v>
      </c>
      <c r="C887" t="s">
        <v>3365</v>
      </c>
      <c r="E887" t="s">
        <v>3366</v>
      </c>
      <c r="F887" s="2">
        <v>524987217</v>
      </c>
      <c r="G887" s="2">
        <v>134265244</v>
      </c>
      <c r="H887" t="s">
        <v>38</v>
      </c>
      <c r="I887" t="s">
        <v>17</v>
      </c>
      <c r="J887" t="s">
        <v>25</v>
      </c>
    </row>
    <row r="888" spans="1:11" x14ac:dyDescent="0.2">
      <c r="A888" t="s">
        <v>3367</v>
      </c>
      <c r="B888" t="s">
        <v>3368</v>
      </c>
      <c r="E888">
        <v>493075657176</v>
      </c>
      <c r="F888" s="2">
        <v>524874999</v>
      </c>
      <c r="G888" s="2">
        <v>133965047</v>
      </c>
      <c r="H888" t="s">
        <v>34</v>
      </c>
      <c r="I888" t="s">
        <v>17</v>
      </c>
      <c r="J888" t="s">
        <v>25</v>
      </c>
    </row>
    <row r="889" spans="1:11" x14ac:dyDescent="0.2">
      <c r="A889" t="s">
        <v>3369</v>
      </c>
      <c r="B889" t="s">
        <v>3370</v>
      </c>
      <c r="F889" s="2">
        <v>524973104</v>
      </c>
      <c r="G889" s="2">
        <v>133541756</v>
      </c>
      <c r="H889" t="s">
        <v>28</v>
      </c>
      <c r="I889" t="s">
        <v>17</v>
      </c>
      <c r="J889" t="s">
        <v>25</v>
      </c>
    </row>
    <row r="890" spans="1:11" x14ac:dyDescent="0.2">
      <c r="A890" t="s">
        <v>3371</v>
      </c>
      <c r="B890" t="s">
        <v>3372</v>
      </c>
      <c r="F890" s="2">
        <v>525109445</v>
      </c>
      <c r="G890" s="2">
        <v>134584138</v>
      </c>
      <c r="H890" t="s">
        <v>28</v>
      </c>
      <c r="I890" t="s">
        <v>17</v>
      </c>
      <c r="J890" t="s">
        <v>25</v>
      </c>
    </row>
    <row r="891" spans="1:11" x14ac:dyDescent="0.2">
      <c r="A891" t="s">
        <v>3373</v>
      </c>
      <c r="F891" s="2">
        <v>525118131</v>
      </c>
      <c r="G891" s="2">
        <v>133011986</v>
      </c>
      <c r="H891" t="s">
        <v>28</v>
      </c>
      <c r="I891" t="s">
        <v>17</v>
      </c>
      <c r="J891" t="s">
        <v>25</v>
      </c>
    </row>
    <row r="892" spans="1:11" x14ac:dyDescent="0.2">
      <c r="A892" t="s">
        <v>3374</v>
      </c>
      <c r="B892" t="s">
        <v>3375</v>
      </c>
      <c r="F892" s="2">
        <v>525186076</v>
      </c>
      <c r="G892" s="2">
        <v>133944256</v>
      </c>
      <c r="H892" t="s">
        <v>28</v>
      </c>
      <c r="I892" t="s">
        <v>17</v>
      </c>
      <c r="J892" t="s">
        <v>25</v>
      </c>
    </row>
    <row r="893" spans="1:11" x14ac:dyDescent="0.2">
      <c r="A893" t="s">
        <v>3376</v>
      </c>
      <c r="B893" t="s">
        <v>3377</v>
      </c>
      <c r="C893" t="s">
        <v>3378</v>
      </c>
      <c r="D893" t="s">
        <v>3379</v>
      </c>
      <c r="E893" t="s">
        <v>3380</v>
      </c>
      <c r="F893" s="2">
        <v>52522822</v>
      </c>
      <c r="G893" s="2">
        <v>134032024</v>
      </c>
      <c r="H893" t="s">
        <v>51</v>
      </c>
      <c r="I893" t="s">
        <v>17</v>
      </c>
      <c r="J893" t="s">
        <v>25</v>
      </c>
      <c r="K893" t="s">
        <v>3381</v>
      </c>
    </row>
    <row r="894" spans="1:11" x14ac:dyDescent="0.2">
      <c r="A894" t="s">
        <v>3382</v>
      </c>
      <c r="D894" t="s">
        <v>3383</v>
      </c>
      <c r="E894">
        <v>493030382900</v>
      </c>
      <c r="F894" s="2">
        <v>525050698</v>
      </c>
      <c r="G894" s="2">
        <v>132780645</v>
      </c>
      <c r="H894" t="s">
        <v>1107</v>
      </c>
      <c r="I894" t="s">
        <v>17</v>
      </c>
      <c r="J894" t="s">
        <v>25</v>
      </c>
    </row>
    <row r="895" spans="1:11" x14ac:dyDescent="0.2">
      <c r="A895" t="s">
        <v>3384</v>
      </c>
      <c r="B895" t="s">
        <v>3385</v>
      </c>
      <c r="C895" t="s">
        <v>3386</v>
      </c>
      <c r="E895" t="s">
        <v>3387</v>
      </c>
      <c r="F895" s="2">
        <v>52460251</v>
      </c>
      <c r="G895" s="2">
        <v>133175069</v>
      </c>
      <c r="H895" t="s">
        <v>38</v>
      </c>
      <c r="I895" t="s">
        <v>17</v>
      </c>
      <c r="J895" t="s">
        <v>25</v>
      </c>
    </row>
    <row r="896" spans="1:11" x14ac:dyDescent="0.2">
      <c r="A896" t="s">
        <v>3388</v>
      </c>
      <c r="B896" t="s">
        <v>3389</v>
      </c>
      <c r="F896" s="2">
        <v>525338915</v>
      </c>
      <c r="G896" s="2">
        <v>134095286</v>
      </c>
      <c r="H896" t="s">
        <v>28</v>
      </c>
      <c r="I896" t="s">
        <v>17</v>
      </c>
      <c r="J896" t="s">
        <v>25</v>
      </c>
    </row>
    <row r="897" spans="1:11" x14ac:dyDescent="0.2">
      <c r="A897" t="s">
        <v>3390</v>
      </c>
      <c r="B897" t="s">
        <v>3391</v>
      </c>
      <c r="C897" t="s">
        <v>3392</v>
      </c>
      <c r="D897" t="s">
        <v>3393</v>
      </c>
      <c r="E897" t="s">
        <v>3394</v>
      </c>
      <c r="F897" s="2">
        <v>524983176</v>
      </c>
      <c r="G897" s="2">
        <v>133853725</v>
      </c>
      <c r="H897" t="s">
        <v>51</v>
      </c>
      <c r="I897" t="s">
        <v>17</v>
      </c>
      <c r="J897" t="s">
        <v>25</v>
      </c>
      <c r="K897" t="s">
        <v>3395</v>
      </c>
    </row>
    <row r="898" spans="1:11" x14ac:dyDescent="0.2">
      <c r="A898" t="s">
        <v>3396</v>
      </c>
      <c r="B898" t="s">
        <v>3397</v>
      </c>
      <c r="C898" t="s">
        <v>3398</v>
      </c>
      <c r="E898" t="s">
        <v>3399</v>
      </c>
      <c r="F898" s="2">
        <v>525271586</v>
      </c>
      <c r="G898" s="2">
        <v>133393708</v>
      </c>
      <c r="H898" t="s">
        <v>38</v>
      </c>
      <c r="I898" t="s">
        <v>17</v>
      </c>
      <c r="J898" t="s">
        <v>25</v>
      </c>
    </row>
    <row r="899" spans="1:11" x14ac:dyDescent="0.2">
      <c r="A899" t="s">
        <v>3400</v>
      </c>
      <c r="B899" t="s">
        <v>3401</v>
      </c>
      <c r="E899" t="s">
        <v>3402</v>
      </c>
      <c r="F899" s="2">
        <v>525285105</v>
      </c>
      <c r="G899" s="2">
        <v>133415373</v>
      </c>
      <c r="H899" t="s">
        <v>34</v>
      </c>
      <c r="I899" t="s">
        <v>17</v>
      </c>
      <c r="J899" t="s">
        <v>25</v>
      </c>
    </row>
    <row r="900" spans="1:11" x14ac:dyDescent="0.2">
      <c r="A900" t="s">
        <v>3403</v>
      </c>
      <c r="B900" t="s">
        <v>3404</v>
      </c>
      <c r="C900" t="s">
        <v>3405</v>
      </c>
      <c r="E900" t="s">
        <v>3406</v>
      </c>
      <c r="F900" s="2">
        <v>525305261</v>
      </c>
      <c r="G900" s="2">
        <v>134003876</v>
      </c>
      <c r="H900" t="s">
        <v>277</v>
      </c>
      <c r="I900" t="s">
        <v>17</v>
      </c>
      <c r="J900" t="s">
        <v>25</v>
      </c>
      <c r="K900" t="s">
        <v>3407</v>
      </c>
    </row>
    <row r="901" spans="1:11" x14ac:dyDescent="0.2">
      <c r="A901" t="s">
        <v>3408</v>
      </c>
      <c r="B901" t="s">
        <v>3409</v>
      </c>
      <c r="C901" t="s">
        <v>3410</v>
      </c>
      <c r="D901" t="s">
        <v>3411</v>
      </c>
      <c r="E901" t="s">
        <v>3412</v>
      </c>
      <c r="F901" s="2">
        <v>525362795</v>
      </c>
      <c r="G901" s="2">
        <v>133762819</v>
      </c>
      <c r="H901" t="s">
        <v>16</v>
      </c>
      <c r="I901" t="s">
        <v>17</v>
      </c>
      <c r="J901" t="s">
        <v>25</v>
      </c>
    </row>
    <row r="902" spans="1:11" x14ac:dyDescent="0.2">
      <c r="A902" t="s">
        <v>3413</v>
      </c>
      <c r="B902" t="s">
        <v>3414</v>
      </c>
      <c r="C902" t="s">
        <v>3415</v>
      </c>
      <c r="E902" t="s">
        <v>3416</v>
      </c>
      <c r="F902" s="2">
        <v>524719991</v>
      </c>
      <c r="G902" s="2">
        <v>133350409</v>
      </c>
      <c r="H902" t="s">
        <v>38</v>
      </c>
      <c r="I902" t="s">
        <v>17</v>
      </c>
      <c r="J902" t="s">
        <v>25</v>
      </c>
    </row>
    <row r="903" spans="1:11" x14ac:dyDescent="0.2">
      <c r="A903" t="s">
        <v>3417</v>
      </c>
      <c r="B903" t="s">
        <v>3418</v>
      </c>
      <c r="C903" t="s">
        <v>3419</v>
      </c>
      <c r="E903" t="s">
        <v>3420</v>
      </c>
      <c r="F903" s="2">
        <v>52518387</v>
      </c>
      <c r="G903" s="2">
        <v>133079882</v>
      </c>
      <c r="H903" t="s">
        <v>38</v>
      </c>
      <c r="I903" t="s">
        <v>17</v>
      </c>
      <c r="J903" t="s">
        <v>25</v>
      </c>
    </row>
    <row r="904" spans="1:11" x14ac:dyDescent="0.2">
      <c r="A904" t="s">
        <v>3421</v>
      </c>
      <c r="B904" t="s">
        <v>3422</v>
      </c>
      <c r="F904" s="2">
        <v>525162991</v>
      </c>
      <c r="G904" s="2">
        <v>13390928</v>
      </c>
      <c r="H904" t="s">
        <v>28</v>
      </c>
      <c r="I904" t="s">
        <v>17</v>
      </c>
      <c r="J904" t="s">
        <v>25</v>
      </c>
    </row>
    <row r="905" spans="1:11" x14ac:dyDescent="0.2">
      <c r="A905" t="s">
        <v>3423</v>
      </c>
      <c r="B905" t="s">
        <v>1891</v>
      </c>
      <c r="C905" t="s">
        <v>3424</v>
      </c>
      <c r="E905" t="s">
        <v>3425</v>
      </c>
      <c r="F905" s="2">
        <v>525159089</v>
      </c>
      <c r="G905" s="2">
        <v>133911578</v>
      </c>
      <c r="H905" t="s">
        <v>38</v>
      </c>
      <c r="I905" t="s">
        <v>17</v>
      </c>
      <c r="J905" t="s">
        <v>25</v>
      </c>
    </row>
    <row r="906" spans="1:11" x14ac:dyDescent="0.2">
      <c r="A906" t="s">
        <v>3426</v>
      </c>
      <c r="B906" t="s">
        <v>3427</v>
      </c>
      <c r="C906" t="s">
        <v>3428</v>
      </c>
      <c r="E906" t="s">
        <v>3429</v>
      </c>
      <c r="F906" s="2">
        <v>5250944</v>
      </c>
      <c r="G906" s="2">
        <v>133918109</v>
      </c>
      <c r="H906" t="s">
        <v>38</v>
      </c>
      <c r="I906" t="s">
        <v>17</v>
      </c>
      <c r="J906" t="s">
        <v>25</v>
      </c>
    </row>
    <row r="907" spans="1:11" x14ac:dyDescent="0.2">
      <c r="A907" t="s">
        <v>3430</v>
      </c>
      <c r="B907" t="s">
        <v>3431</v>
      </c>
      <c r="F907" s="2">
        <v>524618082</v>
      </c>
      <c r="G907" s="2">
        <v>133231011</v>
      </c>
      <c r="H907" t="s">
        <v>28</v>
      </c>
      <c r="I907" t="s">
        <v>17</v>
      </c>
      <c r="J907" t="s">
        <v>25</v>
      </c>
    </row>
    <row r="908" spans="1:11" x14ac:dyDescent="0.2">
      <c r="A908" t="s">
        <v>3432</v>
      </c>
      <c r="B908" t="s">
        <v>3433</v>
      </c>
      <c r="C908" t="s">
        <v>3434</v>
      </c>
      <c r="D908" t="s">
        <v>3435</v>
      </c>
      <c r="E908" t="s">
        <v>3436</v>
      </c>
      <c r="F908" s="2">
        <v>525138299</v>
      </c>
      <c r="G908" s="2">
        <v>133867623</v>
      </c>
      <c r="H908" t="s">
        <v>24</v>
      </c>
      <c r="I908" t="s">
        <v>17</v>
      </c>
      <c r="J908" t="s">
        <v>25</v>
      </c>
    </row>
    <row r="909" spans="1:11" x14ac:dyDescent="0.2">
      <c r="A909" t="s">
        <v>3437</v>
      </c>
      <c r="B909" t="s">
        <v>3438</v>
      </c>
      <c r="E909" t="s">
        <v>3439</v>
      </c>
      <c r="F909" s="2">
        <v>525146612</v>
      </c>
      <c r="G909" s="2">
        <v>134974161</v>
      </c>
      <c r="H909" t="s">
        <v>34</v>
      </c>
      <c r="I909" t="s">
        <v>17</v>
      </c>
      <c r="J909" t="s">
        <v>25</v>
      </c>
    </row>
    <row r="910" spans="1:11" x14ac:dyDescent="0.2">
      <c r="A910" t="s">
        <v>3440</v>
      </c>
      <c r="C910" t="s">
        <v>3441</v>
      </c>
      <c r="D910" t="s">
        <v>3442</v>
      </c>
      <c r="F910" s="2">
        <v>52518316</v>
      </c>
      <c r="G910" s="2">
        <v>132927192</v>
      </c>
      <c r="H910" t="s">
        <v>16</v>
      </c>
      <c r="I910" t="s">
        <v>17</v>
      </c>
      <c r="J910" t="s">
        <v>25</v>
      </c>
    </row>
    <row r="911" spans="1:11" x14ac:dyDescent="0.2">
      <c r="A911" t="s">
        <v>3443</v>
      </c>
      <c r="B911" t="s">
        <v>3444</v>
      </c>
      <c r="C911" t="s">
        <v>3445</v>
      </c>
      <c r="E911" t="s">
        <v>3446</v>
      </c>
      <c r="F911" s="2">
        <v>525176949</v>
      </c>
      <c r="G911" s="2">
        <v>132909556</v>
      </c>
      <c r="H911" t="s">
        <v>38</v>
      </c>
      <c r="I911" t="s">
        <v>17</v>
      </c>
      <c r="J911" t="s">
        <v>25</v>
      </c>
    </row>
    <row r="912" spans="1:11" x14ac:dyDescent="0.2">
      <c r="A912" t="s">
        <v>3447</v>
      </c>
      <c r="B912" t="s">
        <v>3448</v>
      </c>
      <c r="E912" t="s">
        <v>3449</v>
      </c>
      <c r="F912" s="2">
        <v>525305143</v>
      </c>
      <c r="G912" s="2">
        <v>133834267</v>
      </c>
      <c r="H912" t="s">
        <v>34</v>
      </c>
      <c r="I912" t="s">
        <v>17</v>
      </c>
      <c r="J912" t="s">
        <v>25</v>
      </c>
    </row>
    <row r="913" spans="1:11" x14ac:dyDescent="0.2">
      <c r="A913" t="s">
        <v>3450</v>
      </c>
      <c r="B913" t="s">
        <v>3451</v>
      </c>
      <c r="C913" t="s">
        <v>3452</v>
      </c>
      <c r="D913" t="s">
        <v>3453</v>
      </c>
      <c r="E913" t="s">
        <v>3454</v>
      </c>
      <c r="F913" s="2">
        <v>524345251</v>
      </c>
      <c r="G913" s="2">
        <v>132495759</v>
      </c>
      <c r="H913" t="s">
        <v>16</v>
      </c>
      <c r="I913" t="s">
        <v>17</v>
      </c>
      <c r="J913" t="s">
        <v>25</v>
      </c>
    </row>
    <row r="914" spans="1:11" x14ac:dyDescent="0.2">
      <c r="A914" t="s">
        <v>3455</v>
      </c>
      <c r="B914" t="s">
        <v>3456</v>
      </c>
      <c r="C914" t="s">
        <v>3457</v>
      </c>
      <c r="D914" t="s">
        <v>3458</v>
      </c>
      <c r="E914" t="s">
        <v>3459</v>
      </c>
      <c r="F914" s="2">
        <v>52482386</v>
      </c>
      <c r="G914" s="2">
        <v>132889504</v>
      </c>
      <c r="H914" t="s">
        <v>24</v>
      </c>
      <c r="I914" t="s">
        <v>17</v>
      </c>
      <c r="J914" t="s">
        <v>25</v>
      </c>
    </row>
    <row r="915" spans="1:11" x14ac:dyDescent="0.2">
      <c r="A915" t="s">
        <v>3460</v>
      </c>
      <c r="B915" t="s">
        <v>3461</v>
      </c>
      <c r="C915" t="s">
        <v>3462</v>
      </c>
      <c r="D915" t="s">
        <v>3463</v>
      </c>
      <c r="E915" t="s">
        <v>3464</v>
      </c>
      <c r="F915" s="2">
        <v>525088616</v>
      </c>
      <c r="G915" s="2">
        <v>133886209</v>
      </c>
      <c r="H915" t="s">
        <v>24</v>
      </c>
      <c r="I915" t="s">
        <v>17</v>
      </c>
      <c r="J915" t="s">
        <v>25</v>
      </c>
    </row>
    <row r="916" spans="1:11" x14ac:dyDescent="0.2">
      <c r="A916" t="s">
        <v>3465</v>
      </c>
      <c r="C916" t="s">
        <v>3466</v>
      </c>
      <c r="D916" t="s">
        <v>3467</v>
      </c>
      <c r="E916" t="s">
        <v>3468</v>
      </c>
      <c r="F916" s="2">
        <v>524178382</v>
      </c>
      <c r="G916" s="2">
        <v>131455846</v>
      </c>
      <c r="H916" t="s">
        <v>51</v>
      </c>
      <c r="I916" t="s">
        <v>17</v>
      </c>
      <c r="J916" t="s">
        <v>25</v>
      </c>
      <c r="K916" t="s">
        <v>3469</v>
      </c>
    </row>
    <row r="917" spans="1:11" x14ac:dyDescent="0.2">
      <c r="A917" t="s">
        <v>3470</v>
      </c>
      <c r="B917" t="s">
        <v>3471</v>
      </c>
      <c r="F917" s="2">
        <v>525145512</v>
      </c>
      <c r="G917" s="2">
        <v>133012701</v>
      </c>
      <c r="H917" t="s">
        <v>28</v>
      </c>
      <c r="I917" t="s">
        <v>17</v>
      </c>
      <c r="J917" t="s">
        <v>25</v>
      </c>
    </row>
    <row r="918" spans="1:11" x14ac:dyDescent="0.2">
      <c r="A918" t="s">
        <v>3472</v>
      </c>
      <c r="B918" t="s">
        <v>3473</v>
      </c>
      <c r="C918" t="s">
        <v>3474</v>
      </c>
      <c r="E918" t="s">
        <v>3475</v>
      </c>
      <c r="F918" s="2">
        <v>525125381</v>
      </c>
      <c r="G918" s="2">
        <v>132944244</v>
      </c>
      <c r="H918" t="s">
        <v>38</v>
      </c>
      <c r="I918" t="s">
        <v>17</v>
      </c>
      <c r="J918" t="s">
        <v>25</v>
      </c>
    </row>
    <row r="919" spans="1:11" x14ac:dyDescent="0.2">
      <c r="A919" t="s">
        <v>3476</v>
      </c>
      <c r="B919" t="s">
        <v>3477</v>
      </c>
      <c r="C919" t="s">
        <v>3478</v>
      </c>
      <c r="E919" t="s">
        <v>3479</v>
      </c>
      <c r="F919" s="2">
        <v>525149541</v>
      </c>
      <c r="G919" s="2">
        <v>133027152</v>
      </c>
      <c r="H919" t="s">
        <v>38</v>
      </c>
      <c r="I919" t="s">
        <v>17</v>
      </c>
      <c r="J919" t="s">
        <v>25</v>
      </c>
    </row>
    <row r="920" spans="1:11" x14ac:dyDescent="0.2">
      <c r="A920" t="s">
        <v>3480</v>
      </c>
      <c r="B920" t="s">
        <v>3481</v>
      </c>
      <c r="C920" t="s">
        <v>3482</v>
      </c>
      <c r="D920" t="s">
        <v>3483</v>
      </c>
      <c r="F920" s="2">
        <v>525047873</v>
      </c>
      <c r="G920" s="2">
        <v>133376813</v>
      </c>
      <c r="H920" t="s">
        <v>51</v>
      </c>
      <c r="I920" t="s">
        <v>17</v>
      </c>
      <c r="J920" t="s">
        <v>25</v>
      </c>
      <c r="K920" t="s">
        <v>3484</v>
      </c>
    </row>
    <row r="921" spans="1:11" x14ac:dyDescent="0.2">
      <c r="A921" t="s">
        <v>3485</v>
      </c>
      <c r="B921" t="s">
        <v>3486</v>
      </c>
      <c r="F921" s="2">
        <v>525008266</v>
      </c>
      <c r="G921" s="2">
        <v>133866122</v>
      </c>
      <c r="H921" t="s">
        <v>28</v>
      </c>
      <c r="I921" t="s">
        <v>17</v>
      </c>
      <c r="J921" t="s">
        <v>25</v>
      </c>
    </row>
    <row r="922" spans="1:11" x14ac:dyDescent="0.2">
      <c r="A922" t="s">
        <v>3487</v>
      </c>
      <c r="B922" t="s">
        <v>3488</v>
      </c>
      <c r="C922" t="s">
        <v>3489</v>
      </c>
      <c r="D922" t="s">
        <v>3490</v>
      </c>
      <c r="F922" s="2">
        <v>525135583</v>
      </c>
      <c r="G922" s="2">
        <v>133067199</v>
      </c>
      <c r="H922" t="s">
        <v>24</v>
      </c>
      <c r="I922" t="s">
        <v>17</v>
      </c>
      <c r="J922" t="s">
        <v>25</v>
      </c>
    </row>
    <row r="923" spans="1:11" x14ac:dyDescent="0.2">
      <c r="A923" t="s">
        <v>3491</v>
      </c>
      <c r="B923" t="s">
        <v>3492</v>
      </c>
      <c r="C923" t="s">
        <v>3493</v>
      </c>
      <c r="F923" s="2">
        <v>525188198</v>
      </c>
      <c r="G923" s="2">
        <v>133012614</v>
      </c>
      <c r="H923" t="s">
        <v>255</v>
      </c>
      <c r="I923" t="s">
        <v>17</v>
      </c>
      <c r="J923" t="s">
        <v>25</v>
      </c>
    </row>
    <row r="924" spans="1:11" x14ac:dyDescent="0.2">
      <c r="A924" t="s">
        <v>3494</v>
      </c>
      <c r="B924" t="s">
        <v>3495</v>
      </c>
      <c r="F924" s="2">
        <v>52494906</v>
      </c>
      <c r="G924" s="2">
        <v>134333051</v>
      </c>
      <c r="H924" t="s">
        <v>28</v>
      </c>
      <c r="I924" t="s">
        <v>17</v>
      </c>
      <c r="J924" t="s">
        <v>25</v>
      </c>
    </row>
    <row r="925" spans="1:11" x14ac:dyDescent="0.2">
      <c r="A925" t="s">
        <v>3496</v>
      </c>
      <c r="B925" t="s">
        <v>3497</v>
      </c>
      <c r="C925" t="s">
        <v>3498</v>
      </c>
      <c r="D925" t="s">
        <v>3499</v>
      </c>
      <c r="E925">
        <v>49303036287261</v>
      </c>
      <c r="F925" s="2">
        <v>525090192</v>
      </c>
      <c r="G925" s="2">
        <v>133231856</v>
      </c>
      <c r="H925" t="s">
        <v>51</v>
      </c>
      <c r="I925" t="s">
        <v>17</v>
      </c>
      <c r="J925" t="s">
        <v>25</v>
      </c>
      <c r="K925" t="s">
        <v>3500</v>
      </c>
    </row>
    <row r="926" spans="1:11" x14ac:dyDescent="0.2">
      <c r="A926" t="s">
        <v>3501</v>
      </c>
      <c r="B926" t="s">
        <v>3502</v>
      </c>
      <c r="C926" t="s">
        <v>3503</v>
      </c>
      <c r="E926">
        <v>49303125982</v>
      </c>
      <c r="F926" s="2">
        <v>525091208</v>
      </c>
      <c r="G926" s="2">
        <v>133232043</v>
      </c>
      <c r="H926" t="s">
        <v>38</v>
      </c>
      <c r="I926" t="s">
        <v>17</v>
      </c>
      <c r="J926" t="s">
        <v>25</v>
      </c>
    </row>
    <row r="927" spans="1:11" x14ac:dyDescent="0.2">
      <c r="A927" t="s">
        <v>3504</v>
      </c>
      <c r="B927" t="s">
        <v>3505</v>
      </c>
      <c r="C927" t="s">
        <v>3506</v>
      </c>
      <c r="D927" t="s">
        <v>3507</v>
      </c>
      <c r="E927">
        <v>493088713630</v>
      </c>
      <c r="F927" s="2">
        <v>525084202</v>
      </c>
      <c r="G927" s="2">
        <v>133230919</v>
      </c>
      <c r="H927" t="s">
        <v>24</v>
      </c>
      <c r="I927" t="s">
        <v>17</v>
      </c>
      <c r="J927" t="s">
        <v>25</v>
      </c>
    </row>
    <row r="928" spans="1:11" x14ac:dyDescent="0.2">
      <c r="A928" t="s">
        <v>3508</v>
      </c>
      <c r="B928" t="s">
        <v>3509</v>
      </c>
      <c r="C928" t="s">
        <v>3510</v>
      </c>
      <c r="D928" t="s">
        <v>3511</v>
      </c>
      <c r="F928" s="2">
        <v>52439194</v>
      </c>
      <c r="G928" s="2">
        <v>132153357</v>
      </c>
      <c r="H928" t="s">
        <v>24</v>
      </c>
      <c r="I928" t="s">
        <v>17</v>
      </c>
      <c r="J928" t="s">
        <v>25</v>
      </c>
    </row>
    <row r="929" spans="1:11" x14ac:dyDescent="0.2">
      <c r="A929" t="s">
        <v>3512</v>
      </c>
      <c r="F929" s="2">
        <v>524908411</v>
      </c>
      <c r="G929" s="2">
        <v>133940164</v>
      </c>
      <c r="H929" t="s">
        <v>28</v>
      </c>
      <c r="I929" t="s">
        <v>17</v>
      </c>
      <c r="J929" t="s">
        <v>25</v>
      </c>
    </row>
    <row r="930" spans="1:11" x14ac:dyDescent="0.2">
      <c r="A930" t="s">
        <v>3513</v>
      </c>
      <c r="B930" t="s">
        <v>3514</v>
      </c>
      <c r="C930" t="s">
        <v>3515</v>
      </c>
      <c r="D930" t="s">
        <v>3516</v>
      </c>
      <c r="F930" s="2">
        <v>525076558</v>
      </c>
      <c r="G930" s="2">
        <v>13322968</v>
      </c>
      <c r="H930" t="s">
        <v>51</v>
      </c>
      <c r="I930" t="s">
        <v>17</v>
      </c>
      <c r="J930" t="s">
        <v>25</v>
      </c>
      <c r="K930" t="s">
        <v>3517</v>
      </c>
    </row>
    <row r="931" spans="1:11" x14ac:dyDescent="0.2">
      <c r="A931" t="s">
        <v>3518</v>
      </c>
      <c r="B931" t="s">
        <v>3519</v>
      </c>
      <c r="C931" t="s">
        <v>3520</v>
      </c>
      <c r="D931" t="s">
        <v>3521</v>
      </c>
      <c r="E931" t="s">
        <v>3522</v>
      </c>
      <c r="F931" s="2">
        <v>524782278</v>
      </c>
      <c r="G931" s="2">
        <v>134480225</v>
      </c>
      <c r="H931" t="s">
        <v>24</v>
      </c>
      <c r="I931" t="s">
        <v>17</v>
      </c>
      <c r="J931" t="s">
        <v>25</v>
      </c>
    </row>
    <row r="932" spans="1:11" x14ac:dyDescent="0.2">
      <c r="A932" t="s">
        <v>3523</v>
      </c>
      <c r="B932" t="s">
        <v>3524</v>
      </c>
      <c r="C932" t="s">
        <v>3525</v>
      </c>
      <c r="E932">
        <v>493031804850</v>
      </c>
      <c r="F932" s="2">
        <v>525074515</v>
      </c>
      <c r="G932" s="2">
        <v>133143209</v>
      </c>
      <c r="H932" t="s">
        <v>277</v>
      </c>
      <c r="I932" t="s">
        <v>17</v>
      </c>
      <c r="J932" t="s">
        <v>25</v>
      </c>
      <c r="K932" t="s">
        <v>3526</v>
      </c>
    </row>
    <row r="933" spans="1:11" x14ac:dyDescent="0.2">
      <c r="A933" t="s">
        <v>3527</v>
      </c>
      <c r="E933" t="s">
        <v>3528</v>
      </c>
      <c r="F933" s="2">
        <v>525244375</v>
      </c>
      <c r="G933" s="2">
        <v>133922437</v>
      </c>
      <c r="H933" t="s">
        <v>34</v>
      </c>
      <c r="I933" t="s">
        <v>17</v>
      </c>
      <c r="J933" t="s">
        <v>25</v>
      </c>
    </row>
    <row r="934" spans="1:11" x14ac:dyDescent="0.2">
      <c r="A934" t="s">
        <v>3529</v>
      </c>
      <c r="B934" t="s">
        <v>3530</v>
      </c>
      <c r="C934" t="s">
        <v>3531</v>
      </c>
      <c r="D934" t="s">
        <v>3532</v>
      </c>
      <c r="E934" t="s">
        <v>3533</v>
      </c>
      <c r="F934" s="2">
        <v>525002819</v>
      </c>
      <c r="G934" s="2">
        <v>134429636</v>
      </c>
      <c r="H934" t="s">
        <v>51</v>
      </c>
      <c r="I934" t="s">
        <v>17</v>
      </c>
      <c r="J934" t="s">
        <v>25</v>
      </c>
      <c r="K934" t="s">
        <v>3534</v>
      </c>
    </row>
    <row r="935" spans="1:11" x14ac:dyDescent="0.2">
      <c r="A935" t="s">
        <v>3535</v>
      </c>
      <c r="B935" t="s">
        <v>3536</v>
      </c>
      <c r="C935" t="s">
        <v>3537</v>
      </c>
      <c r="D935" t="s">
        <v>3538</v>
      </c>
      <c r="E935" t="s">
        <v>3539</v>
      </c>
      <c r="F935" s="2">
        <v>525185441</v>
      </c>
      <c r="G935" s="2">
        <v>134643907</v>
      </c>
      <c r="H935" t="s">
        <v>24</v>
      </c>
      <c r="I935" t="s">
        <v>17</v>
      </c>
      <c r="J935" t="s">
        <v>25</v>
      </c>
    </row>
    <row r="936" spans="1:11" x14ac:dyDescent="0.2">
      <c r="A936" t="s">
        <v>3540</v>
      </c>
      <c r="B936" t="s">
        <v>3541</v>
      </c>
      <c r="C936" t="s">
        <v>3542</v>
      </c>
      <c r="D936" t="s">
        <v>3543</v>
      </c>
      <c r="E936" t="s">
        <v>3544</v>
      </c>
      <c r="F936" s="2">
        <v>525058644</v>
      </c>
      <c r="G936" s="2">
        <v>133284905</v>
      </c>
      <c r="H936" t="s">
        <v>24</v>
      </c>
      <c r="I936" t="s">
        <v>17</v>
      </c>
      <c r="J936" t="s">
        <v>25</v>
      </c>
    </row>
    <row r="937" spans="1:11" x14ac:dyDescent="0.2">
      <c r="A937" t="s">
        <v>3545</v>
      </c>
      <c r="B937" t="s">
        <v>3546</v>
      </c>
      <c r="C937" t="s">
        <v>3547</v>
      </c>
      <c r="E937" t="s">
        <v>3548</v>
      </c>
      <c r="F937" s="2">
        <v>525404791</v>
      </c>
      <c r="G937" s="2">
        <v>133513579</v>
      </c>
      <c r="H937" t="s">
        <v>38</v>
      </c>
      <c r="I937" t="s">
        <v>17</v>
      </c>
      <c r="J937" t="s">
        <v>25</v>
      </c>
    </row>
    <row r="938" spans="1:11" x14ac:dyDescent="0.2">
      <c r="A938" t="s">
        <v>3549</v>
      </c>
      <c r="B938" t="s">
        <v>3550</v>
      </c>
      <c r="F938" s="2">
        <v>52491205</v>
      </c>
      <c r="G938" s="2">
        <v>134119355</v>
      </c>
      <c r="H938" t="s">
        <v>28</v>
      </c>
      <c r="I938" t="s">
        <v>17</v>
      </c>
      <c r="J938" t="s">
        <v>25</v>
      </c>
    </row>
    <row r="939" spans="1:11" x14ac:dyDescent="0.2">
      <c r="A939" t="s">
        <v>3551</v>
      </c>
      <c r="B939" t="s">
        <v>3552</v>
      </c>
      <c r="C939" t="s">
        <v>3553</v>
      </c>
      <c r="E939">
        <v>493061289992</v>
      </c>
      <c r="F939" s="2">
        <v>524963757</v>
      </c>
      <c r="G939" s="2">
        <v>134208114</v>
      </c>
      <c r="H939" t="s">
        <v>277</v>
      </c>
      <c r="I939" t="s">
        <v>17</v>
      </c>
      <c r="J939" t="s">
        <v>25</v>
      </c>
      <c r="K939" t="s">
        <v>3554</v>
      </c>
    </row>
    <row r="940" spans="1:11" x14ac:dyDescent="0.2">
      <c r="A940" t="s">
        <v>3555</v>
      </c>
      <c r="B940" t="s">
        <v>3556</v>
      </c>
      <c r="F940" s="2">
        <v>524904383</v>
      </c>
      <c r="G940" s="2">
        <v>134104847</v>
      </c>
      <c r="H940" t="s">
        <v>28</v>
      </c>
      <c r="I940" t="s">
        <v>17</v>
      </c>
      <c r="J940" t="s">
        <v>25</v>
      </c>
    </row>
    <row r="941" spans="1:11" x14ac:dyDescent="0.2">
      <c r="A941" t="s">
        <v>3557</v>
      </c>
      <c r="B941" t="s">
        <v>3558</v>
      </c>
      <c r="C941" t="s">
        <v>3559</v>
      </c>
      <c r="E941" t="s">
        <v>3560</v>
      </c>
      <c r="F941" s="2">
        <v>524314909</v>
      </c>
      <c r="G941" s="2">
        <v>135369347</v>
      </c>
      <c r="H941" t="s">
        <v>38</v>
      </c>
      <c r="I941" t="s">
        <v>17</v>
      </c>
      <c r="J941" t="s">
        <v>25</v>
      </c>
    </row>
    <row r="942" spans="1:11" x14ac:dyDescent="0.2">
      <c r="A942" t="s">
        <v>3561</v>
      </c>
      <c r="B942" t="s">
        <v>3562</v>
      </c>
      <c r="F942" s="2">
        <v>524629807</v>
      </c>
      <c r="G942" s="2">
        <v>133191713</v>
      </c>
      <c r="H942" t="s">
        <v>28</v>
      </c>
      <c r="I942" t="s">
        <v>17</v>
      </c>
      <c r="J942" t="s">
        <v>25</v>
      </c>
    </row>
    <row r="943" spans="1:11" x14ac:dyDescent="0.2">
      <c r="A943" t="s">
        <v>3563</v>
      </c>
      <c r="B943" t="s">
        <v>3564</v>
      </c>
      <c r="C943" t="s">
        <v>3565</v>
      </c>
      <c r="D943" t="s">
        <v>3566</v>
      </c>
      <c r="E943" t="s">
        <v>3567</v>
      </c>
      <c r="F943" s="2">
        <v>52548544</v>
      </c>
      <c r="G943" s="2">
        <v>135469928</v>
      </c>
      <c r="H943" t="s">
        <v>24</v>
      </c>
      <c r="I943" t="s">
        <v>17</v>
      </c>
      <c r="J943" t="s">
        <v>25</v>
      </c>
    </row>
    <row r="944" spans="1:11" x14ac:dyDescent="0.2">
      <c r="A944" t="s">
        <v>3568</v>
      </c>
      <c r="B944" t="s">
        <v>1895</v>
      </c>
      <c r="C944" t="s">
        <v>3569</v>
      </c>
      <c r="D944" t="s">
        <v>3570</v>
      </c>
      <c r="E944" t="s">
        <v>3571</v>
      </c>
      <c r="F944" s="2">
        <v>525222705</v>
      </c>
      <c r="G944" s="2">
        <v>133992261</v>
      </c>
      <c r="H944" t="s">
        <v>24</v>
      </c>
      <c r="I944" t="s">
        <v>17</v>
      </c>
      <c r="J944" t="s">
        <v>25</v>
      </c>
    </row>
    <row r="945" spans="1:11" x14ac:dyDescent="0.2">
      <c r="A945" t="s">
        <v>3572</v>
      </c>
      <c r="B945" t="s">
        <v>3573</v>
      </c>
      <c r="C945" t="s">
        <v>3574</v>
      </c>
      <c r="D945" t="s">
        <v>3575</v>
      </c>
      <c r="F945" s="2">
        <v>524995755</v>
      </c>
      <c r="G945" s="2">
        <v>134451877</v>
      </c>
      <c r="H945" t="s">
        <v>16</v>
      </c>
      <c r="I945" t="s">
        <v>17</v>
      </c>
      <c r="J945" t="s">
        <v>25</v>
      </c>
    </row>
    <row r="946" spans="1:11" x14ac:dyDescent="0.2">
      <c r="A946" t="s">
        <v>3576</v>
      </c>
      <c r="B946" t="s">
        <v>3577</v>
      </c>
      <c r="C946" t="s">
        <v>3578</v>
      </c>
      <c r="D946" t="s">
        <v>3579</v>
      </c>
      <c r="E946">
        <v>493037591414</v>
      </c>
      <c r="F946" s="2">
        <v>525080331</v>
      </c>
      <c r="G946" s="2">
        <v>133052653</v>
      </c>
      <c r="H946" t="s">
        <v>51</v>
      </c>
      <c r="I946" t="s">
        <v>17</v>
      </c>
      <c r="J946" t="s">
        <v>25</v>
      </c>
      <c r="K946" t="s">
        <v>3580</v>
      </c>
    </row>
    <row r="947" spans="1:11" x14ac:dyDescent="0.2">
      <c r="A947" t="s">
        <v>3581</v>
      </c>
      <c r="B947" t="s">
        <v>3582</v>
      </c>
      <c r="C947" t="s">
        <v>3583</v>
      </c>
      <c r="D947" t="s">
        <v>3584</v>
      </c>
      <c r="F947" s="2">
        <v>524910456</v>
      </c>
      <c r="G947" s="2">
        <v>134106002</v>
      </c>
      <c r="H947" t="s">
        <v>304</v>
      </c>
      <c r="I947" t="s">
        <v>17</v>
      </c>
      <c r="J947" t="s">
        <v>25</v>
      </c>
      <c r="K947" t="s">
        <v>3585</v>
      </c>
    </row>
    <row r="948" spans="1:11" x14ac:dyDescent="0.2">
      <c r="A948" t="s">
        <v>3586</v>
      </c>
      <c r="B948" t="s">
        <v>3587</v>
      </c>
      <c r="C948" t="s">
        <v>3588</v>
      </c>
      <c r="E948" t="s">
        <v>3589</v>
      </c>
      <c r="F948" s="2">
        <v>524923133</v>
      </c>
      <c r="G948" s="2">
        <v>134138776</v>
      </c>
      <c r="H948" t="s">
        <v>38</v>
      </c>
      <c r="I948" t="s">
        <v>17</v>
      </c>
      <c r="J948" t="s">
        <v>25</v>
      </c>
    </row>
    <row r="949" spans="1:11" x14ac:dyDescent="0.2">
      <c r="A949" t="s">
        <v>3590</v>
      </c>
      <c r="B949" t="s">
        <v>3591</v>
      </c>
      <c r="C949" t="s">
        <v>3592</v>
      </c>
      <c r="D949" t="s">
        <v>3593</v>
      </c>
      <c r="E949" t="s">
        <v>3594</v>
      </c>
      <c r="F949" s="2">
        <v>525009751</v>
      </c>
      <c r="G949" s="2">
        <v>134308101</v>
      </c>
      <c r="H949" t="s">
        <v>24</v>
      </c>
      <c r="I949" t="s">
        <v>17</v>
      </c>
      <c r="J949" t="s">
        <v>25</v>
      </c>
    </row>
    <row r="950" spans="1:11" x14ac:dyDescent="0.2">
      <c r="A950" t="s">
        <v>3595</v>
      </c>
      <c r="B950" t="s">
        <v>3596</v>
      </c>
      <c r="C950" t="s">
        <v>3597</v>
      </c>
      <c r="D950" t="s">
        <v>3598</v>
      </c>
      <c r="F950" s="2">
        <v>52502969</v>
      </c>
      <c r="G950" s="2">
        <v>134309782</v>
      </c>
      <c r="H950" t="s">
        <v>51</v>
      </c>
      <c r="I950" t="s">
        <v>17</v>
      </c>
      <c r="J950" t="s">
        <v>25</v>
      </c>
      <c r="K950" t="s">
        <v>3599</v>
      </c>
    </row>
    <row r="951" spans="1:11" x14ac:dyDescent="0.2">
      <c r="A951" t="s">
        <v>3600</v>
      </c>
      <c r="B951" t="s">
        <v>225</v>
      </c>
      <c r="C951" t="s">
        <v>3601</v>
      </c>
      <c r="E951" t="s">
        <v>3602</v>
      </c>
      <c r="F951" s="2">
        <v>52486482</v>
      </c>
      <c r="G951" s="2">
        <v>133504514</v>
      </c>
      <c r="H951" t="s">
        <v>38</v>
      </c>
      <c r="I951" t="s">
        <v>17</v>
      </c>
      <c r="J951" t="s">
        <v>25</v>
      </c>
    </row>
    <row r="952" spans="1:11" x14ac:dyDescent="0.2">
      <c r="A952" t="s">
        <v>3603</v>
      </c>
      <c r="B952" t="s">
        <v>3604</v>
      </c>
      <c r="C952" t="s">
        <v>3605</v>
      </c>
      <c r="D952" t="s">
        <v>3606</v>
      </c>
      <c r="E952">
        <v>493072290850</v>
      </c>
      <c r="F952" s="2">
        <v>524903191</v>
      </c>
      <c r="G952" s="2">
        <v>134175617</v>
      </c>
      <c r="H952" t="s">
        <v>24</v>
      </c>
      <c r="I952" t="s">
        <v>17</v>
      </c>
      <c r="J952" t="s">
        <v>25</v>
      </c>
    </row>
    <row r="953" spans="1:11" x14ac:dyDescent="0.2">
      <c r="A953" t="s">
        <v>3607</v>
      </c>
      <c r="B953" t="s">
        <v>3608</v>
      </c>
      <c r="C953" t="s">
        <v>3609</v>
      </c>
      <c r="D953" t="s">
        <v>3610</v>
      </c>
      <c r="E953">
        <v>493054899014</v>
      </c>
      <c r="F953" s="2">
        <v>52505403</v>
      </c>
      <c r="G953" s="2">
        <v>133019159</v>
      </c>
      <c r="H953" t="s">
        <v>51</v>
      </c>
      <c r="I953" t="s">
        <v>17</v>
      </c>
      <c r="J953" t="s">
        <v>25</v>
      </c>
      <c r="K953" t="s">
        <v>3611</v>
      </c>
    </row>
    <row r="954" spans="1:11" x14ac:dyDescent="0.2">
      <c r="A954" t="s">
        <v>3612</v>
      </c>
      <c r="B954" t="s">
        <v>3613</v>
      </c>
      <c r="C954" t="s">
        <v>3614</v>
      </c>
      <c r="D954" t="s">
        <v>3615</v>
      </c>
      <c r="E954" t="s">
        <v>3616</v>
      </c>
      <c r="F954" s="2">
        <v>524993517</v>
      </c>
      <c r="G954" s="2">
        <v>133570701</v>
      </c>
      <c r="H954" t="s">
        <v>51</v>
      </c>
      <c r="I954" t="s">
        <v>17</v>
      </c>
      <c r="J954" t="s">
        <v>25</v>
      </c>
      <c r="K954" t="s">
        <v>3617</v>
      </c>
    </row>
    <row r="955" spans="1:11" x14ac:dyDescent="0.2">
      <c r="A955" t="s">
        <v>3618</v>
      </c>
      <c r="B955" t="s">
        <v>3619</v>
      </c>
      <c r="F955" s="2">
        <v>524918249</v>
      </c>
      <c r="G955" s="2">
        <v>134138554</v>
      </c>
      <c r="H955" t="s">
        <v>28</v>
      </c>
      <c r="I955" t="s">
        <v>17</v>
      </c>
      <c r="J955" t="s">
        <v>25</v>
      </c>
    </row>
    <row r="956" spans="1:11" x14ac:dyDescent="0.2">
      <c r="A956" t="s">
        <v>3620</v>
      </c>
      <c r="B956" t="s">
        <v>3621</v>
      </c>
      <c r="C956" t="s">
        <v>3622</v>
      </c>
      <c r="E956">
        <v>493061620866</v>
      </c>
      <c r="F956" s="2">
        <v>524909534</v>
      </c>
      <c r="G956" s="2">
        <v>134133602</v>
      </c>
      <c r="H956" t="s">
        <v>38</v>
      </c>
      <c r="I956" t="s">
        <v>17</v>
      </c>
      <c r="J956" t="s">
        <v>25</v>
      </c>
    </row>
    <row r="957" spans="1:11" x14ac:dyDescent="0.2">
      <c r="A957" t="s">
        <v>3623</v>
      </c>
      <c r="B957" t="s">
        <v>3624</v>
      </c>
      <c r="F957" s="2">
        <v>524907883</v>
      </c>
      <c r="G957" s="2">
        <v>134134032</v>
      </c>
      <c r="H957" t="s">
        <v>28</v>
      </c>
      <c r="I957" t="s">
        <v>17</v>
      </c>
      <c r="J957" t="s">
        <v>25</v>
      </c>
    </row>
    <row r="958" spans="1:11" x14ac:dyDescent="0.2">
      <c r="A958" t="s">
        <v>3625</v>
      </c>
      <c r="B958" t="s">
        <v>3626</v>
      </c>
      <c r="F958" s="2">
        <v>52526308</v>
      </c>
      <c r="G958" s="2">
        <v>133889346</v>
      </c>
      <c r="H958" t="s">
        <v>28</v>
      </c>
      <c r="I958" t="s">
        <v>17</v>
      </c>
      <c r="J958" t="s">
        <v>25</v>
      </c>
    </row>
    <row r="959" spans="1:11" x14ac:dyDescent="0.2">
      <c r="A959" t="s">
        <v>3627</v>
      </c>
      <c r="B959" t="s">
        <v>3628</v>
      </c>
      <c r="C959" t="s">
        <v>3629</v>
      </c>
      <c r="D959" t="s">
        <v>3630</v>
      </c>
      <c r="E959" t="s">
        <v>3631</v>
      </c>
      <c r="F959" s="2">
        <v>524706435</v>
      </c>
      <c r="G959" s="2">
        <v>133294191</v>
      </c>
      <c r="H959" t="s">
        <v>16</v>
      </c>
      <c r="I959" t="s">
        <v>17</v>
      </c>
      <c r="J959" t="s">
        <v>25</v>
      </c>
    </row>
    <row r="960" spans="1:11" x14ac:dyDescent="0.2">
      <c r="A960" t="s">
        <v>3632</v>
      </c>
      <c r="B960" t="s">
        <v>3633</v>
      </c>
      <c r="C960" t="s">
        <v>3634</v>
      </c>
      <c r="D960" t="s">
        <v>3635</v>
      </c>
      <c r="E960" t="s">
        <v>3636</v>
      </c>
      <c r="F960" s="2">
        <v>525035837</v>
      </c>
      <c r="G960" s="2">
        <v>133240854</v>
      </c>
      <c r="H960" t="s">
        <v>24</v>
      </c>
      <c r="I960" t="s">
        <v>17</v>
      </c>
      <c r="J960" t="s">
        <v>25</v>
      </c>
    </row>
    <row r="961" spans="1:11" x14ac:dyDescent="0.2">
      <c r="A961" t="s">
        <v>3637</v>
      </c>
      <c r="B961" t="s">
        <v>3638</v>
      </c>
      <c r="C961" t="s">
        <v>3639</v>
      </c>
      <c r="D961" t="s">
        <v>3640</v>
      </c>
      <c r="E961" t="s">
        <v>3641</v>
      </c>
      <c r="F961" s="2">
        <v>525274482</v>
      </c>
      <c r="G961" s="2">
        <v>133864664</v>
      </c>
      <c r="H961" t="s">
        <v>16</v>
      </c>
      <c r="I961" t="s">
        <v>17</v>
      </c>
      <c r="J961" t="s">
        <v>25</v>
      </c>
    </row>
    <row r="962" spans="1:11" x14ac:dyDescent="0.2">
      <c r="A962" t="s">
        <v>3642</v>
      </c>
      <c r="B962" t="s">
        <v>3643</v>
      </c>
      <c r="D962" t="s">
        <v>3644</v>
      </c>
      <c r="E962">
        <v>493069004363</v>
      </c>
      <c r="F962" s="2">
        <v>524916792</v>
      </c>
      <c r="G962" s="2">
        <v>133908912</v>
      </c>
      <c r="H962" t="s">
        <v>1107</v>
      </c>
      <c r="I962" t="s">
        <v>17</v>
      </c>
      <c r="J962" t="s">
        <v>25</v>
      </c>
    </row>
    <row r="963" spans="1:11" x14ac:dyDescent="0.2">
      <c r="A963" t="s">
        <v>3645</v>
      </c>
      <c r="B963" t="s">
        <v>3646</v>
      </c>
      <c r="F963" s="2">
        <v>52492421</v>
      </c>
      <c r="G963" s="2">
        <v>13388492</v>
      </c>
      <c r="H963" t="s">
        <v>28</v>
      </c>
      <c r="I963" t="s">
        <v>17</v>
      </c>
      <c r="J963" t="s">
        <v>25</v>
      </c>
    </row>
    <row r="964" spans="1:11" x14ac:dyDescent="0.2">
      <c r="A964" t="s">
        <v>3647</v>
      </c>
      <c r="B964" t="s">
        <v>3648</v>
      </c>
      <c r="C964" t="s">
        <v>3649</v>
      </c>
      <c r="D964" t="s">
        <v>3650</v>
      </c>
      <c r="E964" t="s">
        <v>3651</v>
      </c>
      <c r="F964" s="2">
        <v>52488756</v>
      </c>
      <c r="G964" s="2">
        <v>133973908</v>
      </c>
      <c r="H964" t="s">
        <v>24</v>
      </c>
      <c r="I964" t="s">
        <v>17</v>
      </c>
      <c r="J964" t="s">
        <v>25</v>
      </c>
    </row>
    <row r="965" spans="1:11" x14ac:dyDescent="0.2">
      <c r="A965" t="s">
        <v>3652</v>
      </c>
      <c r="F965" s="2">
        <v>524873841</v>
      </c>
      <c r="G965" s="2">
        <v>134216577</v>
      </c>
      <c r="H965" t="s">
        <v>28</v>
      </c>
      <c r="I965" t="s">
        <v>17</v>
      </c>
      <c r="J965" t="s">
        <v>25</v>
      </c>
    </row>
    <row r="966" spans="1:11" x14ac:dyDescent="0.2">
      <c r="A966" t="s">
        <v>3653</v>
      </c>
      <c r="B966" t="s">
        <v>3654</v>
      </c>
      <c r="C966" t="s">
        <v>3655</v>
      </c>
      <c r="E966" t="s">
        <v>3656</v>
      </c>
      <c r="F966" s="2">
        <v>524977677</v>
      </c>
      <c r="G966" s="2">
        <v>134131153</v>
      </c>
      <c r="H966" t="s">
        <v>38</v>
      </c>
      <c r="I966" t="s">
        <v>17</v>
      </c>
      <c r="J966" t="s">
        <v>25</v>
      </c>
    </row>
    <row r="967" spans="1:11" x14ac:dyDescent="0.2">
      <c r="A967" t="s">
        <v>3657</v>
      </c>
      <c r="B967" t="s">
        <v>3658</v>
      </c>
      <c r="C967" t="s">
        <v>3659</v>
      </c>
      <c r="E967" t="s">
        <v>3660</v>
      </c>
      <c r="F967" s="2">
        <v>525914519</v>
      </c>
      <c r="G967" s="2">
        <v>133265724</v>
      </c>
      <c r="H967" t="s">
        <v>38</v>
      </c>
      <c r="I967" t="s">
        <v>17</v>
      </c>
      <c r="J967" t="s">
        <v>25</v>
      </c>
    </row>
    <row r="968" spans="1:11" x14ac:dyDescent="0.2">
      <c r="A968" t="s">
        <v>3661</v>
      </c>
      <c r="B968" t="s">
        <v>3662</v>
      </c>
      <c r="C968" t="s">
        <v>3663</v>
      </c>
      <c r="D968" t="s">
        <v>3664</v>
      </c>
      <c r="E968">
        <v>493086207809</v>
      </c>
      <c r="F968" s="2">
        <v>524971532</v>
      </c>
      <c r="G968" s="2">
        <v>132924327</v>
      </c>
      <c r="H968" t="s">
        <v>51</v>
      </c>
      <c r="I968" t="s">
        <v>17</v>
      </c>
      <c r="J968" t="s">
        <v>25</v>
      </c>
      <c r="K968" t="s">
        <v>3665</v>
      </c>
    </row>
    <row r="969" spans="1:11" x14ac:dyDescent="0.2">
      <c r="A969" t="s">
        <v>3666</v>
      </c>
      <c r="B969" t="s">
        <v>3667</v>
      </c>
      <c r="C969" t="s">
        <v>3668</v>
      </c>
      <c r="F969" s="2">
        <v>525106324</v>
      </c>
      <c r="G969" s="2">
        <v>134572895</v>
      </c>
      <c r="H969" t="s">
        <v>255</v>
      </c>
      <c r="I969" t="s">
        <v>17</v>
      </c>
      <c r="J969" t="s">
        <v>25</v>
      </c>
    </row>
    <row r="970" spans="1:11" x14ac:dyDescent="0.2">
      <c r="A970" t="s">
        <v>3669</v>
      </c>
      <c r="B970" t="s">
        <v>3670</v>
      </c>
      <c r="C970" t="s">
        <v>3671</v>
      </c>
      <c r="D970" t="s">
        <v>3672</v>
      </c>
      <c r="E970" t="s">
        <v>3673</v>
      </c>
      <c r="F970" s="2">
        <v>525226711</v>
      </c>
      <c r="G970" s="2">
        <v>133999181</v>
      </c>
      <c r="H970" t="s">
        <v>24</v>
      </c>
      <c r="I970" t="s">
        <v>17</v>
      </c>
      <c r="J970" t="s">
        <v>25</v>
      </c>
    </row>
    <row r="971" spans="1:11" x14ac:dyDescent="0.2">
      <c r="A971" t="s">
        <v>3674</v>
      </c>
      <c r="B971" t="s">
        <v>3675</v>
      </c>
      <c r="C971" t="s">
        <v>3676</v>
      </c>
      <c r="D971" t="s">
        <v>3677</v>
      </c>
      <c r="E971" t="s">
        <v>3678</v>
      </c>
      <c r="F971" s="2">
        <v>525229726</v>
      </c>
      <c r="G971" s="2">
        <v>134017099</v>
      </c>
      <c r="H971" t="s">
        <v>51</v>
      </c>
      <c r="I971" t="s">
        <v>17</v>
      </c>
      <c r="J971" t="s">
        <v>25</v>
      </c>
      <c r="K971" t="s">
        <v>3679</v>
      </c>
    </row>
    <row r="972" spans="1:11" x14ac:dyDescent="0.2">
      <c r="A972" t="s">
        <v>3680</v>
      </c>
      <c r="B972" t="s">
        <v>3681</v>
      </c>
      <c r="E972">
        <v>49302215069</v>
      </c>
      <c r="F972" s="2">
        <v>524377056</v>
      </c>
      <c r="G972" s="2">
        <v>132572691</v>
      </c>
      <c r="H972" t="s">
        <v>34</v>
      </c>
      <c r="I972" t="s">
        <v>17</v>
      </c>
      <c r="J972" t="s">
        <v>25</v>
      </c>
    </row>
    <row r="973" spans="1:11" x14ac:dyDescent="0.2">
      <c r="A973" t="s">
        <v>3682</v>
      </c>
      <c r="F973" s="2">
        <v>52542884</v>
      </c>
      <c r="G973" s="2">
        <v>131978866</v>
      </c>
      <c r="H973" t="s">
        <v>28</v>
      </c>
      <c r="I973" t="s">
        <v>17</v>
      </c>
      <c r="J973" t="s">
        <v>25</v>
      </c>
    </row>
    <row r="974" spans="1:11" x14ac:dyDescent="0.2">
      <c r="A974" t="s">
        <v>3683</v>
      </c>
      <c r="B974" t="s">
        <v>3684</v>
      </c>
      <c r="C974" t="s">
        <v>3685</v>
      </c>
      <c r="E974" t="s">
        <v>3686</v>
      </c>
      <c r="F974" s="2">
        <v>525099459</v>
      </c>
      <c r="G974" s="2">
        <v>134642275</v>
      </c>
      <c r="H974" t="s">
        <v>277</v>
      </c>
      <c r="I974" t="s">
        <v>17</v>
      </c>
      <c r="J974" t="s">
        <v>25</v>
      </c>
      <c r="K974" t="s">
        <v>1197</v>
      </c>
    </row>
    <row r="975" spans="1:11" x14ac:dyDescent="0.2">
      <c r="A975" t="s">
        <v>3687</v>
      </c>
      <c r="B975" t="s">
        <v>3688</v>
      </c>
      <c r="C975" t="s">
        <v>3689</v>
      </c>
      <c r="D975" t="s">
        <v>3690</v>
      </c>
      <c r="E975" t="s">
        <v>3691</v>
      </c>
      <c r="F975" s="2">
        <v>525195084</v>
      </c>
      <c r="G975" s="2">
        <v>131711462</v>
      </c>
      <c r="H975" t="s">
        <v>51</v>
      </c>
      <c r="I975" t="s">
        <v>17</v>
      </c>
      <c r="J975" t="s">
        <v>25</v>
      </c>
      <c r="K975" t="s">
        <v>3692</v>
      </c>
    </row>
    <row r="976" spans="1:11" x14ac:dyDescent="0.2">
      <c r="A976" t="s">
        <v>3693</v>
      </c>
      <c r="B976" t="s">
        <v>3694</v>
      </c>
      <c r="E976" t="s">
        <v>3695</v>
      </c>
      <c r="F976" s="2">
        <v>524401719</v>
      </c>
      <c r="G976" s="2">
        <v>134163622</v>
      </c>
      <c r="H976" t="s">
        <v>34</v>
      </c>
      <c r="I976" t="s">
        <v>17</v>
      </c>
      <c r="J976" t="s">
        <v>25</v>
      </c>
    </row>
    <row r="977" spans="1:11" x14ac:dyDescent="0.2">
      <c r="A977" t="s">
        <v>3696</v>
      </c>
      <c r="B977" t="s">
        <v>3697</v>
      </c>
      <c r="E977" t="s">
        <v>3698</v>
      </c>
      <c r="F977" s="2">
        <v>524332157</v>
      </c>
      <c r="G977" s="2">
        <v>135956657</v>
      </c>
      <c r="H977" t="s">
        <v>34</v>
      </c>
      <c r="I977" t="s">
        <v>17</v>
      </c>
      <c r="J977" t="s">
        <v>25</v>
      </c>
    </row>
    <row r="978" spans="1:11" x14ac:dyDescent="0.2">
      <c r="A978" t="s">
        <v>3699</v>
      </c>
      <c r="B978" t="s">
        <v>3700</v>
      </c>
      <c r="C978" t="s">
        <v>3701</v>
      </c>
      <c r="E978" t="s">
        <v>3702</v>
      </c>
      <c r="F978" s="2">
        <v>525387397</v>
      </c>
      <c r="G978" s="2">
        <v>134087221</v>
      </c>
      <c r="H978" t="s">
        <v>277</v>
      </c>
      <c r="I978" t="s">
        <v>17</v>
      </c>
      <c r="J978" t="s">
        <v>25</v>
      </c>
      <c r="K978" t="s">
        <v>3703</v>
      </c>
    </row>
    <row r="979" spans="1:11" x14ac:dyDescent="0.2">
      <c r="A979" t="s">
        <v>3704</v>
      </c>
      <c r="B979" t="s">
        <v>3705</v>
      </c>
      <c r="C979" t="s">
        <v>3706</v>
      </c>
      <c r="D979" t="s">
        <v>3707</v>
      </c>
      <c r="F979" s="2">
        <v>524985234</v>
      </c>
      <c r="G979" s="2">
        <v>133266362</v>
      </c>
      <c r="H979" t="s">
        <v>51</v>
      </c>
      <c r="I979" t="s">
        <v>17</v>
      </c>
      <c r="J979" t="s">
        <v>25</v>
      </c>
      <c r="K979" t="s">
        <v>3708</v>
      </c>
    </row>
    <row r="980" spans="1:11" x14ac:dyDescent="0.2">
      <c r="A980" t="s">
        <v>3709</v>
      </c>
      <c r="B980" t="s">
        <v>3710</v>
      </c>
      <c r="C980" t="s">
        <v>3711</v>
      </c>
      <c r="E980" t="s">
        <v>3712</v>
      </c>
      <c r="F980" s="2">
        <v>524788168</v>
      </c>
      <c r="G980" s="2">
        <v>134254636</v>
      </c>
      <c r="H980" t="s">
        <v>38</v>
      </c>
      <c r="I980" t="s">
        <v>17</v>
      </c>
      <c r="J980" t="s">
        <v>25</v>
      </c>
    </row>
    <row r="981" spans="1:11" x14ac:dyDescent="0.2">
      <c r="A981" t="s">
        <v>3713</v>
      </c>
      <c r="B981" t="s">
        <v>3714</v>
      </c>
      <c r="C981" t="s">
        <v>3715</v>
      </c>
      <c r="D981" t="s">
        <v>3716</v>
      </c>
      <c r="E981">
        <v>493020143143</v>
      </c>
      <c r="F981" s="2">
        <v>525201096</v>
      </c>
      <c r="G981" s="2">
        <v>133912976</v>
      </c>
      <c r="H981" t="s">
        <v>24</v>
      </c>
      <c r="I981" t="s">
        <v>17</v>
      </c>
      <c r="J981" t="s">
        <v>25</v>
      </c>
    </row>
    <row r="982" spans="1:11" x14ac:dyDescent="0.2">
      <c r="A982" t="s">
        <v>3717</v>
      </c>
      <c r="B982" t="s">
        <v>3718</v>
      </c>
      <c r="C982" t="s">
        <v>3719</v>
      </c>
      <c r="D982" t="s">
        <v>3720</v>
      </c>
      <c r="E982" t="s">
        <v>3721</v>
      </c>
      <c r="F982" s="2">
        <v>525051973</v>
      </c>
      <c r="G982" s="2">
        <v>133581381</v>
      </c>
      <c r="H982" t="s">
        <v>24</v>
      </c>
      <c r="I982" t="s">
        <v>17</v>
      </c>
      <c r="J982" t="s">
        <v>25</v>
      </c>
    </row>
    <row r="983" spans="1:11" x14ac:dyDescent="0.2">
      <c r="A983" t="s">
        <v>3722</v>
      </c>
      <c r="B983" t="s">
        <v>3723</v>
      </c>
      <c r="C983" t="s">
        <v>3724</v>
      </c>
      <c r="E983" t="s">
        <v>3725</v>
      </c>
      <c r="F983" s="2">
        <v>524287566</v>
      </c>
      <c r="G983" s="2">
        <v>133252608</v>
      </c>
      <c r="H983" t="s">
        <v>38</v>
      </c>
      <c r="I983" t="s">
        <v>17</v>
      </c>
      <c r="J983" t="s">
        <v>25</v>
      </c>
    </row>
    <row r="984" spans="1:11" x14ac:dyDescent="0.2">
      <c r="A984" t="s">
        <v>3726</v>
      </c>
      <c r="B984" t="s">
        <v>3727</v>
      </c>
      <c r="E984" t="s">
        <v>3728</v>
      </c>
      <c r="F984" s="2">
        <v>525385467</v>
      </c>
      <c r="G984" s="2">
        <v>134102784</v>
      </c>
      <c r="H984" t="s">
        <v>34</v>
      </c>
      <c r="I984" t="s">
        <v>17</v>
      </c>
      <c r="J984" t="s">
        <v>25</v>
      </c>
    </row>
    <row r="985" spans="1:11" x14ac:dyDescent="0.2">
      <c r="A985" t="s">
        <v>3729</v>
      </c>
      <c r="B985" t="s">
        <v>3730</v>
      </c>
      <c r="F985" s="2">
        <v>525675748</v>
      </c>
      <c r="G985" s="2">
        <v>133141964</v>
      </c>
      <c r="H985" t="s">
        <v>28</v>
      </c>
      <c r="I985" t="s">
        <v>17</v>
      </c>
      <c r="J985" t="s">
        <v>25</v>
      </c>
    </row>
    <row r="986" spans="1:11" x14ac:dyDescent="0.2">
      <c r="A986" t="s">
        <v>3731</v>
      </c>
      <c r="B986" t="s">
        <v>3732</v>
      </c>
      <c r="E986" t="s">
        <v>3733</v>
      </c>
      <c r="F986" s="2">
        <v>52415666</v>
      </c>
      <c r="G986" s="2">
        <v>133038181</v>
      </c>
      <c r="H986" t="s">
        <v>34</v>
      </c>
      <c r="I986" t="s">
        <v>17</v>
      </c>
      <c r="J986" t="s">
        <v>25</v>
      </c>
    </row>
    <row r="987" spans="1:11" x14ac:dyDescent="0.2">
      <c r="A987" t="s">
        <v>3734</v>
      </c>
      <c r="B987" t="s">
        <v>3735</v>
      </c>
      <c r="C987" t="s">
        <v>3736</v>
      </c>
      <c r="D987" t="s">
        <v>3737</v>
      </c>
      <c r="E987" t="s">
        <v>3738</v>
      </c>
      <c r="F987" s="2">
        <v>52509983</v>
      </c>
      <c r="G987" s="2">
        <v>13386533</v>
      </c>
      <c r="H987" t="s">
        <v>51</v>
      </c>
      <c r="I987" t="s">
        <v>17</v>
      </c>
      <c r="J987" t="s">
        <v>25</v>
      </c>
      <c r="K987" t="s">
        <v>3739</v>
      </c>
    </row>
    <row r="988" spans="1:11" x14ac:dyDescent="0.2">
      <c r="A988" t="s">
        <v>3740</v>
      </c>
      <c r="B988" t="s">
        <v>3741</v>
      </c>
      <c r="C988" t="s">
        <v>3742</v>
      </c>
      <c r="E988">
        <v>493069504855</v>
      </c>
      <c r="F988" s="2">
        <v>524884444</v>
      </c>
      <c r="G988" s="2">
        <v>134245994</v>
      </c>
      <c r="H988" t="s">
        <v>277</v>
      </c>
      <c r="I988" t="s">
        <v>17</v>
      </c>
      <c r="J988" t="s">
        <v>25</v>
      </c>
      <c r="K988" t="s">
        <v>3743</v>
      </c>
    </row>
    <row r="989" spans="1:11" x14ac:dyDescent="0.2">
      <c r="A989" t="s">
        <v>3744</v>
      </c>
      <c r="B989" t="s">
        <v>3745</v>
      </c>
      <c r="C989" t="s">
        <v>3746</v>
      </c>
      <c r="E989">
        <v>49306938354</v>
      </c>
      <c r="F989" s="2">
        <v>524907214</v>
      </c>
      <c r="G989" s="2">
        <v>134238161</v>
      </c>
      <c r="H989" t="s">
        <v>38</v>
      </c>
      <c r="I989" t="s">
        <v>17</v>
      </c>
      <c r="J989" t="s">
        <v>25</v>
      </c>
    </row>
    <row r="990" spans="1:11" x14ac:dyDescent="0.2">
      <c r="A990" t="s">
        <v>3747</v>
      </c>
      <c r="B990" t="s">
        <v>3748</v>
      </c>
      <c r="C990" t="s">
        <v>3749</v>
      </c>
      <c r="D990" t="s">
        <v>3750</v>
      </c>
      <c r="E990" t="s">
        <v>3751</v>
      </c>
      <c r="F990" s="2">
        <v>525510364</v>
      </c>
      <c r="G990" s="2">
        <v>134183928</v>
      </c>
      <c r="H990" t="s">
        <v>24</v>
      </c>
      <c r="I990" t="s">
        <v>17</v>
      </c>
      <c r="J990" t="s">
        <v>25</v>
      </c>
    </row>
    <row r="991" spans="1:11" x14ac:dyDescent="0.2">
      <c r="A991" t="s">
        <v>3752</v>
      </c>
      <c r="B991" t="s">
        <v>3753</v>
      </c>
      <c r="C991" t="s">
        <v>3754</v>
      </c>
      <c r="E991" t="s">
        <v>3755</v>
      </c>
      <c r="F991" s="2">
        <v>524654911</v>
      </c>
      <c r="G991" s="2">
        <v>133838958</v>
      </c>
      <c r="H991" t="s">
        <v>38</v>
      </c>
      <c r="I991" t="s">
        <v>17</v>
      </c>
      <c r="J991" t="s">
        <v>25</v>
      </c>
    </row>
    <row r="992" spans="1:11" x14ac:dyDescent="0.2">
      <c r="A992" t="s">
        <v>3756</v>
      </c>
      <c r="B992" t="s">
        <v>3757</v>
      </c>
      <c r="C992" t="s">
        <v>3758</v>
      </c>
      <c r="D992" t="s">
        <v>3759</v>
      </c>
      <c r="E992" t="s">
        <v>3760</v>
      </c>
      <c r="F992" s="2">
        <v>524880723</v>
      </c>
      <c r="G992" s="2">
        <v>133544133</v>
      </c>
      <c r="H992" t="s">
        <v>51</v>
      </c>
      <c r="I992" t="s">
        <v>17</v>
      </c>
      <c r="J992" t="s">
        <v>25</v>
      </c>
      <c r="K992" t="s">
        <v>3761</v>
      </c>
    </row>
    <row r="993" spans="1:11" x14ac:dyDescent="0.2">
      <c r="A993" t="s">
        <v>3762</v>
      </c>
      <c r="B993" t="s">
        <v>3763</v>
      </c>
      <c r="E993" t="s">
        <v>3764</v>
      </c>
      <c r="F993" s="2">
        <v>524296115</v>
      </c>
      <c r="G993" s="2">
        <v>133275432</v>
      </c>
      <c r="H993" t="s">
        <v>34</v>
      </c>
      <c r="I993" t="s">
        <v>17</v>
      </c>
      <c r="J993" t="s">
        <v>25</v>
      </c>
    </row>
    <row r="994" spans="1:11" x14ac:dyDescent="0.2">
      <c r="A994" t="s">
        <v>3765</v>
      </c>
      <c r="B994" t="s">
        <v>3766</v>
      </c>
      <c r="F994" s="2">
        <v>524131601</v>
      </c>
      <c r="G994" s="2">
        <v>133201147</v>
      </c>
      <c r="H994" t="s">
        <v>28</v>
      </c>
      <c r="I994" t="s">
        <v>17</v>
      </c>
      <c r="J994" t="s">
        <v>25</v>
      </c>
    </row>
    <row r="995" spans="1:11" x14ac:dyDescent="0.2">
      <c r="A995" t="s">
        <v>3767</v>
      </c>
      <c r="B995" t="s">
        <v>3768</v>
      </c>
      <c r="C995" t="s">
        <v>3769</v>
      </c>
      <c r="D995" t="s">
        <v>3770</v>
      </c>
      <c r="F995" s="2">
        <v>525400588</v>
      </c>
      <c r="G995" s="2">
        <v>134169984</v>
      </c>
      <c r="H995" t="s">
        <v>304</v>
      </c>
      <c r="I995" t="s">
        <v>17</v>
      </c>
      <c r="J995" t="s">
        <v>25</v>
      </c>
      <c r="K995" t="s">
        <v>3771</v>
      </c>
    </row>
    <row r="996" spans="1:11" x14ac:dyDescent="0.2">
      <c r="A996" t="s">
        <v>3772</v>
      </c>
      <c r="C996" t="s">
        <v>3773</v>
      </c>
      <c r="E996" t="s">
        <v>3774</v>
      </c>
      <c r="F996" s="2">
        <v>524595346</v>
      </c>
      <c r="G996" s="2">
        <v>13323541</v>
      </c>
      <c r="H996" t="s">
        <v>38</v>
      </c>
      <c r="I996" t="s">
        <v>17</v>
      </c>
      <c r="J996" t="s">
        <v>25</v>
      </c>
    </row>
    <row r="997" spans="1:11" x14ac:dyDescent="0.2">
      <c r="A997" t="s">
        <v>3775</v>
      </c>
      <c r="F997" s="2">
        <v>525530597</v>
      </c>
      <c r="G997" s="2">
        <v>134237919</v>
      </c>
      <c r="H997" t="s">
        <v>28</v>
      </c>
      <c r="I997" t="s">
        <v>17</v>
      </c>
      <c r="J997" t="s">
        <v>25</v>
      </c>
    </row>
    <row r="998" spans="1:11" x14ac:dyDescent="0.2">
      <c r="A998" t="s">
        <v>3776</v>
      </c>
      <c r="B998" t="s">
        <v>3777</v>
      </c>
      <c r="E998" t="s">
        <v>3778</v>
      </c>
      <c r="F998" s="2">
        <v>524350703</v>
      </c>
      <c r="G998" s="2">
        <v>133133983</v>
      </c>
      <c r="H998" t="s">
        <v>34</v>
      </c>
      <c r="I998" t="s">
        <v>17</v>
      </c>
      <c r="J998" t="s">
        <v>25</v>
      </c>
    </row>
    <row r="999" spans="1:11" x14ac:dyDescent="0.2">
      <c r="A999" t="s">
        <v>3779</v>
      </c>
      <c r="F999" s="2">
        <v>524181857</v>
      </c>
      <c r="G999" s="2">
        <v>134360379</v>
      </c>
      <c r="H999" t="s">
        <v>28</v>
      </c>
      <c r="I999" t="s">
        <v>17</v>
      </c>
      <c r="J999" t="s">
        <v>25</v>
      </c>
    </row>
    <row r="1000" spans="1:11" x14ac:dyDescent="0.2">
      <c r="A1000" t="s">
        <v>3780</v>
      </c>
      <c r="B1000" t="s">
        <v>3781</v>
      </c>
      <c r="E1000" t="s">
        <v>3782</v>
      </c>
      <c r="F1000" s="2">
        <v>524858135</v>
      </c>
      <c r="G1000" s="2">
        <v>133751041</v>
      </c>
      <c r="H1000" t="s">
        <v>34</v>
      </c>
      <c r="I1000" t="s">
        <v>17</v>
      </c>
      <c r="J1000" t="s">
        <v>25</v>
      </c>
    </row>
    <row r="1001" spans="1:11" x14ac:dyDescent="0.2">
      <c r="A1001" t="s">
        <v>3783</v>
      </c>
      <c r="B1001" t="s">
        <v>3784</v>
      </c>
      <c r="C1001" t="s">
        <v>3785</v>
      </c>
      <c r="D1001" t="s">
        <v>3786</v>
      </c>
      <c r="E1001" t="s">
        <v>3787</v>
      </c>
      <c r="F1001" s="2">
        <v>525131335</v>
      </c>
      <c r="G1001" s="2">
        <v>132913105</v>
      </c>
      <c r="H1001" t="s">
        <v>51</v>
      </c>
      <c r="I1001" t="s">
        <v>17</v>
      </c>
      <c r="J1001" t="s">
        <v>25</v>
      </c>
      <c r="K1001" t="s">
        <v>3788</v>
      </c>
    </row>
    <row r="1002" spans="1:11" x14ac:dyDescent="0.2">
      <c r="A1002" t="s">
        <v>3789</v>
      </c>
      <c r="F1002" s="2">
        <v>525435111</v>
      </c>
      <c r="G1002" s="2">
        <v>132743078</v>
      </c>
      <c r="H1002" t="s">
        <v>28</v>
      </c>
      <c r="I1002" t="s">
        <v>17</v>
      </c>
      <c r="J1002" t="s">
        <v>25</v>
      </c>
    </row>
    <row r="1003" spans="1:11" x14ac:dyDescent="0.2">
      <c r="A1003" t="s">
        <v>3790</v>
      </c>
      <c r="B1003" t="s">
        <v>3791</v>
      </c>
      <c r="C1003" t="s">
        <v>3792</v>
      </c>
      <c r="E1003" t="s">
        <v>3793</v>
      </c>
      <c r="F1003" s="2">
        <v>525137412</v>
      </c>
      <c r="G1003" s="2">
        <v>132775919</v>
      </c>
      <c r="H1003" t="s">
        <v>38</v>
      </c>
      <c r="I1003" t="s">
        <v>17</v>
      </c>
      <c r="J1003" t="s">
        <v>25</v>
      </c>
    </row>
    <row r="1004" spans="1:11" x14ac:dyDescent="0.2">
      <c r="A1004" t="s">
        <v>3794</v>
      </c>
      <c r="B1004" t="s">
        <v>3795</v>
      </c>
      <c r="C1004" t="s">
        <v>3796</v>
      </c>
      <c r="D1004" t="s">
        <v>3797</v>
      </c>
      <c r="E1004" t="s">
        <v>3798</v>
      </c>
      <c r="F1004" s="2">
        <v>525062945</v>
      </c>
      <c r="G1004" s="2">
        <v>133169199</v>
      </c>
      <c r="H1004" t="s">
        <v>16</v>
      </c>
      <c r="I1004" t="s">
        <v>17</v>
      </c>
      <c r="J1004" t="s">
        <v>25</v>
      </c>
    </row>
    <row r="1005" spans="1:11" x14ac:dyDescent="0.2">
      <c r="A1005" t="s">
        <v>3799</v>
      </c>
      <c r="B1005" t="s">
        <v>3800</v>
      </c>
      <c r="C1005" t="s">
        <v>3801</v>
      </c>
      <c r="D1005" t="s">
        <v>3802</v>
      </c>
      <c r="E1005" t="s">
        <v>3803</v>
      </c>
      <c r="F1005" s="2">
        <v>525262915</v>
      </c>
      <c r="G1005" s="2">
        <v>133934069</v>
      </c>
      <c r="H1005" t="s">
        <v>24</v>
      </c>
      <c r="I1005" t="s">
        <v>17</v>
      </c>
      <c r="J1005" t="s">
        <v>25</v>
      </c>
    </row>
    <row r="1006" spans="1:11" x14ac:dyDescent="0.2">
      <c r="A1006" t="s">
        <v>3804</v>
      </c>
      <c r="F1006" s="2">
        <v>524829894</v>
      </c>
      <c r="G1006" s="2">
        <v>133034133</v>
      </c>
      <c r="H1006" t="s">
        <v>28</v>
      </c>
      <c r="I1006" t="s">
        <v>17</v>
      </c>
      <c r="J1006" t="s">
        <v>25</v>
      </c>
    </row>
    <row r="1007" spans="1:11" x14ac:dyDescent="0.2">
      <c r="A1007" t="s">
        <v>3805</v>
      </c>
      <c r="F1007" s="2">
        <v>52512433</v>
      </c>
      <c r="G1007" s="2">
        <v>133897926</v>
      </c>
      <c r="H1007" t="s">
        <v>28</v>
      </c>
      <c r="I1007" t="s">
        <v>17</v>
      </c>
      <c r="J1007" t="s">
        <v>25</v>
      </c>
    </row>
    <row r="1008" spans="1:11" x14ac:dyDescent="0.2">
      <c r="A1008" t="s">
        <v>3806</v>
      </c>
      <c r="B1008" t="s">
        <v>3807</v>
      </c>
      <c r="C1008" t="s">
        <v>3808</v>
      </c>
      <c r="D1008" t="s">
        <v>3809</v>
      </c>
      <c r="E1008">
        <v>4915203305740</v>
      </c>
      <c r="F1008" s="2">
        <v>52490347</v>
      </c>
      <c r="G1008" s="2">
        <v>134019817</v>
      </c>
      <c r="H1008" t="s">
        <v>51</v>
      </c>
      <c r="I1008" t="s">
        <v>17</v>
      </c>
      <c r="J1008" t="s">
        <v>25</v>
      </c>
      <c r="K1008" t="s">
        <v>3810</v>
      </c>
    </row>
    <row r="1009" spans="1:11" x14ac:dyDescent="0.2">
      <c r="A1009" t="s">
        <v>3811</v>
      </c>
      <c r="B1009" t="s">
        <v>3812</v>
      </c>
      <c r="E1009" t="s">
        <v>3813</v>
      </c>
      <c r="F1009" s="2">
        <v>524170515</v>
      </c>
      <c r="G1009" s="2">
        <v>132503826</v>
      </c>
      <c r="H1009" t="s">
        <v>34</v>
      </c>
      <c r="I1009" t="s">
        <v>17</v>
      </c>
      <c r="J1009" t="s">
        <v>25</v>
      </c>
    </row>
    <row r="1010" spans="1:11" x14ac:dyDescent="0.2">
      <c r="A1010" t="s">
        <v>3814</v>
      </c>
      <c r="B1010" t="s">
        <v>3815</v>
      </c>
      <c r="C1010" t="s">
        <v>3816</v>
      </c>
      <c r="D1010" t="s">
        <v>3817</v>
      </c>
      <c r="E1010" t="s">
        <v>3818</v>
      </c>
      <c r="F1010" s="2">
        <v>524570611</v>
      </c>
      <c r="G1010" s="2">
        <v>133225328</v>
      </c>
      <c r="H1010" t="s">
        <v>24</v>
      </c>
      <c r="I1010" t="s">
        <v>17</v>
      </c>
      <c r="J1010" t="s">
        <v>25</v>
      </c>
    </row>
    <row r="1011" spans="1:11" x14ac:dyDescent="0.2">
      <c r="A1011" t="s">
        <v>3819</v>
      </c>
      <c r="B1011" t="s">
        <v>3815</v>
      </c>
      <c r="C1011" t="s">
        <v>3820</v>
      </c>
      <c r="D1011" t="s">
        <v>3821</v>
      </c>
      <c r="F1011" s="2">
        <v>524570377</v>
      </c>
      <c r="G1011" s="2">
        <v>133223648</v>
      </c>
      <c r="H1011" t="s">
        <v>16</v>
      </c>
      <c r="I1011" t="s">
        <v>17</v>
      </c>
      <c r="J1011" t="s">
        <v>25</v>
      </c>
    </row>
    <row r="1012" spans="1:11" x14ac:dyDescent="0.2">
      <c r="A1012" t="s">
        <v>3822</v>
      </c>
      <c r="B1012" t="s">
        <v>3823</v>
      </c>
      <c r="C1012" t="s">
        <v>3824</v>
      </c>
      <c r="D1012" t="s">
        <v>3825</v>
      </c>
      <c r="E1012" t="s">
        <v>3826</v>
      </c>
      <c r="F1012" s="2">
        <v>525371681</v>
      </c>
      <c r="G1012" s="2">
        <v>134662865</v>
      </c>
      <c r="H1012" t="s">
        <v>51</v>
      </c>
      <c r="I1012" t="s">
        <v>17</v>
      </c>
      <c r="J1012" t="s">
        <v>25</v>
      </c>
      <c r="K1012" t="s">
        <v>3827</v>
      </c>
    </row>
    <row r="1013" spans="1:11" x14ac:dyDescent="0.2">
      <c r="A1013" t="s">
        <v>3828</v>
      </c>
      <c r="B1013" t="s">
        <v>3829</v>
      </c>
      <c r="F1013" s="2">
        <v>525889692</v>
      </c>
      <c r="G1013" s="2">
        <v>132808143</v>
      </c>
      <c r="H1013" t="s">
        <v>28</v>
      </c>
      <c r="I1013" t="s">
        <v>17</v>
      </c>
      <c r="J1013" t="s">
        <v>25</v>
      </c>
    </row>
    <row r="1014" spans="1:11" x14ac:dyDescent="0.2">
      <c r="A1014" t="s">
        <v>3830</v>
      </c>
      <c r="B1014" t="s">
        <v>3831</v>
      </c>
      <c r="C1014" t="s">
        <v>3832</v>
      </c>
      <c r="F1014" s="2">
        <v>524970458</v>
      </c>
      <c r="G1014" s="2">
        <v>132853278</v>
      </c>
      <c r="H1014" t="s">
        <v>255</v>
      </c>
      <c r="I1014" t="s">
        <v>17</v>
      </c>
      <c r="J1014" t="s">
        <v>25</v>
      </c>
    </row>
    <row r="1015" spans="1:11" x14ac:dyDescent="0.2">
      <c r="A1015" t="s">
        <v>3833</v>
      </c>
      <c r="B1015" t="s">
        <v>3834</v>
      </c>
      <c r="C1015" t="s">
        <v>3835</v>
      </c>
      <c r="D1015" t="s">
        <v>3836</v>
      </c>
      <c r="E1015" t="s">
        <v>3837</v>
      </c>
      <c r="F1015" s="2">
        <v>525228343</v>
      </c>
      <c r="G1015" s="2">
        <v>134028901</v>
      </c>
      <c r="H1015" t="s">
        <v>51</v>
      </c>
      <c r="I1015" t="s">
        <v>17</v>
      </c>
      <c r="J1015" t="s">
        <v>25</v>
      </c>
      <c r="K1015" t="s">
        <v>3838</v>
      </c>
    </row>
    <row r="1016" spans="1:11" x14ac:dyDescent="0.2">
      <c r="A1016" t="s">
        <v>3839</v>
      </c>
      <c r="B1016" t="s">
        <v>3840</v>
      </c>
      <c r="F1016" s="2">
        <v>52510563</v>
      </c>
      <c r="G1016" s="2">
        <v>134609393</v>
      </c>
      <c r="H1016" t="s">
        <v>28</v>
      </c>
      <c r="I1016" t="s">
        <v>17</v>
      </c>
      <c r="J1016" t="s">
        <v>25</v>
      </c>
    </row>
    <row r="1017" spans="1:11" x14ac:dyDescent="0.2">
      <c r="A1017" t="s">
        <v>3841</v>
      </c>
      <c r="B1017" t="s">
        <v>298</v>
      </c>
      <c r="F1017" s="2">
        <v>525130353</v>
      </c>
      <c r="G1017" s="2">
        <v>134574067</v>
      </c>
      <c r="H1017" t="s">
        <v>28</v>
      </c>
      <c r="I1017" t="s">
        <v>17</v>
      </c>
      <c r="J1017" t="s">
        <v>25</v>
      </c>
    </row>
    <row r="1018" spans="1:11" x14ac:dyDescent="0.2">
      <c r="A1018" t="s">
        <v>3842</v>
      </c>
      <c r="B1018" t="s">
        <v>3843</v>
      </c>
      <c r="F1018" s="2">
        <v>524580346</v>
      </c>
      <c r="G1018" s="2">
        <v>133221056</v>
      </c>
      <c r="H1018" t="s">
        <v>28</v>
      </c>
      <c r="I1018" t="s">
        <v>17</v>
      </c>
      <c r="J1018" t="s">
        <v>25</v>
      </c>
    </row>
    <row r="1019" spans="1:11" x14ac:dyDescent="0.2">
      <c r="A1019" t="s">
        <v>3844</v>
      </c>
      <c r="B1019" t="s">
        <v>3845</v>
      </c>
      <c r="C1019" t="s">
        <v>3846</v>
      </c>
      <c r="E1019" t="s">
        <v>3847</v>
      </c>
      <c r="F1019" s="2">
        <v>525226824</v>
      </c>
      <c r="G1019" s="2">
        <v>133490454</v>
      </c>
      <c r="H1019" t="s">
        <v>38</v>
      </c>
      <c r="I1019" t="s">
        <v>17</v>
      </c>
      <c r="J1019" t="s">
        <v>25</v>
      </c>
    </row>
    <row r="1020" spans="1:11" x14ac:dyDescent="0.2">
      <c r="A1020" t="s">
        <v>3848</v>
      </c>
      <c r="B1020" t="s">
        <v>3849</v>
      </c>
      <c r="F1020" s="2">
        <v>525240167</v>
      </c>
      <c r="G1020" s="2">
        <v>13349113</v>
      </c>
      <c r="H1020" t="s">
        <v>28</v>
      </c>
      <c r="I1020" t="s">
        <v>17</v>
      </c>
      <c r="J1020" t="s">
        <v>25</v>
      </c>
    </row>
    <row r="1021" spans="1:11" x14ac:dyDescent="0.2">
      <c r="A1021" t="s">
        <v>3850</v>
      </c>
      <c r="B1021" t="s">
        <v>3845</v>
      </c>
      <c r="C1021" t="s">
        <v>3851</v>
      </c>
      <c r="E1021" t="s">
        <v>3852</v>
      </c>
      <c r="F1021" s="2">
        <v>52522572</v>
      </c>
      <c r="G1021" s="2">
        <v>133489915</v>
      </c>
      <c r="H1021" t="s">
        <v>38</v>
      </c>
      <c r="I1021" t="s">
        <v>17</v>
      </c>
      <c r="J1021" t="s">
        <v>25</v>
      </c>
    </row>
    <row r="1022" spans="1:11" x14ac:dyDescent="0.2">
      <c r="A1022" t="s">
        <v>3853</v>
      </c>
      <c r="B1022" t="s">
        <v>3854</v>
      </c>
      <c r="C1022" t="s">
        <v>3855</v>
      </c>
      <c r="D1022" t="s">
        <v>3856</v>
      </c>
      <c r="E1022" t="s">
        <v>3857</v>
      </c>
      <c r="F1022" s="2">
        <v>52438431</v>
      </c>
      <c r="G1022" s="2">
        <v>132618828</v>
      </c>
      <c r="H1022" t="s">
        <v>24</v>
      </c>
      <c r="I1022" t="s">
        <v>17</v>
      </c>
      <c r="J1022" t="s">
        <v>25</v>
      </c>
    </row>
    <row r="1023" spans="1:11" x14ac:dyDescent="0.2">
      <c r="A1023" t="s">
        <v>3858</v>
      </c>
      <c r="B1023" t="s">
        <v>3859</v>
      </c>
      <c r="C1023" t="s">
        <v>3860</v>
      </c>
      <c r="D1023" t="s">
        <v>3861</v>
      </c>
      <c r="E1023" t="s">
        <v>3862</v>
      </c>
      <c r="F1023" s="2">
        <v>524380827</v>
      </c>
      <c r="G1023" s="2">
        <v>132618908</v>
      </c>
      <c r="H1023" t="s">
        <v>304</v>
      </c>
      <c r="I1023" t="s">
        <v>17</v>
      </c>
      <c r="J1023" t="s">
        <v>25</v>
      </c>
      <c r="K1023" t="s">
        <v>3863</v>
      </c>
    </row>
    <row r="1024" spans="1:11" x14ac:dyDescent="0.2">
      <c r="A1024" t="s">
        <v>3864</v>
      </c>
      <c r="B1024" t="s">
        <v>3865</v>
      </c>
      <c r="C1024" t="s">
        <v>3866</v>
      </c>
      <c r="D1024" t="s">
        <v>3867</v>
      </c>
      <c r="E1024" t="s">
        <v>3868</v>
      </c>
      <c r="F1024" s="2">
        <v>524286279</v>
      </c>
      <c r="G1024" s="2">
        <v>132562395</v>
      </c>
      <c r="H1024" t="s">
        <v>24</v>
      </c>
      <c r="I1024" t="s">
        <v>17</v>
      </c>
      <c r="J1024" t="s">
        <v>25</v>
      </c>
    </row>
    <row r="1025" spans="1:11" x14ac:dyDescent="0.2">
      <c r="A1025" t="s">
        <v>3869</v>
      </c>
      <c r="B1025" t="s">
        <v>3870</v>
      </c>
      <c r="F1025" s="2">
        <v>525099874</v>
      </c>
      <c r="G1025" s="2">
        <v>134553328</v>
      </c>
      <c r="H1025" t="s">
        <v>28</v>
      </c>
      <c r="I1025" t="s">
        <v>17</v>
      </c>
      <c r="J1025" t="s">
        <v>25</v>
      </c>
    </row>
    <row r="1026" spans="1:11" x14ac:dyDescent="0.2">
      <c r="A1026" t="s">
        <v>3871</v>
      </c>
      <c r="B1026" t="s">
        <v>3872</v>
      </c>
      <c r="F1026" s="2">
        <v>525404063</v>
      </c>
      <c r="G1026" s="2">
        <v>134147914</v>
      </c>
      <c r="H1026" t="s">
        <v>28</v>
      </c>
      <c r="I1026" t="s">
        <v>17</v>
      </c>
      <c r="J1026" t="s">
        <v>25</v>
      </c>
    </row>
    <row r="1027" spans="1:11" x14ac:dyDescent="0.2">
      <c r="A1027" t="s">
        <v>3873</v>
      </c>
      <c r="B1027" t="s">
        <v>3874</v>
      </c>
      <c r="C1027" t="s">
        <v>3875</v>
      </c>
      <c r="D1027" t="s">
        <v>3876</v>
      </c>
      <c r="E1027" t="s">
        <v>3877</v>
      </c>
      <c r="F1027" s="2">
        <v>52516169</v>
      </c>
      <c r="G1027" s="2">
        <v>134058173</v>
      </c>
      <c r="H1027" t="s">
        <v>24</v>
      </c>
      <c r="I1027" t="s">
        <v>17</v>
      </c>
      <c r="J1027" t="s">
        <v>25</v>
      </c>
    </row>
    <row r="1028" spans="1:11" x14ac:dyDescent="0.2">
      <c r="A1028" t="s">
        <v>3878</v>
      </c>
      <c r="B1028" t="s">
        <v>3879</v>
      </c>
      <c r="C1028" t="s">
        <v>3880</v>
      </c>
      <c r="D1028" t="s">
        <v>3881</v>
      </c>
      <c r="E1028">
        <v>493024632500</v>
      </c>
      <c r="F1028" s="2">
        <v>525163539</v>
      </c>
      <c r="G1028" s="2">
        <v>134060676</v>
      </c>
      <c r="H1028" t="s">
        <v>24</v>
      </c>
      <c r="I1028" t="s">
        <v>17</v>
      </c>
      <c r="J1028" t="s">
        <v>25</v>
      </c>
    </row>
    <row r="1029" spans="1:11" x14ac:dyDescent="0.2">
      <c r="A1029" t="s">
        <v>3882</v>
      </c>
      <c r="B1029" t="s">
        <v>3883</v>
      </c>
      <c r="C1029" t="s">
        <v>3884</v>
      </c>
      <c r="E1029" t="s">
        <v>3885</v>
      </c>
      <c r="F1029" s="2">
        <v>52516679</v>
      </c>
      <c r="G1029" s="2">
        <v>134080964</v>
      </c>
      <c r="H1029" t="s">
        <v>38</v>
      </c>
      <c r="I1029" t="s">
        <v>17</v>
      </c>
      <c r="J1029" t="s">
        <v>25</v>
      </c>
    </row>
    <row r="1030" spans="1:11" x14ac:dyDescent="0.2">
      <c r="A1030" t="s">
        <v>3886</v>
      </c>
      <c r="B1030" t="s">
        <v>3887</v>
      </c>
      <c r="C1030" t="s">
        <v>3888</v>
      </c>
      <c r="D1030" t="s">
        <v>3889</v>
      </c>
      <c r="E1030" t="s">
        <v>3890</v>
      </c>
      <c r="F1030" s="2">
        <v>525163897</v>
      </c>
      <c r="G1030" s="2">
        <v>134076097</v>
      </c>
      <c r="H1030" t="s">
        <v>24</v>
      </c>
      <c r="I1030" t="s">
        <v>17</v>
      </c>
      <c r="J1030" t="s">
        <v>25</v>
      </c>
    </row>
    <row r="1031" spans="1:11" x14ac:dyDescent="0.2">
      <c r="A1031" t="s">
        <v>3891</v>
      </c>
      <c r="C1031" t="s">
        <v>3892</v>
      </c>
      <c r="D1031" t="s">
        <v>3893</v>
      </c>
      <c r="F1031" s="2">
        <v>525170641</v>
      </c>
      <c r="G1031" s="2">
        <v>13406241</v>
      </c>
      <c r="H1031" t="s">
        <v>304</v>
      </c>
      <c r="I1031" t="s">
        <v>17</v>
      </c>
      <c r="J1031" t="s">
        <v>25</v>
      </c>
      <c r="K1031" t="s">
        <v>3894</v>
      </c>
    </row>
    <row r="1032" spans="1:11" x14ac:dyDescent="0.2">
      <c r="A1032" t="s">
        <v>3895</v>
      </c>
      <c r="B1032" t="s">
        <v>3896</v>
      </c>
      <c r="C1032" t="s">
        <v>3897</v>
      </c>
      <c r="D1032" t="s">
        <v>3898</v>
      </c>
      <c r="E1032">
        <v>49308156609</v>
      </c>
      <c r="F1032" s="2">
        <v>52428952</v>
      </c>
      <c r="G1032" s="2">
        <v>132594051</v>
      </c>
      <c r="H1032" t="s">
        <v>51</v>
      </c>
      <c r="I1032" t="s">
        <v>17</v>
      </c>
      <c r="J1032" t="s">
        <v>25</v>
      </c>
      <c r="K1032" t="s">
        <v>3899</v>
      </c>
    </row>
    <row r="1033" spans="1:11" x14ac:dyDescent="0.2">
      <c r="A1033" t="s">
        <v>3900</v>
      </c>
      <c r="B1033" t="s">
        <v>3901</v>
      </c>
      <c r="F1033" s="2">
        <v>525124788</v>
      </c>
      <c r="G1033" s="2">
        <v>134117007</v>
      </c>
      <c r="H1033" t="s">
        <v>28</v>
      </c>
      <c r="I1033" t="s">
        <v>17</v>
      </c>
      <c r="J1033" t="s">
        <v>25</v>
      </c>
    </row>
    <row r="1034" spans="1:11" x14ac:dyDescent="0.2">
      <c r="A1034" t="s">
        <v>3902</v>
      </c>
      <c r="B1034" t="s">
        <v>3903</v>
      </c>
      <c r="C1034" t="s">
        <v>3904</v>
      </c>
      <c r="D1034" t="s">
        <v>3905</v>
      </c>
      <c r="E1034" t="s">
        <v>3906</v>
      </c>
      <c r="F1034" s="2">
        <v>525125703</v>
      </c>
      <c r="G1034" s="2">
        <v>13411537</v>
      </c>
      <c r="H1034" t="s">
        <v>24</v>
      </c>
      <c r="I1034" t="s">
        <v>17</v>
      </c>
      <c r="J1034" t="s">
        <v>25</v>
      </c>
    </row>
    <row r="1035" spans="1:11" x14ac:dyDescent="0.2">
      <c r="A1035" t="s">
        <v>3907</v>
      </c>
      <c r="B1035" t="s">
        <v>3908</v>
      </c>
      <c r="C1035" t="s">
        <v>3909</v>
      </c>
      <c r="E1035">
        <v>493039748763</v>
      </c>
      <c r="F1035" s="2">
        <v>525220952</v>
      </c>
      <c r="G1035" s="2">
        <v>133361775</v>
      </c>
      <c r="H1035" t="s">
        <v>38</v>
      </c>
      <c r="I1035" t="s">
        <v>17</v>
      </c>
      <c r="J1035" t="s">
        <v>25</v>
      </c>
    </row>
    <row r="1036" spans="1:11" x14ac:dyDescent="0.2">
      <c r="A1036" t="s">
        <v>3910</v>
      </c>
      <c r="B1036" t="s">
        <v>3911</v>
      </c>
      <c r="C1036" t="s">
        <v>3912</v>
      </c>
      <c r="D1036" t="s">
        <v>3913</v>
      </c>
      <c r="E1036" t="s">
        <v>3914</v>
      </c>
      <c r="F1036" s="2">
        <v>524146202</v>
      </c>
      <c r="G1036" s="2">
        <v>132667181</v>
      </c>
      <c r="H1036" t="s">
        <v>24</v>
      </c>
      <c r="I1036" t="s">
        <v>17</v>
      </c>
      <c r="J1036" t="s">
        <v>25</v>
      </c>
    </row>
    <row r="1037" spans="1:11" x14ac:dyDescent="0.2">
      <c r="A1037" t="s">
        <v>3915</v>
      </c>
      <c r="B1037" t="s">
        <v>3916</v>
      </c>
      <c r="F1037" s="2">
        <v>525022351</v>
      </c>
      <c r="G1037" s="2">
        <v>133098678</v>
      </c>
      <c r="H1037" t="s">
        <v>28</v>
      </c>
      <c r="I1037" t="s">
        <v>17</v>
      </c>
      <c r="J1037" t="s">
        <v>25</v>
      </c>
    </row>
    <row r="1038" spans="1:11" x14ac:dyDescent="0.2">
      <c r="A1038" t="s">
        <v>3917</v>
      </c>
      <c r="B1038" t="s">
        <v>3918</v>
      </c>
      <c r="C1038" t="s">
        <v>3919</v>
      </c>
      <c r="D1038" t="s">
        <v>3920</v>
      </c>
      <c r="E1038" t="s">
        <v>3921</v>
      </c>
      <c r="F1038" s="2">
        <v>525038723</v>
      </c>
      <c r="G1038" s="2">
        <v>13424276</v>
      </c>
      <c r="H1038" t="s">
        <v>24</v>
      </c>
      <c r="I1038" t="s">
        <v>17</v>
      </c>
      <c r="J1038" t="s">
        <v>25</v>
      </c>
    </row>
    <row r="1039" spans="1:11" x14ac:dyDescent="0.2">
      <c r="A1039" t="s">
        <v>3922</v>
      </c>
      <c r="B1039" t="s">
        <v>3923</v>
      </c>
      <c r="C1039" t="s">
        <v>3924</v>
      </c>
      <c r="D1039" t="s">
        <v>3925</v>
      </c>
      <c r="E1039" t="s">
        <v>3926</v>
      </c>
      <c r="F1039" s="2">
        <v>524143297</v>
      </c>
      <c r="G1039" s="2">
        <v>131481758</v>
      </c>
      <c r="H1039" t="s">
        <v>24</v>
      </c>
      <c r="I1039" t="s">
        <v>17</v>
      </c>
      <c r="J1039" t="s">
        <v>25</v>
      </c>
    </row>
    <row r="1040" spans="1:11" x14ac:dyDescent="0.2">
      <c r="A1040" t="s">
        <v>3927</v>
      </c>
      <c r="B1040" t="s">
        <v>3928</v>
      </c>
      <c r="C1040" t="s">
        <v>3929</v>
      </c>
      <c r="E1040" t="s">
        <v>3930</v>
      </c>
      <c r="F1040" s="2">
        <v>524233888</v>
      </c>
      <c r="G1040" s="2">
        <v>132420327</v>
      </c>
      <c r="H1040" t="s">
        <v>38</v>
      </c>
      <c r="I1040" t="s">
        <v>17</v>
      </c>
      <c r="J1040" t="s">
        <v>25</v>
      </c>
    </row>
    <row r="1041" spans="1:11" x14ac:dyDescent="0.2">
      <c r="A1041" t="s">
        <v>3931</v>
      </c>
      <c r="B1041" t="s">
        <v>3932</v>
      </c>
      <c r="C1041" t="s">
        <v>3933</v>
      </c>
      <c r="D1041" t="s">
        <v>3934</v>
      </c>
      <c r="E1041" t="s">
        <v>3935</v>
      </c>
      <c r="F1041" s="2">
        <v>525206937</v>
      </c>
      <c r="G1041" s="2">
        <v>135904801</v>
      </c>
      <c r="H1041" t="s">
        <v>24</v>
      </c>
      <c r="I1041" t="s">
        <v>17</v>
      </c>
      <c r="J1041" t="s">
        <v>25</v>
      </c>
    </row>
    <row r="1042" spans="1:11" x14ac:dyDescent="0.2">
      <c r="A1042" t="s">
        <v>3936</v>
      </c>
      <c r="B1042" t="s">
        <v>3932</v>
      </c>
      <c r="C1042" t="s">
        <v>3937</v>
      </c>
      <c r="D1042" t="s">
        <v>3938</v>
      </c>
      <c r="F1042" s="2">
        <v>525208313</v>
      </c>
      <c r="G1042" s="2">
        <v>135913178</v>
      </c>
      <c r="H1042" t="s">
        <v>16</v>
      </c>
      <c r="I1042" t="s">
        <v>17</v>
      </c>
      <c r="J1042" t="s">
        <v>25</v>
      </c>
    </row>
    <row r="1043" spans="1:11" x14ac:dyDescent="0.2">
      <c r="A1043" t="s">
        <v>3939</v>
      </c>
      <c r="F1043" s="2">
        <v>525205975</v>
      </c>
      <c r="G1043" s="2">
        <v>13586153</v>
      </c>
      <c r="H1043" t="s">
        <v>28</v>
      </c>
      <c r="I1043" t="s">
        <v>17</v>
      </c>
      <c r="J1043" t="s">
        <v>25</v>
      </c>
    </row>
    <row r="1044" spans="1:11" x14ac:dyDescent="0.2">
      <c r="A1044" t="s">
        <v>3940</v>
      </c>
      <c r="B1044">
        <v>12619</v>
      </c>
      <c r="C1044" t="s">
        <v>3941</v>
      </c>
      <c r="E1044" t="s">
        <v>3942</v>
      </c>
      <c r="F1044" s="2">
        <v>525217452</v>
      </c>
      <c r="G1044" s="2">
        <v>135909504</v>
      </c>
      <c r="H1044" t="s">
        <v>38</v>
      </c>
      <c r="I1044" t="s">
        <v>17</v>
      </c>
      <c r="J1044" t="s">
        <v>25</v>
      </c>
    </row>
    <row r="1045" spans="1:11" x14ac:dyDescent="0.2">
      <c r="A1045" t="s">
        <v>3943</v>
      </c>
      <c r="B1045" t="s">
        <v>3944</v>
      </c>
      <c r="C1045" t="s">
        <v>3945</v>
      </c>
      <c r="F1045" s="2">
        <v>524315804</v>
      </c>
      <c r="G1045" s="2">
        <v>135333991</v>
      </c>
      <c r="H1045" t="s">
        <v>3120</v>
      </c>
      <c r="I1045" t="s">
        <v>17</v>
      </c>
      <c r="J1045" t="s">
        <v>25</v>
      </c>
      <c r="K1045" t="s">
        <v>3946</v>
      </c>
    </row>
    <row r="1046" spans="1:11" x14ac:dyDescent="0.2">
      <c r="A1046" t="s">
        <v>3947</v>
      </c>
      <c r="B1046" t="s">
        <v>3948</v>
      </c>
      <c r="C1046" t="s">
        <v>3949</v>
      </c>
      <c r="D1046" t="s">
        <v>3950</v>
      </c>
      <c r="E1046" t="s">
        <v>3951</v>
      </c>
      <c r="F1046" s="2">
        <v>525032723</v>
      </c>
      <c r="G1046" s="2">
        <v>133055381</v>
      </c>
      <c r="H1046" t="s">
        <v>51</v>
      </c>
      <c r="I1046" t="s">
        <v>17</v>
      </c>
      <c r="J1046" t="s">
        <v>25</v>
      </c>
      <c r="K1046" t="s">
        <v>3952</v>
      </c>
    </row>
    <row r="1047" spans="1:11" x14ac:dyDescent="0.2">
      <c r="A1047" t="s">
        <v>3953</v>
      </c>
      <c r="B1047" t="s">
        <v>3954</v>
      </c>
      <c r="C1047" t="s">
        <v>3955</v>
      </c>
      <c r="D1047" t="s">
        <v>3956</v>
      </c>
      <c r="E1047" t="s">
        <v>3957</v>
      </c>
      <c r="F1047" s="2">
        <v>525182828</v>
      </c>
      <c r="G1047" s="2">
        <v>134192379</v>
      </c>
      <c r="H1047" t="s">
        <v>24</v>
      </c>
      <c r="I1047" t="s">
        <v>17</v>
      </c>
      <c r="J1047" t="s">
        <v>25</v>
      </c>
    </row>
    <row r="1048" spans="1:11" x14ac:dyDescent="0.2">
      <c r="A1048" t="s">
        <v>3958</v>
      </c>
      <c r="B1048" t="s">
        <v>3959</v>
      </c>
      <c r="C1048" t="s">
        <v>3960</v>
      </c>
      <c r="E1048" t="s">
        <v>3961</v>
      </c>
      <c r="F1048" s="2">
        <v>525111321</v>
      </c>
      <c r="G1048" s="2">
        <v>134026843</v>
      </c>
      <c r="H1048" t="s">
        <v>38</v>
      </c>
      <c r="I1048" t="s">
        <v>17</v>
      </c>
      <c r="J1048" t="s">
        <v>25</v>
      </c>
    </row>
    <row r="1049" spans="1:11" x14ac:dyDescent="0.2">
      <c r="A1049" t="s">
        <v>3962</v>
      </c>
      <c r="B1049" t="s">
        <v>3963</v>
      </c>
      <c r="C1049" t="s">
        <v>3964</v>
      </c>
      <c r="E1049" t="s">
        <v>3965</v>
      </c>
      <c r="F1049" s="2">
        <v>525678885</v>
      </c>
      <c r="G1049" s="2">
        <v>132122855</v>
      </c>
      <c r="H1049" t="s">
        <v>38</v>
      </c>
      <c r="I1049" t="s">
        <v>17</v>
      </c>
      <c r="J1049" t="s">
        <v>25</v>
      </c>
    </row>
    <row r="1050" spans="1:11" x14ac:dyDescent="0.2">
      <c r="A1050" t="s">
        <v>3966</v>
      </c>
      <c r="F1050" s="2">
        <v>52447391</v>
      </c>
      <c r="G1050" s="2">
        <v>133927789</v>
      </c>
      <c r="H1050" t="s">
        <v>28</v>
      </c>
      <c r="I1050" t="s">
        <v>17</v>
      </c>
      <c r="J1050" t="s">
        <v>25</v>
      </c>
    </row>
    <row r="1051" spans="1:11" x14ac:dyDescent="0.2">
      <c r="A1051" t="s">
        <v>3967</v>
      </c>
      <c r="B1051" t="s">
        <v>3968</v>
      </c>
      <c r="C1051" t="s">
        <v>3969</v>
      </c>
      <c r="D1051" t="s">
        <v>3970</v>
      </c>
      <c r="E1051" t="s">
        <v>3971</v>
      </c>
      <c r="F1051" s="2">
        <v>525653609</v>
      </c>
      <c r="G1051" s="2">
        <v>134041146</v>
      </c>
      <c r="H1051" t="s">
        <v>16</v>
      </c>
      <c r="I1051" t="s">
        <v>17</v>
      </c>
      <c r="J1051" t="s">
        <v>25</v>
      </c>
    </row>
    <row r="1052" spans="1:11" x14ac:dyDescent="0.2">
      <c r="A1052" t="s">
        <v>3972</v>
      </c>
      <c r="B1052" t="s">
        <v>3973</v>
      </c>
      <c r="C1052" t="s">
        <v>3974</v>
      </c>
      <c r="D1052" t="s">
        <v>3975</v>
      </c>
      <c r="E1052" t="s">
        <v>3976</v>
      </c>
      <c r="F1052" s="2">
        <v>525264418</v>
      </c>
      <c r="G1052" s="2">
        <v>13387876</v>
      </c>
      <c r="H1052" t="s">
        <v>51</v>
      </c>
      <c r="I1052" t="s">
        <v>17</v>
      </c>
      <c r="J1052" t="s">
        <v>25</v>
      </c>
      <c r="K1052" t="s">
        <v>3334</v>
      </c>
    </row>
    <row r="1053" spans="1:11" x14ac:dyDescent="0.2">
      <c r="A1053" t="s">
        <v>3977</v>
      </c>
      <c r="B1053" t="s">
        <v>3978</v>
      </c>
      <c r="C1053" t="s">
        <v>3979</v>
      </c>
      <c r="E1053" t="s">
        <v>3980</v>
      </c>
      <c r="F1053" s="2">
        <v>524318571</v>
      </c>
      <c r="G1053" s="2">
        <v>132595374</v>
      </c>
      <c r="H1053" t="s">
        <v>38</v>
      </c>
      <c r="I1053" t="s">
        <v>17</v>
      </c>
      <c r="J1053" t="s">
        <v>25</v>
      </c>
    </row>
    <row r="1054" spans="1:11" x14ac:dyDescent="0.2">
      <c r="A1054" t="s">
        <v>3981</v>
      </c>
      <c r="C1054" t="s">
        <v>3982</v>
      </c>
      <c r="E1054">
        <v>493081294647</v>
      </c>
      <c r="F1054" s="2">
        <v>524357325</v>
      </c>
      <c r="G1054" s="2">
        <v>132611622</v>
      </c>
      <c r="H1054" t="s">
        <v>38</v>
      </c>
      <c r="I1054" t="s">
        <v>17</v>
      </c>
      <c r="J1054" t="s">
        <v>25</v>
      </c>
    </row>
    <row r="1055" spans="1:11" x14ac:dyDescent="0.2">
      <c r="A1055" t="s">
        <v>3983</v>
      </c>
      <c r="B1055" t="s">
        <v>3626</v>
      </c>
      <c r="C1055" t="s">
        <v>3984</v>
      </c>
      <c r="D1055" t="s">
        <v>3985</v>
      </c>
      <c r="E1055" t="s">
        <v>3986</v>
      </c>
      <c r="F1055" s="2">
        <v>525263316</v>
      </c>
      <c r="G1055" s="2">
        <v>133890513</v>
      </c>
      <c r="H1055" t="s">
        <v>24</v>
      </c>
      <c r="I1055" t="s">
        <v>17</v>
      </c>
      <c r="J1055" t="s">
        <v>25</v>
      </c>
    </row>
    <row r="1056" spans="1:11" x14ac:dyDescent="0.2">
      <c r="A1056" t="s">
        <v>3987</v>
      </c>
      <c r="B1056" t="s">
        <v>3988</v>
      </c>
      <c r="C1056" t="s">
        <v>3989</v>
      </c>
      <c r="D1056" t="s">
        <v>3990</v>
      </c>
      <c r="E1056" t="s">
        <v>3991</v>
      </c>
      <c r="F1056" s="2">
        <v>525468459</v>
      </c>
      <c r="G1056" s="2">
        <v>132103924</v>
      </c>
      <c r="H1056" t="s">
        <v>51</v>
      </c>
      <c r="I1056" t="s">
        <v>17</v>
      </c>
      <c r="J1056" t="s">
        <v>25</v>
      </c>
      <c r="K1056" t="s">
        <v>3992</v>
      </c>
    </row>
    <row r="1057" spans="1:11" x14ac:dyDescent="0.2">
      <c r="A1057" t="s">
        <v>3993</v>
      </c>
      <c r="B1057" t="s">
        <v>3994</v>
      </c>
      <c r="C1057" t="s">
        <v>3995</v>
      </c>
      <c r="E1057" t="s">
        <v>3996</v>
      </c>
      <c r="F1057" s="2">
        <v>525474594</v>
      </c>
      <c r="G1057" s="2">
        <v>133539523</v>
      </c>
      <c r="H1057" t="s">
        <v>277</v>
      </c>
      <c r="I1057" t="s">
        <v>17</v>
      </c>
      <c r="J1057" t="s">
        <v>25</v>
      </c>
      <c r="K1057" t="s">
        <v>3997</v>
      </c>
    </row>
    <row r="1058" spans="1:11" x14ac:dyDescent="0.2">
      <c r="A1058" t="s">
        <v>3998</v>
      </c>
      <c r="B1058" t="s">
        <v>3999</v>
      </c>
      <c r="C1058" t="s">
        <v>4000</v>
      </c>
      <c r="F1058" s="2">
        <v>525171651</v>
      </c>
      <c r="G1058" s="2">
        <v>132999962</v>
      </c>
      <c r="H1058" t="s">
        <v>255</v>
      </c>
      <c r="I1058" t="s">
        <v>17</v>
      </c>
      <c r="J1058" t="s">
        <v>25</v>
      </c>
    </row>
    <row r="1059" spans="1:11" x14ac:dyDescent="0.2">
      <c r="A1059" t="s">
        <v>4001</v>
      </c>
      <c r="B1059" t="s">
        <v>4002</v>
      </c>
      <c r="F1059" s="2">
        <v>5251919</v>
      </c>
      <c r="G1059" s="2">
        <v>132993921</v>
      </c>
      <c r="H1059" t="s">
        <v>28</v>
      </c>
      <c r="I1059" t="s">
        <v>17</v>
      </c>
      <c r="J1059" t="s">
        <v>25</v>
      </c>
    </row>
    <row r="1060" spans="1:11" x14ac:dyDescent="0.2">
      <c r="A1060" t="s">
        <v>4003</v>
      </c>
      <c r="B1060" t="s">
        <v>4004</v>
      </c>
      <c r="F1060" s="2">
        <v>525196023</v>
      </c>
      <c r="G1060" s="2">
        <v>133006072</v>
      </c>
      <c r="H1060" t="s">
        <v>28</v>
      </c>
      <c r="I1060" t="s">
        <v>17</v>
      </c>
      <c r="J1060" t="s">
        <v>25</v>
      </c>
    </row>
    <row r="1061" spans="1:11" x14ac:dyDescent="0.2">
      <c r="A1061" t="s">
        <v>4005</v>
      </c>
      <c r="B1061" t="s">
        <v>4006</v>
      </c>
      <c r="C1061" t="s">
        <v>4007</v>
      </c>
      <c r="E1061" t="s">
        <v>4008</v>
      </c>
      <c r="F1061" s="2">
        <v>525253841</v>
      </c>
      <c r="G1061" s="2">
        <v>13391823</v>
      </c>
      <c r="H1061" t="s">
        <v>277</v>
      </c>
      <c r="I1061" t="s">
        <v>17</v>
      </c>
      <c r="J1061" t="s">
        <v>25</v>
      </c>
      <c r="K1061" t="s">
        <v>4009</v>
      </c>
    </row>
    <row r="1062" spans="1:11" x14ac:dyDescent="0.2">
      <c r="A1062" t="s">
        <v>4010</v>
      </c>
      <c r="B1062" t="s">
        <v>4011</v>
      </c>
      <c r="C1062" t="s">
        <v>4012</v>
      </c>
      <c r="D1062" t="s">
        <v>4013</v>
      </c>
      <c r="E1062" t="s">
        <v>4014</v>
      </c>
      <c r="F1062" s="2">
        <v>525047787</v>
      </c>
      <c r="G1062" s="2">
        <v>13328134</v>
      </c>
      <c r="H1062" t="s">
        <v>24</v>
      </c>
      <c r="I1062" t="s">
        <v>17</v>
      </c>
      <c r="J1062" t="s">
        <v>25</v>
      </c>
    </row>
    <row r="1063" spans="1:11" x14ac:dyDescent="0.2">
      <c r="A1063" t="s">
        <v>4015</v>
      </c>
      <c r="B1063" t="s">
        <v>4016</v>
      </c>
      <c r="F1063" s="2">
        <v>525048014</v>
      </c>
      <c r="G1063" s="2">
        <v>13328285</v>
      </c>
      <c r="H1063" t="s">
        <v>28</v>
      </c>
      <c r="I1063" t="s">
        <v>17</v>
      </c>
      <c r="J1063" t="s">
        <v>25</v>
      </c>
    </row>
    <row r="1064" spans="1:11" x14ac:dyDescent="0.2">
      <c r="A1064" t="s">
        <v>4017</v>
      </c>
      <c r="B1064" t="s">
        <v>4018</v>
      </c>
      <c r="F1064" s="2">
        <v>525017145</v>
      </c>
      <c r="G1064" s="2">
        <v>134173114</v>
      </c>
      <c r="H1064" t="s">
        <v>28</v>
      </c>
      <c r="I1064" t="s">
        <v>17</v>
      </c>
      <c r="J1064" t="s">
        <v>25</v>
      </c>
    </row>
    <row r="1065" spans="1:11" x14ac:dyDescent="0.2">
      <c r="A1065" t="s">
        <v>4019</v>
      </c>
      <c r="B1065" t="s">
        <v>4020</v>
      </c>
      <c r="C1065" t="s">
        <v>4021</v>
      </c>
      <c r="D1065" t="s">
        <v>4022</v>
      </c>
      <c r="E1065" t="s">
        <v>4023</v>
      </c>
      <c r="F1065" s="2">
        <v>524667558</v>
      </c>
      <c r="G1065" s="2">
        <v>133199577</v>
      </c>
      <c r="H1065" t="s">
        <v>16</v>
      </c>
      <c r="I1065" t="s">
        <v>17</v>
      </c>
      <c r="J1065" t="s">
        <v>25</v>
      </c>
    </row>
    <row r="1066" spans="1:11" x14ac:dyDescent="0.2">
      <c r="A1066" t="s">
        <v>4024</v>
      </c>
      <c r="B1066" t="s">
        <v>4025</v>
      </c>
      <c r="E1066" t="s">
        <v>4026</v>
      </c>
      <c r="F1066" s="2">
        <v>525246598</v>
      </c>
      <c r="G1066" s="2">
        <v>13313232</v>
      </c>
      <c r="H1066" t="s">
        <v>34</v>
      </c>
      <c r="I1066" t="s">
        <v>17</v>
      </c>
      <c r="J1066" t="s">
        <v>25</v>
      </c>
    </row>
    <row r="1067" spans="1:11" x14ac:dyDescent="0.2">
      <c r="A1067" t="s">
        <v>4027</v>
      </c>
      <c r="B1067" t="s">
        <v>4028</v>
      </c>
      <c r="E1067" t="s">
        <v>4029</v>
      </c>
      <c r="F1067" s="2">
        <v>525258493</v>
      </c>
      <c r="G1067" s="2">
        <v>13322134</v>
      </c>
      <c r="H1067" t="s">
        <v>34</v>
      </c>
      <c r="I1067" t="s">
        <v>17</v>
      </c>
      <c r="J1067" t="s">
        <v>25</v>
      </c>
    </row>
    <row r="1068" spans="1:11" x14ac:dyDescent="0.2">
      <c r="A1068" t="s">
        <v>4030</v>
      </c>
      <c r="B1068" t="s">
        <v>4031</v>
      </c>
      <c r="C1068" t="s">
        <v>4032</v>
      </c>
      <c r="D1068" t="s">
        <v>4033</v>
      </c>
      <c r="F1068" s="2">
        <v>524875432</v>
      </c>
      <c r="G1068" s="2">
        <v>131823651</v>
      </c>
      <c r="H1068" t="s">
        <v>24</v>
      </c>
      <c r="I1068" t="s">
        <v>17</v>
      </c>
      <c r="J1068" t="s">
        <v>25</v>
      </c>
    </row>
    <row r="1069" spans="1:11" x14ac:dyDescent="0.2">
      <c r="A1069" t="s">
        <v>4034</v>
      </c>
      <c r="B1069" t="s">
        <v>4035</v>
      </c>
      <c r="E1069" t="s">
        <v>4036</v>
      </c>
      <c r="F1069" s="2">
        <v>525398428</v>
      </c>
      <c r="G1069" s="2">
        <v>134117863</v>
      </c>
      <c r="H1069" t="s">
        <v>34</v>
      </c>
      <c r="I1069" t="s">
        <v>17</v>
      </c>
      <c r="J1069" t="s">
        <v>25</v>
      </c>
    </row>
    <row r="1070" spans="1:11" x14ac:dyDescent="0.2">
      <c r="A1070" t="s">
        <v>4037</v>
      </c>
      <c r="B1070" t="s">
        <v>4038</v>
      </c>
      <c r="C1070" t="s">
        <v>4039</v>
      </c>
      <c r="E1070" t="s">
        <v>4040</v>
      </c>
      <c r="F1070" s="2">
        <v>524050239</v>
      </c>
      <c r="G1070" s="2">
        <v>135732228</v>
      </c>
      <c r="H1070" t="s">
        <v>38</v>
      </c>
      <c r="I1070" t="s">
        <v>17</v>
      </c>
      <c r="J1070" t="s">
        <v>25</v>
      </c>
    </row>
    <row r="1071" spans="1:11" x14ac:dyDescent="0.2">
      <c r="A1071" t="s">
        <v>4041</v>
      </c>
      <c r="B1071" t="s">
        <v>4042</v>
      </c>
      <c r="C1071" t="s">
        <v>4043</v>
      </c>
      <c r="E1071" t="s">
        <v>4044</v>
      </c>
      <c r="F1071" s="2">
        <v>52536875</v>
      </c>
      <c r="G1071" s="2">
        <v>134343093</v>
      </c>
      <c r="H1071" t="s">
        <v>38</v>
      </c>
      <c r="I1071" t="s">
        <v>17</v>
      </c>
      <c r="J1071" t="s">
        <v>25</v>
      </c>
    </row>
    <row r="1072" spans="1:11" x14ac:dyDescent="0.2">
      <c r="A1072" t="s">
        <v>4045</v>
      </c>
      <c r="B1072" t="s">
        <v>4046</v>
      </c>
      <c r="C1072" t="s">
        <v>4047</v>
      </c>
      <c r="D1072" t="s">
        <v>4048</v>
      </c>
      <c r="E1072" t="s">
        <v>4049</v>
      </c>
      <c r="F1072" s="2">
        <v>52498588</v>
      </c>
      <c r="G1072" s="2">
        <v>134259464</v>
      </c>
      <c r="H1072" t="s">
        <v>51</v>
      </c>
      <c r="I1072" t="s">
        <v>17</v>
      </c>
      <c r="J1072" t="s">
        <v>25</v>
      </c>
      <c r="K1072" t="s">
        <v>4050</v>
      </c>
    </row>
    <row r="1073" spans="1:11" x14ac:dyDescent="0.2">
      <c r="A1073" t="s">
        <v>4051</v>
      </c>
      <c r="B1073" t="s">
        <v>4052</v>
      </c>
      <c r="F1073" s="2">
        <v>525474312</v>
      </c>
      <c r="G1073" s="2">
        <v>134088699</v>
      </c>
      <c r="H1073" t="s">
        <v>28</v>
      </c>
      <c r="I1073" t="s">
        <v>17</v>
      </c>
      <c r="J1073" t="s">
        <v>25</v>
      </c>
    </row>
    <row r="1074" spans="1:11" x14ac:dyDescent="0.2">
      <c r="A1074" t="s">
        <v>4053</v>
      </c>
      <c r="B1074" t="s">
        <v>4054</v>
      </c>
      <c r="D1074" t="s">
        <v>4055</v>
      </c>
      <c r="F1074" s="2">
        <v>524999043</v>
      </c>
      <c r="G1074" s="2">
        <v>134371056</v>
      </c>
      <c r="H1074" t="s">
        <v>34</v>
      </c>
      <c r="I1074" t="s">
        <v>17</v>
      </c>
      <c r="J1074" t="s">
        <v>25</v>
      </c>
    </row>
    <row r="1075" spans="1:11" x14ac:dyDescent="0.2">
      <c r="A1075" t="s">
        <v>4056</v>
      </c>
      <c r="B1075" t="s">
        <v>4057</v>
      </c>
      <c r="F1075" s="2">
        <v>524865603</v>
      </c>
      <c r="G1075" s="2">
        <v>133557273</v>
      </c>
      <c r="H1075" t="s">
        <v>28</v>
      </c>
      <c r="I1075" t="s">
        <v>17</v>
      </c>
      <c r="J1075" t="s">
        <v>25</v>
      </c>
    </row>
    <row r="1076" spans="1:11" x14ac:dyDescent="0.2">
      <c r="A1076" t="s">
        <v>4058</v>
      </c>
      <c r="B1076" t="s">
        <v>4059</v>
      </c>
      <c r="C1076" t="s">
        <v>4060</v>
      </c>
      <c r="E1076" t="s">
        <v>4061</v>
      </c>
      <c r="F1076" s="2">
        <v>525194948</v>
      </c>
      <c r="G1076" s="2">
        <v>132705696</v>
      </c>
      <c r="H1076" t="s">
        <v>38</v>
      </c>
      <c r="I1076" t="s">
        <v>17</v>
      </c>
      <c r="J1076" t="s">
        <v>25</v>
      </c>
    </row>
    <row r="1077" spans="1:11" x14ac:dyDescent="0.2">
      <c r="A1077" t="s">
        <v>4062</v>
      </c>
      <c r="B1077" t="s">
        <v>4063</v>
      </c>
      <c r="E1077" t="s">
        <v>4064</v>
      </c>
      <c r="F1077" s="2">
        <v>524894806</v>
      </c>
      <c r="G1077" s="2">
        <v>133923972</v>
      </c>
      <c r="H1077" t="s">
        <v>34</v>
      </c>
      <c r="I1077" t="s">
        <v>17</v>
      </c>
      <c r="J1077" t="s">
        <v>25</v>
      </c>
    </row>
    <row r="1078" spans="1:11" x14ac:dyDescent="0.2">
      <c r="A1078" t="s">
        <v>4065</v>
      </c>
      <c r="B1078" t="s">
        <v>4066</v>
      </c>
      <c r="E1078" t="s">
        <v>4067</v>
      </c>
      <c r="F1078" s="2">
        <v>524630193</v>
      </c>
      <c r="G1078" s="2">
        <v>133443786</v>
      </c>
      <c r="H1078" t="s">
        <v>34</v>
      </c>
      <c r="I1078" t="s">
        <v>17</v>
      </c>
      <c r="J1078" t="s">
        <v>25</v>
      </c>
    </row>
    <row r="1079" spans="1:11" x14ac:dyDescent="0.2">
      <c r="A1079" t="s">
        <v>4068</v>
      </c>
      <c r="B1079" t="s">
        <v>4069</v>
      </c>
      <c r="C1079" t="s">
        <v>4070</v>
      </c>
      <c r="E1079" t="s">
        <v>4071</v>
      </c>
      <c r="F1079" s="2">
        <v>524695855</v>
      </c>
      <c r="G1079" s="2">
        <v>1334364</v>
      </c>
      <c r="H1079" t="s">
        <v>38</v>
      </c>
      <c r="I1079" t="s">
        <v>17</v>
      </c>
      <c r="J1079" t="s">
        <v>25</v>
      </c>
    </row>
    <row r="1080" spans="1:11" x14ac:dyDescent="0.2">
      <c r="A1080" t="s">
        <v>4072</v>
      </c>
      <c r="B1080" t="s">
        <v>4073</v>
      </c>
      <c r="C1080" t="s">
        <v>4074</v>
      </c>
      <c r="D1080" t="s">
        <v>4075</v>
      </c>
      <c r="E1080">
        <v>49308559647</v>
      </c>
      <c r="F1080" s="2">
        <v>524646458</v>
      </c>
      <c r="G1080" s="2">
        <v>133386915</v>
      </c>
      <c r="H1080" t="s">
        <v>24</v>
      </c>
      <c r="I1080" t="s">
        <v>17</v>
      </c>
      <c r="J1080" t="s">
        <v>25</v>
      </c>
    </row>
    <row r="1081" spans="1:11" x14ac:dyDescent="0.2">
      <c r="A1081" t="s">
        <v>4076</v>
      </c>
      <c r="B1081" t="s">
        <v>4077</v>
      </c>
      <c r="C1081" t="s">
        <v>4078</v>
      </c>
      <c r="D1081" t="s">
        <v>4079</v>
      </c>
      <c r="E1081" t="s">
        <v>4080</v>
      </c>
      <c r="F1081" s="2">
        <v>524602073</v>
      </c>
      <c r="G1081" s="2">
        <v>133397378</v>
      </c>
      <c r="H1081" t="s">
        <v>24</v>
      </c>
      <c r="I1081" t="s">
        <v>17</v>
      </c>
      <c r="J1081" t="s">
        <v>25</v>
      </c>
    </row>
    <row r="1082" spans="1:11" x14ac:dyDescent="0.2">
      <c r="A1082" t="s">
        <v>4081</v>
      </c>
      <c r="B1082" t="s">
        <v>4082</v>
      </c>
      <c r="E1082" t="s">
        <v>4083</v>
      </c>
      <c r="F1082" s="2">
        <v>524510479</v>
      </c>
      <c r="G1082" s="2">
        <v>133410754</v>
      </c>
      <c r="H1082" t="s">
        <v>34</v>
      </c>
      <c r="I1082" t="s">
        <v>17</v>
      </c>
      <c r="J1082" t="s">
        <v>25</v>
      </c>
    </row>
    <row r="1083" spans="1:11" x14ac:dyDescent="0.2">
      <c r="A1083" t="s">
        <v>4084</v>
      </c>
      <c r="B1083" t="s">
        <v>4085</v>
      </c>
      <c r="F1083" s="2">
        <v>526065726</v>
      </c>
      <c r="G1083" s="2">
        <v>134198369</v>
      </c>
      <c r="H1083" t="s">
        <v>28</v>
      </c>
      <c r="I1083" t="s">
        <v>17</v>
      </c>
      <c r="J1083" t="s">
        <v>25</v>
      </c>
    </row>
    <row r="1084" spans="1:11" x14ac:dyDescent="0.2">
      <c r="A1084" t="s">
        <v>4086</v>
      </c>
      <c r="B1084" t="s">
        <v>4087</v>
      </c>
      <c r="F1084" s="2">
        <v>5250706</v>
      </c>
      <c r="G1084" s="2">
        <v>133095352</v>
      </c>
      <c r="H1084" t="s">
        <v>28</v>
      </c>
      <c r="I1084" t="s">
        <v>17</v>
      </c>
      <c r="J1084" t="s">
        <v>25</v>
      </c>
    </row>
    <row r="1085" spans="1:11" x14ac:dyDescent="0.2">
      <c r="A1085" t="s">
        <v>4088</v>
      </c>
      <c r="B1085" t="s">
        <v>4089</v>
      </c>
      <c r="C1085" t="s">
        <v>4090</v>
      </c>
      <c r="F1085" s="2">
        <v>524888808</v>
      </c>
      <c r="G1085" s="2">
        <v>134514304</v>
      </c>
      <c r="H1085" t="s">
        <v>277</v>
      </c>
      <c r="I1085" t="s">
        <v>17</v>
      </c>
      <c r="J1085" t="s">
        <v>25</v>
      </c>
      <c r="K1085" t="s">
        <v>4091</v>
      </c>
    </row>
    <row r="1086" spans="1:11" x14ac:dyDescent="0.2">
      <c r="A1086" t="s">
        <v>4092</v>
      </c>
      <c r="B1086" t="s">
        <v>4093</v>
      </c>
      <c r="E1086" t="s">
        <v>4094</v>
      </c>
      <c r="F1086" s="2">
        <v>524964833</v>
      </c>
      <c r="G1086" s="2">
        <v>134203413</v>
      </c>
      <c r="H1086" t="s">
        <v>34</v>
      </c>
      <c r="I1086" t="s">
        <v>17</v>
      </c>
      <c r="J1086" t="s">
        <v>25</v>
      </c>
    </row>
    <row r="1087" spans="1:11" x14ac:dyDescent="0.2">
      <c r="A1087" t="s">
        <v>4095</v>
      </c>
      <c r="B1087" t="s">
        <v>4096</v>
      </c>
      <c r="C1087" t="s">
        <v>4097</v>
      </c>
      <c r="E1087" t="s">
        <v>4098</v>
      </c>
      <c r="F1087" s="2">
        <v>525024902</v>
      </c>
      <c r="G1087" s="2">
        <v>13323529</v>
      </c>
      <c r="H1087" t="s">
        <v>38</v>
      </c>
      <c r="I1087" t="s">
        <v>17</v>
      </c>
      <c r="J1087" t="s">
        <v>25</v>
      </c>
    </row>
    <row r="1088" spans="1:11" x14ac:dyDescent="0.2">
      <c r="A1088" t="s">
        <v>4099</v>
      </c>
      <c r="B1088" t="s">
        <v>4100</v>
      </c>
      <c r="C1088" t="s">
        <v>4101</v>
      </c>
      <c r="D1088" t="s">
        <v>4102</v>
      </c>
      <c r="E1088" t="s">
        <v>4103</v>
      </c>
      <c r="F1088" s="2">
        <v>524878792</v>
      </c>
      <c r="G1088" s="2">
        <v>135606948</v>
      </c>
      <c r="H1088" t="s">
        <v>24</v>
      </c>
      <c r="I1088" t="s">
        <v>17</v>
      </c>
      <c r="J1088" t="s">
        <v>25</v>
      </c>
    </row>
    <row r="1089" spans="1:11" x14ac:dyDescent="0.2">
      <c r="A1089" t="s">
        <v>4104</v>
      </c>
      <c r="B1089" t="s">
        <v>4100</v>
      </c>
      <c r="C1089" t="s">
        <v>4105</v>
      </c>
      <c r="D1089" t="s">
        <v>4106</v>
      </c>
      <c r="E1089" t="s">
        <v>4107</v>
      </c>
      <c r="F1089" s="2">
        <v>52487751</v>
      </c>
      <c r="G1089" s="2">
        <v>13560681</v>
      </c>
      <c r="H1089" t="s">
        <v>51</v>
      </c>
      <c r="I1089" t="s">
        <v>17</v>
      </c>
      <c r="J1089" t="s">
        <v>25</v>
      </c>
      <c r="K1089" t="s">
        <v>4108</v>
      </c>
    </row>
    <row r="1090" spans="1:11" x14ac:dyDescent="0.2">
      <c r="A1090" t="s">
        <v>4109</v>
      </c>
      <c r="B1090" t="s">
        <v>4110</v>
      </c>
      <c r="C1090" t="s">
        <v>4111</v>
      </c>
      <c r="D1090" t="s">
        <v>4112</v>
      </c>
      <c r="E1090">
        <v>493063413372</v>
      </c>
      <c r="F1090" s="2">
        <v>52465896</v>
      </c>
      <c r="G1090" s="2">
        <v>134325315</v>
      </c>
      <c r="H1090" t="s">
        <v>24</v>
      </c>
      <c r="I1090" t="s">
        <v>17</v>
      </c>
      <c r="J1090" t="s">
        <v>25</v>
      </c>
    </row>
    <row r="1091" spans="1:11" x14ac:dyDescent="0.2">
      <c r="A1091" t="s">
        <v>4113</v>
      </c>
      <c r="B1091" t="s">
        <v>4114</v>
      </c>
      <c r="C1091" t="s">
        <v>4115</v>
      </c>
      <c r="E1091" t="s">
        <v>4116</v>
      </c>
      <c r="F1091" s="2">
        <v>525119442</v>
      </c>
      <c r="G1091" s="2">
        <v>132974907</v>
      </c>
      <c r="H1091" t="s">
        <v>38</v>
      </c>
      <c r="I1091" t="s">
        <v>17</v>
      </c>
      <c r="J1091" t="s">
        <v>25</v>
      </c>
    </row>
    <row r="1092" spans="1:11" x14ac:dyDescent="0.2">
      <c r="A1092" t="s">
        <v>4117</v>
      </c>
      <c r="F1092" s="2">
        <v>525121116</v>
      </c>
      <c r="G1092" s="2">
        <v>13297475</v>
      </c>
      <c r="H1092" t="s">
        <v>28</v>
      </c>
      <c r="I1092" t="s">
        <v>17</v>
      </c>
      <c r="J1092" t="s">
        <v>25</v>
      </c>
    </row>
    <row r="1093" spans="1:11" x14ac:dyDescent="0.2">
      <c r="A1093" t="s">
        <v>4118</v>
      </c>
      <c r="B1093" t="s">
        <v>2819</v>
      </c>
      <c r="C1093" t="s">
        <v>4119</v>
      </c>
      <c r="D1093" t="s">
        <v>4120</v>
      </c>
      <c r="E1093">
        <v>493031010874</v>
      </c>
      <c r="F1093" s="2">
        <v>525048952</v>
      </c>
      <c r="G1093" s="2">
        <v>132992862</v>
      </c>
      <c r="H1093" t="s">
        <v>24</v>
      </c>
      <c r="I1093" t="s">
        <v>17</v>
      </c>
      <c r="J1093" t="s">
        <v>25</v>
      </c>
    </row>
    <row r="1094" spans="1:11" x14ac:dyDescent="0.2">
      <c r="A1094" t="s">
        <v>4121</v>
      </c>
      <c r="B1094" t="s">
        <v>4122</v>
      </c>
      <c r="C1094" t="s">
        <v>4123</v>
      </c>
      <c r="F1094" s="2">
        <v>525066362</v>
      </c>
      <c r="G1094" s="2">
        <v>13297991</v>
      </c>
      <c r="H1094" t="s">
        <v>38</v>
      </c>
      <c r="I1094" t="s">
        <v>17</v>
      </c>
      <c r="J1094" t="s">
        <v>25</v>
      </c>
    </row>
    <row r="1095" spans="1:11" x14ac:dyDescent="0.2">
      <c r="A1095" t="s">
        <v>4124</v>
      </c>
      <c r="B1095" t="s">
        <v>4125</v>
      </c>
      <c r="F1095" s="2">
        <v>525111413</v>
      </c>
      <c r="G1095" s="2">
        <v>132820069</v>
      </c>
      <c r="H1095" t="s">
        <v>28</v>
      </c>
      <c r="I1095" t="s">
        <v>17</v>
      </c>
      <c r="J1095" t="s">
        <v>25</v>
      </c>
    </row>
    <row r="1096" spans="1:11" x14ac:dyDescent="0.2">
      <c r="A1096" t="s">
        <v>4126</v>
      </c>
      <c r="B1096" t="s">
        <v>4006</v>
      </c>
      <c r="C1096" t="s">
        <v>4127</v>
      </c>
      <c r="F1096" s="2">
        <v>525087373</v>
      </c>
      <c r="G1096" s="2">
        <v>133744724</v>
      </c>
      <c r="H1096" t="s">
        <v>277</v>
      </c>
      <c r="I1096" t="s">
        <v>17</v>
      </c>
      <c r="J1096" t="s">
        <v>25</v>
      </c>
      <c r="K1096" t="s">
        <v>4128</v>
      </c>
    </row>
    <row r="1097" spans="1:11" x14ac:dyDescent="0.2">
      <c r="A1097" t="s">
        <v>4129</v>
      </c>
      <c r="B1097" t="s">
        <v>4130</v>
      </c>
      <c r="C1097" t="s">
        <v>4131</v>
      </c>
      <c r="E1097" t="s">
        <v>4132</v>
      </c>
      <c r="F1097" s="2">
        <v>525274951</v>
      </c>
      <c r="G1097" s="2">
        <v>134034676</v>
      </c>
      <c r="H1097" t="s">
        <v>38</v>
      </c>
      <c r="I1097" t="s">
        <v>17</v>
      </c>
      <c r="J1097" t="s">
        <v>25</v>
      </c>
    </row>
    <row r="1098" spans="1:11" x14ac:dyDescent="0.2">
      <c r="A1098" t="s">
        <v>4133</v>
      </c>
      <c r="B1098" t="s">
        <v>4134</v>
      </c>
      <c r="C1098" t="s">
        <v>4135</v>
      </c>
      <c r="E1098" t="s">
        <v>4136</v>
      </c>
      <c r="F1098" s="2">
        <v>52527551</v>
      </c>
      <c r="G1098" s="2">
        <v>13408267</v>
      </c>
      <c r="H1098" t="s">
        <v>38</v>
      </c>
      <c r="I1098" t="s">
        <v>17</v>
      </c>
      <c r="J1098" t="s">
        <v>25</v>
      </c>
    </row>
    <row r="1099" spans="1:11" x14ac:dyDescent="0.2">
      <c r="A1099" t="s">
        <v>4137</v>
      </c>
      <c r="B1099" t="s">
        <v>4138</v>
      </c>
      <c r="C1099" t="s">
        <v>4139</v>
      </c>
      <c r="D1099" t="s">
        <v>4140</v>
      </c>
      <c r="E1099" t="s">
        <v>4141</v>
      </c>
      <c r="F1099" s="2">
        <v>524810042</v>
      </c>
      <c r="G1099" s="2">
        <v>135236454</v>
      </c>
      <c r="H1099" t="s">
        <v>24</v>
      </c>
      <c r="I1099" t="s">
        <v>17</v>
      </c>
      <c r="J1099" t="s">
        <v>25</v>
      </c>
    </row>
    <row r="1100" spans="1:11" x14ac:dyDescent="0.2">
      <c r="A1100" t="s">
        <v>4142</v>
      </c>
      <c r="B1100" t="s">
        <v>4143</v>
      </c>
      <c r="E1100" t="s">
        <v>4144</v>
      </c>
      <c r="F1100" s="2">
        <v>525258996</v>
      </c>
      <c r="G1100" s="2">
        <v>133077671</v>
      </c>
      <c r="H1100" t="s">
        <v>34</v>
      </c>
      <c r="I1100" t="s">
        <v>17</v>
      </c>
      <c r="J1100" t="s">
        <v>25</v>
      </c>
    </row>
    <row r="1101" spans="1:11" x14ac:dyDescent="0.2">
      <c r="A1101" t="s">
        <v>4145</v>
      </c>
      <c r="B1101" t="s">
        <v>2282</v>
      </c>
      <c r="C1101" t="s">
        <v>4146</v>
      </c>
      <c r="F1101" s="2">
        <v>525090199</v>
      </c>
      <c r="G1101" s="2">
        <v>13306922</v>
      </c>
      <c r="H1101" t="s">
        <v>38</v>
      </c>
      <c r="I1101" t="s">
        <v>17</v>
      </c>
      <c r="J1101" t="s">
        <v>25</v>
      </c>
    </row>
    <row r="1102" spans="1:11" x14ac:dyDescent="0.2">
      <c r="A1102" t="s">
        <v>4147</v>
      </c>
      <c r="B1102" t="s">
        <v>4148</v>
      </c>
      <c r="F1102" s="2">
        <v>525423766</v>
      </c>
      <c r="G1102" s="2">
        <v>13413532</v>
      </c>
      <c r="H1102" t="s">
        <v>28</v>
      </c>
      <c r="I1102" t="s">
        <v>17</v>
      </c>
      <c r="J1102" t="s">
        <v>25</v>
      </c>
    </row>
    <row r="1103" spans="1:11" x14ac:dyDescent="0.2">
      <c r="A1103" t="s">
        <v>4149</v>
      </c>
      <c r="B1103" t="s">
        <v>4150</v>
      </c>
      <c r="C1103" t="s">
        <v>4151</v>
      </c>
      <c r="D1103" t="s">
        <v>4152</v>
      </c>
      <c r="E1103">
        <v>493042804242</v>
      </c>
      <c r="F1103" s="2">
        <v>525182321</v>
      </c>
      <c r="G1103" s="2">
        <v>134399185</v>
      </c>
      <c r="H1103" t="s">
        <v>51</v>
      </c>
      <c r="I1103" t="s">
        <v>17</v>
      </c>
      <c r="J1103" t="s">
        <v>25</v>
      </c>
      <c r="K1103" t="s">
        <v>4153</v>
      </c>
    </row>
    <row r="1104" spans="1:11" x14ac:dyDescent="0.2">
      <c r="A1104" t="s">
        <v>4154</v>
      </c>
      <c r="B1104" t="s">
        <v>4155</v>
      </c>
      <c r="C1104" t="s">
        <v>4156</v>
      </c>
      <c r="D1104" t="s">
        <v>4157</v>
      </c>
      <c r="E1104" t="s">
        <v>4158</v>
      </c>
      <c r="F1104" s="2">
        <v>525054</v>
      </c>
      <c r="G1104" s="2">
        <v>133268982</v>
      </c>
      <c r="H1104" t="s">
        <v>51</v>
      </c>
      <c r="I1104" t="s">
        <v>17</v>
      </c>
      <c r="J1104" t="s">
        <v>25</v>
      </c>
      <c r="K1104" t="s">
        <v>4159</v>
      </c>
    </row>
    <row r="1105" spans="1:11" x14ac:dyDescent="0.2">
      <c r="A1105" t="s">
        <v>4160</v>
      </c>
      <c r="B1105" t="s">
        <v>4161</v>
      </c>
      <c r="C1105" t="s">
        <v>4162</v>
      </c>
      <c r="D1105" t="s">
        <v>4163</v>
      </c>
      <c r="E1105" t="s">
        <v>4164</v>
      </c>
      <c r="F1105" s="2">
        <v>52508645</v>
      </c>
      <c r="G1105" s="2">
        <v>134972631</v>
      </c>
      <c r="H1105" t="s">
        <v>24</v>
      </c>
      <c r="I1105" t="s">
        <v>17</v>
      </c>
      <c r="J1105" t="s">
        <v>25</v>
      </c>
    </row>
    <row r="1106" spans="1:11" x14ac:dyDescent="0.2">
      <c r="A1106" t="s">
        <v>4165</v>
      </c>
      <c r="F1106" s="2">
        <v>525169525</v>
      </c>
      <c r="G1106" s="2">
        <v>134797277</v>
      </c>
      <c r="H1106" t="s">
        <v>28</v>
      </c>
      <c r="I1106" t="s">
        <v>17</v>
      </c>
      <c r="J1106" t="s">
        <v>25</v>
      </c>
    </row>
    <row r="1107" spans="1:11" x14ac:dyDescent="0.2">
      <c r="A1107" t="s">
        <v>4166</v>
      </c>
      <c r="B1107" t="s">
        <v>4167</v>
      </c>
      <c r="C1107" t="s">
        <v>4168</v>
      </c>
      <c r="D1107" t="s">
        <v>4169</v>
      </c>
      <c r="E1107" t="s">
        <v>4170</v>
      </c>
      <c r="F1107" s="2">
        <v>525169008</v>
      </c>
      <c r="G1107" s="2">
        <v>134793206</v>
      </c>
      <c r="H1107" t="s">
        <v>24</v>
      </c>
      <c r="I1107" t="s">
        <v>17</v>
      </c>
      <c r="J1107" t="s">
        <v>25</v>
      </c>
    </row>
    <row r="1108" spans="1:11" x14ac:dyDescent="0.2">
      <c r="A1108" t="s">
        <v>4171</v>
      </c>
      <c r="B1108" t="s">
        <v>4172</v>
      </c>
      <c r="E1108">
        <v>493032679318</v>
      </c>
      <c r="F1108" s="2">
        <v>525118994</v>
      </c>
      <c r="G1108" s="2">
        <v>132948371</v>
      </c>
      <c r="H1108" t="s">
        <v>34</v>
      </c>
      <c r="I1108" t="s">
        <v>17</v>
      </c>
      <c r="J1108" t="s">
        <v>25</v>
      </c>
    </row>
    <row r="1109" spans="1:11" x14ac:dyDescent="0.2">
      <c r="A1109" t="s">
        <v>4173</v>
      </c>
      <c r="B1109" t="s">
        <v>4174</v>
      </c>
      <c r="C1109" t="s">
        <v>4175</v>
      </c>
      <c r="E1109" t="s">
        <v>4176</v>
      </c>
      <c r="F1109" s="2">
        <v>525123835</v>
      </c>
      <c r="G1109" s="2">
        <v>133090901</v>
      </c>
      <c r="H1109" t="s">
        <v>38</v>
      </c>
      <c r="I1109" t="s">
        <v>17</v>
      </c>
      <c r="J1109" t="s">
        <v>25</v>
      </c>
    </row>
    <row r="1110" spans="1:11" x14ac:dyDescent="0.2">
      <c r="A1110" t="s">
        <v>4177</v>
      </c>
      <c r="B1110" t="s">
        <v>4178</v>
      </c>
      <c r="E1110" t="s">
        <v>4179</v>
      </c>
      <c r="F1110" s="2">
        <v>525008584</v>
      </c>
      <c r="G1110" s="2">
        <v>133260044</v>
      </c>
      <c r="H1110" t="s">
        <v>34</v>
      </c>
      <c r="I1110" t="s">
        <v>17</v>
      </c>
      <c r="J1110" t="s">
        <v>25</v>
      </c>
    </row>
    <row r="1111" spans="1:11" x14ac:dyDescent="0.2">
      <c r="A1111" t="s">
        <v>4180</v>
      </c>
      <c r="B1111" t="s">
        <v>4181</v>
      </c>
      <c r="C1111" t="s">
        <v>4182</v>
      </c>
      <c r="D1111" t="s">
        <v>4183</v>
      </c>
      <c r="E1111" t="s">
        <v>4184</v>
      </c>
      <c r="F1111" s="2">
        <v>52517677</v>
      </c>
      <c r="G1111" s="2">
        <v>131682972</v>
      </c>
      <c r="H1111" t="s">
        <v>24</v>
      </c>
      <c r="I1111" t="s">
        <v>17</v>
      </c>
      <c r="J1111" t="s">
        <v>25</v>
      </c>
    </row>
    <row r="1112" spans="1:11" x14ac:dyDescent="0.2">
      <c r="A1112" t="s">
        <v>4185</v>
      </c>
      <c r="B1112" t="s">
        <v>4186</v>
      </c>
      <c r="E1112" t="s">
        <v>4187</v>
      </c>
      <c r="F1112" s="2">
        <v>526255729</v>
      </c>
      <c r="G1112" s="2">
        <v>13229439</v>
      </c>
      <c r="H1112" t="s">
        <v>34</v>
      </c>
      <c r="I1112" t="s">
        <v>17</v>
      </c>
      <c r="J1112" t="s">
        <v>25</v>
      </c>
    </row>
    <row r="1113" spans="1:11" x14ac:dyDescent="0.2">
      <c r="A1113" t="s">
        <v>4188</v>
      </c>
      <c r="F1113" s="2">
        <v>525138334</v>
      </c>
      <c r="G1113" s="2">
        <v>135179579</v>
      </c>
      <c r="H1113" t="s">
        <v>28</v>
      </c>
      <c r="I1113" t="s">
        <v>17</v>
      </c>
      <c r="J1113" t="s">
        <v>25</v>
      </c>
    </row>
    <row r="1114" spans="1:11" x14ac:dyDescent="0.2">
      <c r="A1114" t="s">
        <v>4189</v>
      </c>
      <c r="B1114" t="s">
        <v>4190</v>
      </c>
      <c r="F1114" s="2">
        <v>525503564</v>
      </c>
      <c r="G1114" s="2">
        <v>133526646</v>
      </c>
      <c r="H1114" t="s">
        <v>28</v>
      </c>
      <c r="I1114" t="s">
        <v>17</v>
      </c>
      <c r="J1114" t="s">
        <v>25</v>
      </c>
    </row>
    <row r="1115" spans="1:11" x14ac:dyDescent="0.2">
      <c r="A1115" t="s">
        <v>4191</v>
      </c>
      <c r="B1115" t="s">
        <v>4192</v>
      </c>
      <c r="C1115" t="s">
        <v>4193</v>
      </c>
      <c r="D1115" t="s">
        <v>4194</v>
      </c>
      <c r="F1115" s="2">
        <v>526057533</v>
      </c>
      <c r="G1115" s="2">
        <v>132125056</v>
      </c>
      <c r="H1115" t="s">
        <v>24</v>
      </c>
      <c r="I1115" t="s">
        <v>17</v>
      </c>
      <c r="J1115" t="s">
        <v>25</v>
      </c>
    </row>
    <row r="1116" spans="1:11" x14ac:dyDescent="0.2">
      <c r="A1116" t="s">
        <v>4195</v>
      </c>
      <c r="B1116" t="s">
        <v>4196</v>
      </c>
      <c r="C1116" t="s">
        <v>4197</v>
      </c>
      <c r="F1116" s="2">
        <v>5243768</v>
      </c>
      <c r="G1116" s="2">
        <v>132334683</v>
      </c>
      <c r="H1116" t="s">
        <v>277</v>
      </c>
      <c r="I1116" t="s">
        <v>17</v>
      </c>
      <c r="J1116" t="s">
        <v>25</v>
      </c>
      <c r="K1116" t="s">
        <v>4198</v>
      </c>
    </row>
    <row r="1117" spans="1:11" x14ac:dyDescent="0.2">
      <c r="A1117" t="s">
        <v>4199</v>
      </c>
      <c r="B1117" t="s">
        <v>4200</v>
      </c>
      <c r="C1117" t="s">
        <v>4201</v>
      </c>
      <c r="D1117" t="s">
        <v>4202</v>
      </c>
      <c r="E1117" t="s">
        <v>4203</v>
      </c>
      <c r="F1117" s="2">
        <v>525123059</v>
      </c>
      <c r="G1117" s="2">
        <v>134087464</v>
      </c>
      <c r="H1117" t="s">
        <v>51</v>
      </c>
      <c r="I1117" t="s">
        <v>17</v>
      </c>
      <c r="J1117" t="s">
        <v>25</v>
      </c>
      <c r="K1117" t="s">
        <v>4204</v>
      </c>
    </row>
    <row r="1118" spans="1:11" x14ac:dyDescent="0.2">
      <c r="A1118" t="s">
        <v>4205</v>
      </c>
      <c r="C1118" t="s">
        <v>4206</v>
      </c>
      <c r="F1118" s="2">
        <v>52511017</v>
      </c>
      <c r="G1118" s="2">
        <v>133764553</v>
      </c>
      <c r="H1118" t="s">
        <v>255</v>
      </c>
      <c r="I1118" t="s">
        <v>17</v>
      </c>
      <c r="J1118" t="s">
        <v>25</v>
      </c>
    </row>
    <row r="1119" spans="1:11" x14ac:dyDescent="0.2">
      <c r="A1119" t="s">
        <v>4207</v>
      </c>
      <c r="B1119" t="s">
        <v>4208</v>
      </c>
      <c r="F1119" s="2">
        <v>524991669</v>
      </c>
      <c r="G1119" s="2">
        <v>134427764</v>
      </c>
      <c r="H1119" t="s">
        <v>28</v>
      </c>
      <c r="I1119" t="s">
        <v>17</v>
      </c>
      <c r="J1119" t="s">
        <v>25</v>
      </c>
    </row>
    <row r="1120" spans="1:11" x14ac:dyDescent="0.2">
      <c r="A1120" t="s">
        <v>4209</v>
      </c>
      <c r="B1120" t="s">
        <v>4210</v>
      </c>
      <c r="F1120" s="2">
        <v>525334801</v>
      </c>
      <c r="G1120" s="2">
        <v>134286764</v>
      </c>
      <c r="H1120" t="s">
        <v>28</v>
      </c>
      <c r="I1120" t="s">
        <v>17</v>
      </c>
      <c r="J1120" t="s">
        <v>25</v>
      </c>
    </row>
    <row r="1121" spans="1:11" x14ac:dyDescent="0.2">
      <c r="A1121" t="s">
        <v>4211</v>
      </c>
      <c r="B1121" t="s">
        <v>4212</v>
      </c>
      <c r="E1121">
        <v>493031172552</v>
      </c>
      <c r="F1121" s="2">
        <v>52517174</v>
      </c>
      <c r="G1121" s="2">
        <v>13446213</v>
      </c>
      <c r="H1121" t="s">
        <v>34</v>
      </c>
      <c r="I1121" t="s">
        <v>17</v>
      </c>
      <c r="J1121" t="s">
        <v>25</v>
      </c>
    </row>
    <row r="1122" spans="1:11" x14ac:dyDescent="0.2">
      <c r="A1122" t="s">
        <v>4213</v>
      </c>
      <c r="B1122" t="s">
        <v>4214</v>
      </c>
      <c r="F1122" s="2">
        <v>525067189</v>
      </c>
      <c r="G1122" s="2">
        <v>134705552</v>
      </c>
      <c r="H1122" t="s">
        <v>28</v>
      </c>
      <c r="I1122" t="s">
        <v>17</v>
      </c>
      <c r="J1122" t="s">
        <v>25</v>
      </c>
    </row>
    <row r="1123" spans="1:11" x14ac:dyDescent="0.2">
      <c r="A1123" t="s">
        <v>4215</v>
      </c>
      <c r="B1123" t="s">
        <v>4216</v>
      </c>
      <c r="C1123" t="s">
        <v>4217</v>
      </c>
      <c r="D1123" t="s">
        <v>4218</v>
      </c>
      <c r="E1123" t="s">
        <v>4219</v>
      </c>
      <c r="F1123" s="2">
        <v>525156403</v>
      </c>
      <c r="G1123" s="2">
        <v>134069525</v>
      </c>
      <c r="H1123" t="s">
        <v>51</v>
      </c>
      <c r="I1123" t="s">
        <v>17</v>
      </c>
      <c r="J1123" t="s">
        <v>25</v>
      </c>
      <c r="K1123" t="s">
        <v>4220</v>
      </c>
    </row>
    <row r="1124" spans="1:11" x14ac:dyDescent="0.2">
      <c r="A1124" t="s">
        <v>4221</v>
      </c>
      <c r="B1124" t="s">
        <v>4222</v>
      </c>
      <c r="C1124" t="s">
        <v>4223</v>
      </c>
      <c r="D1124" t="s">
        <v>4224</v>
      </c>
      <c r="E1124">
        <v>493026349330</v>
      </c>
      <c r="F1124" s="2">
        <v>525433869</v>
      </c>
      <c r="G1124" s="2">
        <v>134146204</v>
      </c>
      <c r="H1124" t="s">
        <v>51</v>
      </c>
      <c r="I1124" t="s">
        <v>17</v>
      </c>
      <c r="J1124" t="s">
        <v>25</v>
      </c>
      <c r="K1124" t="s">
        <v>4225</v>
      </c>
    </row>
    <row r="1125" spans="1:11" x14ac:dyDescent="0.2">
      <c r="A1125" t="s">
        <v>4226</v>
      </c>
      <c r="B1125" t="s">
        <v>4227</v>
      </c>
      <c r="C1125" t="s">
        <v>4228</v>
      </c>
      <c r="D1125" t="s">
        <v>4229</v>
      </c>
      <c r="E1125" t="s">
        <v>4230</v>
      </c>
      <c r="F1125" s="2">
        <v>524851268</v>
      </c>
      <c r="G1125" s="2">
        <v>134449541</v>
      </c>
      <c r="H1125" t="s">
        <v>51</v>
      </c>
      <c r="I1125" t="s">
        <v>17</v>
      </c>
      <c r="J1125" t="s">
        <v>25</v>
      </c>
      <c r="K1125" t="s">
        <v>4231</v>
      </c>
    </row>
    <row r="1126" spans="1:11" x14ac:dyDescent="0.2">
      <c r="A1126" t="s">
        <v>4232</v>
      </c>
      <c r="B1126" t="s">
        <v>4233</v>
      </c>
      <c r="F1126" s="2">
        <v>525535991</v>
      </c>
      <c r="G1126" s="2">
        <v>134111565</v>
      </c>
      <c r="H1126" t="s">
        <v>28</v>
      </c>
      <c r="I1126" t="s">
        <v>17</v>
      </c>
      <c r="J1126" t="s">
        <v>25</v>
      </c>
    </row>
    <row r="1127" spans="1:11" x14ac:dyDescent="0.2">
      <c r="A1127" t="s">
        <v>4234</v>
      </c>
      <c r="B1127" t="s">
        <v>4235</v>
      </c>
      <c r="C1127" t="s">
        <v>4236</v>
      </c>
      <c r="D1127" t="s">
        <v>4237</v>
      </c>
      <c r="E1127">
        <v>493062735787</v>
      </c>
      <c r="F1127" s="2">
        <v>524971426</v>
      </c>
      <c r="G1127" s="2">
        <v>134391826</v>
      </c>
      <c r="H1127" t="s">
        <v>51</v>
      </c>
      <c r="I1127" t="s">
        <v>17</v>
      </c>
      <c r="J1127" t="s">
        <v>25</v>
      </c>
      <c r="K1127" t="s">
        <v>4238</v>
      </c>
    </row>
    <row r="1128" spans="1:11" x14ac:dyDescent="0.2">
      <c r="A1128" t="s">
        <v>4239</v>
      </c>
      <c r="B1128" t="s">
        <v>4240</v>
      </c>
      <c r="C1128" t="s">
        <v>4241</v>
      </c>
      <c r="E1128" t="s">
        <v>4242</v>
      </c>
      <c r="F1128" s="2">
        <v>525343946</v>
      </c>
      <c r="G1128" s="2">
        <v>134260316</v>
      </c>
      <c r="H1128" t="s">
        <v>277</v>
      </c>
      <c r="I1128" t="s">
        <v>17</v>
      </c>
      <c r="J1128" t="s">
        <v>25</v>
      </c>
      <c r="K1128" t="s">
        <v>4243</v>
      </c>
    </row>
    <row r="1129" spans="1:11" x14ac:dyDescent="0.2">
      <c r="A1129" t="s">
        <v>4244</v>
      </c>
      <c r="B1129" t="s">
        <v>4245</v>
      </c>
      <c r="C1129" t="s">
        <v>4246</v>
      </c>
      <c r="F1129" s="2">
        <v>52492789</v>
      </c>
      <c r="G1129" s="2">
        <v>134163561</v>
      </c>
      <c r="H1129" t="s">
        <v>255</v>
      </c>
      <c r="I1129" t="s">
        <v>17</v>
      </c>
      <c r="J1129" t="s">
        <v>25</v>
      </c>
    </row>
    <row r="1130" spans="1:11" x14ac:dyDescent="0.2">
      <c r="A1130" t="s">
        <v>4247</v>
      </c>
      <c r="B1130" t="s">
        <v>4248</v>
      </c>
      <c r="C1130" t="s">
        <v>4249</v>
      </c>
      <c r="D1130" t="s">
        <v>4250</v>
      </c>
      <c r="E1130">
        <v>493022652542</v>
      </c>
      <c r="F1130" s="2">
        <v>525114767</v>
      </c>
      <c r="G1130" s="2">
        <v>133828541</v>
      </c>
      <c r="H1130" t="s">
        <v>51</v>
      </c>
      <c r="I1130" t="s">
        <v>17</v>
      </c>
      <c r="J1130" t="s">
        <v>25</v>
      </c>
      <c r="K1130" t="s">
        <v>4251</v>
      </c>
    </row>
    <row r="1131" spans="1:11" x14ac:dyDescent="0.2">
      <c r="A1131" t="s">
        <v>4252</v>
      </c>
      <c r="B1131" t="s">
        <v>4253</v>
      </c>
      <c r="C1131" t="s">
        <v>4254</v>
      </c>
      <c r="D1131" t="s">
        <v>4255</v>
      </c>
      <c r="E1131">
        <v>493020621900</v>
      </c>
      <c r="F1131" s="2">
        <v>525126599</v>
      </c>
      <c r="G1131" s="2">
        <v>134029766</v>
      </c>
      <c r="H1131" t="s">
        <v>51</v>
      </c>
      <c r="I1131" t="s">
        <v>17</v>
      </c>
      <c r="J1131" t="s">
        <v>25</v>
      </c>
      <c r="K1131" t="s">
        <v>4256</v>
      </c>
    </row>
    <row r="1132" spans="1:11" x14ac:dyDescent="0.2">
      <c r="A1132" t="s">
        <v>4257</v>
      </c>
      <c r="C1132" t="s">
        <v>4258</v>
      </c>
      <c r="E1132" t="s">
        <v>4259</v>
      </c>
      <c r="F1132" s="2">
        <v>525358149</v>
      </c>
      <c r="G1132" s="2">
        <v>134973565</v>
      </c>
      <c r="H1132" t="s">
        <v>38</v>
      </c>
      <c r="I1132" t="s">
        <v>17</v>
      </c>
      <c r="J1132" t="s">
        <v>25</v>
      </c>
    </row>
    <row r="1133" spans="1:11" x14ac:dyDescent="0.2">
      <c r="A1133" t="s">
        <v>4260</v>
      </c>
      <c r="B1133" t="s">
        <v>4261</v>
      </c>
      <c r="C1133" t="s">
        <v>4262</v>
      </c>
      <c r="E1133">
        <v>493043095999</v>
      </c>
      <c r="F1133" s="2">
        <v>525901924</v>
      </c>
      <c r="G1133" s="2">
        <v>132834875</v>
      </c>
      <c r="H1133" t="s">
        <v>38</v>
      </c>
      <c r="I1133" t="s">
        <v>17</v>
      </c>
      <c r="J1133" t="s">
        <v>25</v>
      </c>
    </row>
    <row r="1134" spans="1:11" x14ac:dyDescent="0.2">
      <c r="A1134" t="s">
        <v>4263</v>
      </c>
      <c r="F1134" s="2">
        <v>525863424</v>
      </c>
      <c r="G1134" s="2">
        <v>132871396</v>
      </c>
      <c r="H1134" t="s">
        <v>28</v>
      </c>
      <c r="I1134" t="s">
        <v>17</v>
      </c>
      <c r="J1134" t="s">
        <v>25</v>
      </c>
    </row>
    <row r="1135" spans="1:11" x14ac:dyDescent="0.2">
      <c r="A1135" t="s">
        <v>4264</v>
      </c>
      <c r="B1135" t="s">
        <v>4265</v>
      </c>
      <c r="F1135" s="2">
        <v>525532717</v>
      </c>
      <c r="G1135" s="2">
        <v>134157239</v>
      </c>
      <c r="H1135" t="s">
        <v>28</v>
      </c>
      <c r="I1135" t="s">
        <v>17</v>
      </c>
      <c r="J1135" t="s">
        <v>25</v>
      </c>
    </row>
    <row r="1136" spans="1:11" x14ac:dyDescent="0.2">
      <c r="A1136" t="s">
        <v>4266</v>
      </c>
      <c r="F1136" s="2">
        <v>524698734</v>
      </c>
      <c r="G1136" s="2">
        <v>134631318</v>
      </c>
      <c r="H1136" t="s">
        <v>28</v>
      </c>
      <c r="I1136" t="s">
        <v>17</v>
      </c>
      <c r="J1136" t="s">
        <v>25</v>
      </c>
    </row>
    <row r="1137" spans="1:11" x14ac:dyDescent="0.2">
      <c r="A1137" t="s">
        <v>4267</v>
      </c>
      <c r="B1137" t="s">
        <v>4268</v>
      </c>
      <c r="F1137" s="2">
        <v>524943559</v>
      </c>
      <c r="G1137" s="2">
        <v>134168793</v>
      </c>
      <c r="H1137" t="s">
        <v>28</v>
      </c>
      <c r="I1137" t="s">
        <v>17</v>
      </c>
      <c r="J1137" t="s">
        <v>25</v>
      </c>
    </row>
    <row r="1138" spans="1:11" x14ac:dyDescent="0.2">
      <c r="A1138" t="s">
        <v>4269</v>
      </c>
      <c r="B1138" t="s">
        <v>4270</v>
      </c>
      <c r="F1138" s="2">
        <v>524717255</v>
      </c>
      <c r="G1138" s="2">
        <v>133202835</v>
      </c>
      <c r="H1138" t="s">
        <v>28</v>
      </c>
      <c r="I1138" t="s">
        <v>17</v>
      </c>
      <c r="J1138" t="s">
        <v>25</v>
      </c>
    </row>
    <row r="1139" spans="1:11" x14ac:dyDescent="0.2">
      <c r="A1139" t="s">
        <v>4271</v>
      </c>
      <c r="B1139" t="s">
        <v>4272</v>
      </c>
      <c r="F1139" s="2">
        <v>525030013</v>
      </c>
      <c r="G1139" s="2">
        <v>134790344</v>
      </c>
      <c r="H1139" t="s">
        <v>28</v>
      </c>
      <c r="I1139" t="s">
        <v>17</v>
      </c>
      <c r="J1139" t="s">
        <v>25</v>
      </c>
    </row>
    <row r="1140" spans="1:11" x14ac:dyDescent="0.2">
      <c r="A1140" t="s">
        <v>4273</v>
      </c>
      <c r="B1140" t="s">
        <v>4274</v>
      </c>
      <c r="C1140" t="s">
        <v>4275</v>
      </c>
      <c r="E1140" t="s">
        <v>4276</v>
      </c>
      <c r="F1140" s="2">
        <v>524732251</v>
      </c>
      <c r="G1140" s="2">
        <v>133213552</v>
      </c>
      <c r="H1140" t="s">
        <v>38</v>
      </c>
      <c r="I1140" t="s">
        <v>17</v>
      </c>
      <c r="J1140" t="s">
        <v>25</v>
      </c>
    </row>
    <row r="1141" spans="1:11" x14ac:dyDescent="0.2">
      <c r="A1141" t="s">
        <v>4277</v>
      </c>
      <c r="B1141" t="s">
        <v>4278</v>
      </c>
      <c r="C1141" t="s">
        <v>4279</v>
      </c>
      <c r="E1141" t="s">
        <v>4280</v>
      </c>
      <c r="F1141" s="2">
        <v>525052413</v>
      </c>
      <c r="G1141" s="2">
        <v>133276503</v>
      </c>
      <c r="H1141" t="s">
        <v>38</v>
      </c>
      <c r="I1141" t="s">
        <v>17</v>
      </c>
      <c r="J1141" t="s">
        <v>25</v>
      </c>
    </row>
    <row r="1142" spans="1:11" x14ac:dyDescent="0.2">
      <c r="A1142" t="s">
        <v>4281</v>
      </c>
      <c r="B1142" t="s">
        <v>4282</v>
      </c>
      <c r="D1142" t="s">
        <v>4283</v>
      </c>
      <c r="E1142" t="s">
        <v>4284</v>
      </c>
      <c r="F1142" s="2">
        <v>52500366</v>
      </c>
      <c r="G1142" s="2">
        <v>13388343</v>
      </c>
      <c r="H1142" t="s">
        <v>1107</v>
      </c>
      <c r="I1142" t="s">
        <v>17</v>
      </c>
      <c r="J1142" t="s">
        <v>25</v>
      </c>
    </row>
    <row r="1143" spans="1:11" x14ac:dyDescent="0.2">
      <c r="A1143" t="s">
        <v>4285</v>
      </c>
      <c r="B1143" t="s">
        <v>4286</v>
      </c>
      <c r="C1143" t="s">
        <v>4287</v>
      </c>
      <c r="D1143" t="s">
        <v>4288</v>
      </c>
      <c r="E1143" t="s">
        <v>4289</v>
      </c>
      <c r="F1143" s="2">
        <v>525289212</v>
      </c>
      <c r="G1143" s="2">
        <v>133960201</v>
      </c>
      <c r="H1143" t="s">
        <v>51</v>
      </c>
      <c r="I1143" t="s">
        <v>17</v>
      </c>
      <c r="J1143" t="s">
        <v>25</v>
      </c>
      <c r="K1143" t="s">
        <v>4290</v>
      </c>
    </row>
    <row r="1144" spans="1:11" x14ac:dyDescent="0.2">
      <c r="A1144" t="s">
        <v>4291</v>
      </c>
      <c r="B1144" t="s">
        <v>4292</v>
      </c>
      <c r="C1144" t="s">
        <v>4293</v>
      </c>
      <c r="E1144" t="s">
        <v>4294</v>
      </c>
      <c r="F1144" s="2">
        <v>524258666</v>
      </c>
      <c r="G1144" s="2">
        <v>134433724</v>
      </c>
      <c r="H1144" t="s">
        <v>38</v>
      </c>
      <c r="I1144" t="s">
        <v>17</v>
      </c>
      <c r="J1144" t="s">
        <v>25</v>
      </c>
    </row>
    <row r="1145" spans="1:11" x14ac:dyDescent="0.2">
      <c r="A1145" t="s">
        <v>4295</v>
      </c>
      <c r="B1145" t="s">
        <v>4296</v>
      </c>
      <c r="C1145" t="s">
        <v>4297</v>
      </c>
      <c r="E1145" t="s">
        <v>4298</v>
      </c>
      <c r="F1145" s="2">
        <v>525273747</v>
      </c>
      <c r="G1145" s="2">
        <v>134023822</v>
      </c>
      <c r="H1145" t="s">
        <v>38</v>
      </c>
      <c r="I1145" t="s">
        <v>17</v>
      </c>
      <c r="J1145" t="s">
        <v>25</v>
      </c>
    </row>
    <row r="1146" spans="1:11" x14ac:dyDescent="0.2">
      <c r="A1146" t="s">
        <v>4299</v>
      </c>
      <c r="B1146" t="s">
        <v>4300</v>
      </c>
      <c r="C1146" t="s">
        <v>4301</v>
      </c>
      <c r="D1146" t="s">
        <v>4302</v>
      </c>
      <c r="E1146" t="s">
        <v>4303</v>
      </c>
      <c r="F1146" s="2">
        <v>5247059</v>
      </c>
      <c r="G1146" s="2">
        <v>134683231</v>
      </c>
      <c r="H1146" t="s">
        <v>24</v>
      </c>
      <c r="I1146" t="s">
        <v>17</v>
      </c>
      <c r="J1146" t="s">
        <v>25</v>
      </c>
    </row>
    <row r="1147" spans="1:11" x14ac:dyDescent="0.2">
      <c r="A1147" t="s">
        <v>4304</v>
      </c>
      <c r="C1147" t="s">
        <v>4305</v>
      </c>
      <c r="F1147" s="2">
        <v>525053753</v>
      </c>
      <c r="G1147" s="2">
        <v>133017905</v>
      </c>
      <c r="H1147" t="s">
        <v>255</v>
      </c>
      <c r="I1147" t="s">
        <v>17</v>
      </c>
      <c r="J1147" t="s">
        <v>25</v>
      </c>
    </row>
    <row r="1148" spans="1:11" x14ac:dyDescent="0.2">
      <c r="A1148" t="s">
        <v>4306</v>
      </c>
      <c r="B1148" t="s">
        <v>4307</v>
      </c>
      <c r="C1148" t="s">
        <v>4308</v>
      </c>
      <c r="E1148" t="s">
        <v>4309</v>
      </c>
      <c r="F1148" s="2">
        <v>524781316</v>
      </c>
      <c r="G1148" s="2">
        <v>133130289</v>
      </c>
      <c r="H1148" t="s">
        <v>38</v>
      </c>
      <c r="I1148" t="s">
        <v>17</v>
      </c>
      <c r="J1148" t="s">
        <v>25</v>
      </c>
    </row>
    <row r="1149" spans="1:11" x14ac:dyDescent="0.2">
      <c r="A1149" t="s">
        <v>4310</v>
      </c>
      <c r="B1149" t="s">
        <v>4311</v>
      </c>
      <c r="F1149" s="2">
        <v>525501225</v>
      </c>
      <c r="G1149" s="2">
        <v>13415627</v>
      </c>
      <c r="H1149" t="s">
        <v>28</v>
      </c>
      <c r="I1149" t="s">
        <v>17</v>
      </c>
      <c r="J1149" t="s">
        <v>25</v>
      </c>
    </row>
    <row r="1150" spans="1:11" x14ac:dyDescent="0.2">
      <c r="A1150" t="s">
        <v>4312</v>
      </c>
      <c r="B1150" t="s">
        <v>4313</v>
      </c>
      <c r="C1150" t="s">
        <v>4314</v>
      </c>
      <c r="D1150" t="s">
        <v>1713</v>
      </c>
      <c r="E1150" t="s">
        <v>4315</v>
      </c>
      <c r="F1150" s="2">
        <v>525501851</v>
      </c>
      <c r="G1150" s="2">
        <v>134153076</v>
      </c>
      <c r="H1150" t="s">
        <v>24</v>
      </c>
      <c r="I1150" t="s">
        <v>17</v>
      </c>
      <c r="J1150" t="s">
        <v>25</v>
      </c>
    </row>
    <row r="1151" spans="1:11" x14ac:dyDescent="0.2">
      <c r="A1151" t="s">
        <v>4316</v>
      </c>
      <c r="B1151" t="s">
        <v>4317</v>
      </c>
      <c r="C1151" t="s">
        <v>4318</v>
      </c>
      <c r="D1151" t="s">
        <v>4319</v>
      </c>
      <c r="E1151" t="s">
        <v>4320</v>
      </c>
      <c r="F1151" s="2">
        <v>524828826</v>
      </c>
      <c r="G1151" s="2">
        <v>134315346</v>
      </c>
      <c r="H1151" t="s">
        <v>51</v>
      </c>
      <c r="I1151" t="s">
        <v>17</v>
      </c>
      <c r="J1151" t="s">
        <v>25</v>
      </c>
      <c r="K1151" t="s">
        <v>4321</v>
      </c>
    </row>
    <row r="1152" spans="1:11" x14ac:dyDescent="0.2">
      <c r="A1152" t="s">
        <v>4322</v>
      </c>
      <c r="B1152" t="s">
        <v>4323</v>
      </c>
      <c r="C1152" t="s">
        <v>4324</v>
      </c>
      <c r="D1152" t="s">
        <v>4325</v>
      </c>
      <c r="E1152" t="s">
        <v>4326</v>
      </c>
      <c r="F1152" s="2">
        <v>524711146</v>
      </c>
      <c r="G1152" s="2">
        <v>132905903</v>
      </c>
      <c r="H1152" t="s">
        <v>51</v>
      </c>
      <c r="I1152" t="s">
        <v>17</v>
      </c>
      <c r="J1152" t="s">
        <v>25</v>
      </c>
      <c r="K1152" t="s">
        <v>4327</v>
      </c>
    </row>
    <row r="1153" spans="1:11" x14ac:dyDescent="0.2">
      <c r="A1153" t="s">
        <v>4328</v>
      </c>
      <c r="B1153" t="s">
        <v>4329</v>
      </c>
      <c r="C1153" t="s">
        <v>4330</v>
      </c>
      <c r="D1153" t="s">
        <v>4331</v>
      </c>
      <c r="E1153" t="s">
        <v>4332</v>
      </c>
      <c r="F1153" s="2">
        <v>523755175</v>
      </c>
      <c r="G1153" s="2">
        <v>136521426</v>
      </c>
      <c r="H1153" t="s">
        <v>24</v>
      </c>
      <c r="I1153" t="s">
        <v>17</v>
      </c>
      <c r="J1153" t="s">
        <v>25</v>
      </c>
    </row>
    <row r="1154" spans="1:11" x14ac:dyDescent="0.2">
      <c r="A1154" t="s">
        <v>4333</v>
      </c>
      <c r="B1154" t="s">
        <v>4334</v>
      </c>
      <c r="C1154" t="s">
        <v>4335</v>
      </c>
      <c r="D1154" t="s">
        <v>4336</v>
      </c>
      <c r="E1154" t="s">
        <v>4337</v>
      </c>
      <c r="F1154" s="2">
        <v>525226782</v>
      </c>
      <c r="G1154" s="2">
        <v>134021224</v>
      </c>
      <c r="H1154" t="s">
        <v>24</v>
      </c>
      <c r="I1154" t="s">
        <v>17</v>
      </c>
      <c r="J1154" t="s">
        <v>25</v>
      </c>
    </row>
    <row r="1155" spans="1:11" x14ac:dyDescent="0.2">
      <c r="A1155" t="s">
        <v>4338</v>
      </c>
      <c r="B1155" t="s">
        <v>2230</v>
      </c>
      <c r="C1155" t="s">
        <v>4339</v>
      </c>
      <c r="E1155" t="s">
        <v>4340</v>
      </c>
      <c r="F1155" s="2">
        <v>525241281</v>
      </c>
      <c r="G1155" s="2">
        <v>1333078</v>
      </c>
      <c r="H1155" t="s">
        <v>38</v>
      </c>
      <c r="I1155" t="s">
        <v>17</v>
      </c>
      <c r="J1155" t="s">
        <v>25</v>
      </c>
    </row>
    <row r="1156" spans="1:11" x14ac:dyDescent="0.2">
      <c r="A1156" t="s">
        <v>4341</v>
      </c>
      <c r="F1156" s="2">
        <v>525540449</v>
      </c>
      <c r="G1156" s="2">
        <v>133395746</v>
      </c>
      <c r="H1156" t="s">
        <v>28</v>
      </c>
      <c r="I1156" t="s">
        <v>17</v>
      </c>
      <c r="J1156" t="s">
        <v>25</v>
      </c>
    </row>
    <row r="1157" spans="1:11" x14ac:dyDescent="0.2">
      <c r="A1157" t="s">
        <v>4342</v>
      </c>
      <c r="B1157" t="s">
        <v>4343</v>
      </c>
      <c r="C1157" t="s">
        <v>4344</v>
      </c>
      <c r="E1157" t="s">
        <v>4345</v>
      </c>
      <c r="F1157" s="2">
        <v>525555371</v>
      </c>
      <c r="G1157" s="2">
        <v>133417987</v>
      </c>
      <c r="H1157" t="s">
        <v>38</v>
      </c>
      <c r="I1157" t="s">
        <v>17</v>
      </c>
      <c r="J1157" t="s">
        <v>25</v>
      </c>
    </row>
    <row r="1158" spans="1:11" x14ac:dyDescent="0.2">
      <c r="A1158" t="s">
        <v>4346</v>
      </c>
      <c r="B1158" t="s">
        <v>4347</v>
      </c>
      <c r="C1158" t="s">
        <v>4348</v>
      </c>
      <c r="D1158" t="s">
        <v>4349</v>
      </c>
      <c r="E1158" t="s">
        <v>4350</v>
      </c>
      <c r="F1158" s="2">
        <v>524899241</v>
      </c>
      <c r="G1158" s="2">
        <v>134333546</v>
      </c>
      <c r="H1158" t="s">
        <v>51</v>
      </c>
      <c r="I1158" t="s">
        <v>17</v>
      </c>
      <c r="J1158" t="s">
        <v>25</v>
      </c>
      <c r="K1158" t="s">
        <v>4351</v>
      </c>
    </row>
    <row r="1159" spans="1:11" x14ac:dyDescent="0.2">
      <c r="A1159" t="s">
        <v>4352</v>
      </c>
      <c r="B1159" t="s">
        <v>1628</v>
      </c>
      <c r="C1159" t="s">
        <v>4353</v>
      </c>
      <c r="E1159" t="s">
        <v>4354</v>
      </c>
      <c r="F1159" s="2">
        <v>5250485</v>
      </c>
      <c r="G1159" s="2">
        <v>134675966</v>
      </c>
      <c r="H1159" t="s">
        <v>38</v>
      </c>
      <c r="I1159" t="s">
        <v>17</v>
      </c>
      <c r="J1159" t="s">
        <v>25</v>
      </c>
    </row>
    <row r="1160" spans="1:11" x14ac:dyDescent="0.2">
      <c r="A1160" t="s">
        <v>4355</v>
      </c>
      <c r="B1160" t="s">
        <v>4356</v>
      </c>
      <c r="E1160" t="s">
        <v>4357</v>
      </c>
      <c r="F1160" s="2">
        <v>525259386</v>
      </c>
      <c r="G1160" s="2">
        <v>133434965</v>
      </c>
      <c r="H1160" t="s">
        <v>34</v>
      </c>
      <c r="I1160" t="s">
        <v>17</v>
      </c>
      <c r="J1160" t="s">
        <v>25</v>
      </c>
    </row>
    <row r="1161" spans="1:11" x14ac:dyDescent="0.2">
      <c r="A1161" t="s">
        <v>4358</v>
      </c>
      <c r="B1161" t="s">
        <v>4359</v>
      </c>
      <c r="E1161" t="s">
        <v>4360</v>
      </c>
      <c r="F1161" s="2">
        <v>525893322</v>
      </c>
      <c r="G1161" s="2">
        <v>133346494</v>
      </c>
      <c r="H1161" t="s">
        <v>34</v>
      </c>
      <c r="I1161" t="s">
        <v>17</v>
      </c>
      <c r="J1161" t="s">
        <v>25</v>
      </c>
    </row>
    <row r="1162" spans="1:11" x14ac:dyDescent="0.2">
      <c r="A1162" t="s">
        <v>4361</v>
      </c>
      <c r="B1162" t="s">
        <v>4362</v>
      </c>
      <c r="C1162" t="s">
        <v>4363</v>
      </c>
      <c r="D1162" t="s">
        <v>4364</v>
      </c>
      <c r="E1162" t="s">
        <v>4365</v>
      </c>
      <c r="F1162" s="2">
        <v>525184631</v>
      </c>
      <c r="G1162" s="2">
        <v>133864563</v>
      </c>
      <c r="H1162" t="s">
        <v>51</v>
      </c>
      <c r="I1162" t="s">
        <v>17</v>
      </c>
      <c r="J1162" t="s">
        <v>25</v>
      </c>
      <c r="K1162" t="s">
        <v>4366</v>
      </c>
    </row>
    <row r="1163" spans="1:11" x14ac:dyDescent="0.2">
      <c r="A1163" t="s">
        <v>4367</v>
      </c>
      <c r="F1163" s="2">
        <v>525299415</v>
      </c>
      <c r="G1163" s="2">
        <v>13318676</v>
      </c>
      <c r="H1163" t="s">
        <v>28</v>
      </c>
      <c r="I1163" t="s">
        <v>17</v>
      </c>
      <c r="J1163" t="s">
        <v>25</v>
      </c>
    </row>
    <row r="1164" spans="1:11" x14ac:dyDescent="0.2">
      <c r="A1164" t="s">
        <v>4368</v>
      </c>
      <c r="B1164" t="s">
        <v>4369</v>
      </c>
      <c r="C1164" t="s">
        <v>4370</v>
      </c>
      <c r="E1164" t="s">
        <v>4371</v>
      </c>
      <c r="F1164" s="2">
        <v>525063404</v>
      </c>
      <c r="G1164" s="2">
        <v>13309821</v>
      </c>
      <c r="H1164" t="s">
        <v>38</v>
      </c>
      <c r="I1164" t="s">
        <v>17</v>
      </c>
      <c r="J1164" t="s">
        <v>25</v>
      </c>
    </row>
    <row r="1165" spans="1:11" x14ac:dyDescent="0.2">
      <c r="A1165" t="s">
        <v>4372</v>
      </c>
      <c r="C1165" t="s">
        <v>4373</v>
      </c>
      <c r="F1165" s="2">
        <v>525065018</v>
      </c>
      <c r="G1165" s="2">
        <v>132909921</v>
      </c>
      <c r="H1165" t="s">
        <v>255</v>
      </c>
      <c r="I1165" t="s">
        <v>17</v>
      </c>
      <c r="J1165" t="s">
        <v>25</v>
      </c>
    </row>
    <row r="1166" spans="1:11" x14ac:dyDescent="0.2">
      <c r="A1166" t="s">
        <v>4374</v>
      </c>
      <c r="C1166" t="s">
        <v>4375</v>
      </c>
      <c r="F1166" s="2">
        <v>525255311</v>
      </c>
      <c r="G1166" s="2">
        <v>133063896</v>
      </c>
      <c r="H1166" t="s">
        <v>38</v>
      </c>
      <c r="I1166" t="s">
        <v>17</v>
      </c>
      <c r="J1166" t="s">
        <v>25</v>
      </c>
    </row>
    <row r="1167" spans="1:11" x14ac:dyDescent="0.2">
      <c r="A1167" t="s">
        <v>4376</v>
      </c>
      <c r="B1167" t="s">
        <v>4377</v>
      </c>
      <c r="F1167" s="2">
        <v>524791897</v>
      </c>
      <c r="G1167" s="2">
        <v>134990482</v>
      </c>
      <c r="H1167" t="s">
        <v>28</v>
      </c>
      <c r="I1167" t="s">
        <v>17</v>
      </c>
      <c r="J1167" t="s">
        <v>25</v>
      </c>
    </row>
    <row r="1168" spans="1:11" x14ac:dyDescent="0.2">
      <c r="A1168" t="s">
        <v>4378</v>
      </c>
      <c r="C1168" t="s">
        <v>4379</v>
      </c>
      <c r="F1168" s="2">
        <v>525057236</v>
      </c>
      <c r="G1168" s="2">
        <v>135883007</v>
      </c>
      <c r="H1168" t="s">
        <v>255</v>
      </c>
      <c r="I1168" t="s">
        <v>17</v>
      </c>
      <c r="J1168" t="s">
        <v>25</v>
      </c>
    </row>
    <row r="1169" spans="1:11" x14ac:dyDescent="0.2">
      <c r="A1169" t="s">
        <v>4380</v>
      </c>
      <c r="B1169" t="s">
        <v>4381</v>
      </c>
      <c r="C1169" t="s">
        <v>4382</v>
      </c>
      <c r="D1169" t="s">
        <v>4383</v>
      </c>
      <c r="E1169" t="s">
        <v>4384</v>
      </c>
      <c r="F1169" s="2">
        <v>525839059</v>
      </c>
      <c r="G1169" s="2">
        <v>13302783</v>
      </c>
      <c r="H1169" t="s">
        <v>51</v>
      </c>
      <c r="I1169" t="s">
        <v>17</v>
      </c>
      <c r="J1169" t="s">
        <v>25</v>
      </c>
      <c r="K1169" t="s">
        <v>4385</v>
      </c>
    </row>
    <row r="1170" spans="1:11" x14ac:dyDescent="0.2">
      <c r="A1170" t="s">
        <v>4386</v>
      </c>
      <c r="B1170" t="s">
        <v>4387</v>
      </c>
      <c r="C1170" t="s">
        <v>4388</v>
      </c>
      <c r="D1170" t="s">
        <v>4389</v>
      </c>
      <c r="E1170" t="s">
        <v>4390</v>
      </c>
      <c r="F1170" s="2">
        <v>52508544</v>
      </c>
      <c r="G1170" s="2">
        <v>133200177</v>
      </c>
      <c r="H1170" t="s">
        <v>24</v>
      </c>
      <c r="I1170" t="s">
        <v>17</v>
      </c>
      <c r="J1170" t="s">
        <v>25</v>
      </c>
    </row>
    <row r="1171" spans="1:11" x14ac:dyDescent="0.2">
      <c r="A1171" t="s">
        <v>4391</v>
      </c>
      <c r="F1171" s="2">
        <v>525387195</v>
      </c>
      <c r="G1171" s="2">
        <v>135794727</v>
      </c>
      <c r="H1171" t="s">
        <v>28</v>
      </c>
      <c r="I1171" t="s">
        <v>17</v>
      </c>
      <c r="J1171" t="s">
        <v>25</v>
      </c>
    </row>
    <row r="1172" spans="1:11" x14ac:dyDescent="0.2">
      <c r="A1172" t="s">
        <v>4392</v>
      </c>
      <c r="B1172" t="s">
        <v>4393</v>
      </c>
      <c r="C1172" t="s">
        <v>4394</v>
      </c>
      <c r="D1172" t="s">
        <v>4395</v>
      </c>
      <c r="E1172" t="s">
        <v>4396</v>
      </c>
      <c r="F1172" s="2">
        <v>524913548</v>
      </c>
      <c r="G1172" s="2">
        <v>134890225</v>
      </c>
      <c r="H1172" t="s">
        <v>51</v>
      </c>
      <c r="I1172" t="s">
        <v>17</v>
      </c>
      <c r="J1172" t="s">
        <v>25</v>
      </c>
      <c r="K1172" t="s">
        <v>4397</v>
      </c>
    </row>
    <row r="1173" spans="1:11" x14ac:dyDescent="0.2">
      <c r="A1173" t="s">
        <v>4398</v>
      </c>
      <c r="B1173" t="s">
        <v>4399</v>
      </c>
      <c r="C1173" t="s">
        <v>4400</v>
      </c>
      <c r="E1173" t="s">
        <v>4401</v>
      </c>
      <c r="F1173" s="2">
        <v>52532792</v>
      </c>
      <c r="G1173" s="2">
        <v>131978882</v>
      </c>
      <c r="H1173" t="s">
        <v>38</v>
      </c>
      <c r="I1173" t="s">
        <v>17</v>
      </c>
      <c r="J1173" t="s">
        <v>25</v>
      </c>
    </row>
    <row r="1174" spans="1:11" x14ac:dyDescent="0.2">
      <c r="A1174" t="s">
        <v>4402</v>
      </c>
      <c r="B1174" t="s">
        <v>4403</v>
      </c>
      <c r="C1174" t="s">
        <v>4404</v>
      </c>
      <c r="D1174" t="s">
        <v>4405</v>
      </c>
      <c r="E1174" t="s">
        <v>4406</v>
      </c>
      <c r="F1174" s="2">
        <v>525242966</v>
      </c>
      <c r="G1174" s="2">
        <v>1334644</v>
      </c>
      <c r="H1174" t="s">
        <v>24</v>
      </c>
      <c r="I1174" t="s">
        <v>17</v>
      </c>
      <c r="J1174" t="s">
        <v>25</v>
      </c>
    </row>
    <row r="1175" spans="1:11" x14ac:dyDescent="0.2">
      <c r="A1175" t="s">
        <v>4407</v>
      </c>
      <c r="B1175" t="s">
        <v>4408</v>
      </c>
      <c r="C1175" t="s">
        <v>4409</v>
      </c>
      <c r="D1175" t="s">
        <v>4410</v>
      </c>
      <c r="E1175" t="s">
        <v>4411</v>
      </c>
      <c r="F1175" s="2">
        <v>525116896</v>
      </c>
      <c r="G1175" s="2">
        <v>134137186</v>
      </c>
      <c r="H1175" t="s">
        <v>51</v>
      </c>
      <c r="I1175" t="s">
        <v>17</v>
      </c>
      <c r="J1175" t="s">
        <v>25</v>
      </c>
      <c r="K1175" t="s">
        <v>4412</v>
      </c>
    </row>
    <row r="1176" spans="1:11" x14ac:dyDescent="0.2">
      <c r="A1176" t="s">
        <v>4413</v>
      </c>
      <c r="B1176" t="s">
        <v>4414</v>
      </c>
      <c r="E1176" t="s">
        <v>4415</v>
      </c>
      <c r="F1176" s="2">
        <v>525314169</v>
      </c>
      <c r="G1176" s="2">
        <v>134269899</v>
      </c>
      <c r="H1176" t="s">
        <v>34</v>
      </c>
      <c r="I1176" t="s">
        <v>17</v>
      </c>
      <c r="J1176" t="s">
        <v>25</v>
      </c>
    </row>
    <row r="1177" spans="1:11" x14ac:dyDescent="0.2">
      <c r="A1177" t="s">
        <v>4416</v>
      </c>
      <c r="B1177" t="s">
        <v>4417</v>
      </c>
      <c r="C1177" t="s">
        <v>4418</v>
      </c>
      <c r="D1177" t="s">
        <v>4419</v>
      </c>
      <c r="E1177" t="s">
        <v>4420</v>
      </c>
      <c r="F1177" s="2">
        <v>524342545</v>
      </c>
      <c r="G1177" s="2">
        <v>132033754</v>
      </c>
      <c r="H1177" t="s">
        <v>51</v>
      </c>
      <c r="I1177" t="s">
        <v>17</v>
      </c>
      <c r="J1177" t="s">
        <v>25</v>
      </c>
      <c r="K1177" t="s">
        <v>4421</v>
      </c>
    </row>
    <row r="1178" spans="1:11" x14ac:dyDescent="0.2">
      <c r="A1178" t="s">
        <v>4422</v>
      </c>
      <c r="B1178" t="s">
        <v>4423</v>
      </c>
      <c r="C1178" t="s">
        <v>4424</v>
      </c>
      <c r="D1178" t="s">
        <v>4425</v>
      </c>
      <c r="E1178" t="s">
        <v>4426</v>
      </c>
      <c r="F1178" s="2">
        <v>524472901</v>
      </c>
      <c r="G1178" s="2">
        <v>135769997</v>
      </c>
      <c r="H1178" t="s">
        <v>16</v>
      </c>
      <c r="I1178" t="s">
        <v>17</v>
      </c>
      <c r="J1178" t="s">
        <v>25</v>
      </c>
    </row>
    <row r="1179" spans="1:11" x14ac:dyDescent="0.2">
      <c r="A1179" t="s">
        <v>4427</v>
      </c>
      <c r="B1179" t="s">
        <v>4428</v>
      </c>
      <c r="E1179" t="s">
        <v>4429</v>
      </c>
      <c r="F1179" s="2">
        <v>524643199</v>
      </c>
      <c r="G1179" s="2">
        <v>133295875</v>
      </c>
      <c r="H1179" t="s">
        <v>34</v>
      </c>
      <c r="I1179" t="s">
        <v>17</v>
      </c>
      <c r="J1179" t="s">
        <v>25</v>
      </c>
    </row>
    <row r="1180" spans="1:11" x14ac:dyDescent="0.2">
      <c r="A1180" t="s">
        <v>4430</v>
      </c>
      <c r="B1180" t="s">
        <v>4431</v>
      </c>
      <c r="C1180" t="s">
        <v>4432</v>
      </c>
      <c r="D1180" t="s">
        <v>4433</v>
      </c>
      <c r="F1180" s="2">
        <v>52546862</v>
      </c>
      <c r="G1180" s="2">
        <v>134183613</v>
      </c>
      <c r="H1180" t="s">
        <v>51</v>
      </c>
      <c r="I1180" t="s">
        <v>17</v>
      </c>
      <c r="J1180" t="s">
        <v>25</v>
      </c>
      <c r="K1180" t="s">
        <v>4434</v>
      </c>
    </row>
    <row r="1181" spans="1:11" x14ac:dyDescent="0.2">
      <c r="A1181" t="s">
        <v>4435</v>
      </c>
      <c r="B1181" t="s">
        <v>4436</v>
      </c>
      <c r="C1181" t="s">
        <v>4437</v>
      </c>
      <c r="E1181" t="s">
        <v>4438</v>
      </c>
      <c r="F1181" s="2">
        <v>524946966</v>
      </c>
      <c r="G1181" s="2">
        <v>134007103</v>
      </c>
      <c r="H1181" t="s">
        <v>38</v>
      </c>
      <c r="I1181" t="s">
        <v>17</v>
      </c>
      <c r="J1181" t="s">
        <v>25</v>
      </c>
    </row>
    <row r="1182" spans="1:11" x14ac:dyDescent="0.2">
      <c r="A1182" t="s">
        <v>4439</v>
      </c>
      <c r="B1182" t="s">
        <v>4440</v>
      </c>
      <c r="E1182">
        <v>49304288982</v>
      </c>
      <c r="F1182" s="2">
        <v>525294831</v>
      </c>
      <c r="G1182" s="2">
        <v>134309773</v>
      </c>
      <c r="H1182" t="s">
        <v>34</v>
      </c>
      <c r="I1182" t="s">
        <v>17</v>
      </c>
      <c r="J1182" t="s">
        <v>25</v>
      </c>
    </row>
    <row r="1183" spans="1:11" x14ac:dyDescent="0.2">
      <c r="A1183" t="s">
        <v>4441</v>
      </c>
      <c r="E1183" t="s">
        <v>4442</v>
      </c>
      <c r="F1183" s="2">
        <v>525009969</v>
      </c>
      <c r="G1183" s="2">
        <v>134199288</v>
      </c>
      <c r="H1183" t="s">
        <v>34</v>
      </c>
      <c r="I1183" t="s">
        <v>17</v>
      </c>
      <c r="J1183" t="s">
        <v>25</v>
      </c>
    </row>
    <row r="1184" spans="1:11" x14ac:dyDescent="0.2">
      <c r="A1184" t="s">
        <v>4443</v>
      </c>
      <c r="B1184" t="s">
        <v>4444</v>
      </c>
      <c r="C1184" t="s">
        <v>4445</v>
      </c>
      <c r="D1184" t="s">
        <v>4446</v>
      </c>
      <c r="F1184" s="2">
        <v>52541798</v>
      </c>
      <c r="G1184" s="2">
        <v>13541932</v>
      </c>
      <c r="H1184" t="s">
        <v>24</v>
      </c>
      <c r="I1184" t="s">
        <v>17</v>
      </c>
      <c r="J1184" t="s">
        <v>25</v>
      </c>
    </row>
    <row r="1185" spans="1:11" x14ac:dyDescent="0.2">
      <c r="A1185" t="s">
        <v>4447</v>
      </c>
      <c r="F1185" s="2">
        <v>525364681</v>
      </c>
      <c r="G1185" s="2">
        <v>132040195</v>
      </c>
      <c r="H1185" t="s">
        <v>28</v>
      </c>
      <c r="I1185" t="s">
        <v>17</v>
      </c>
      <c r="J1185" t="s">
        <v>25</v>
      </c>
    </row>
    <row r="1186" spans="1:11" x14ac:dyDescent="0.2">
      <c r="A1186" t="s">
        <v>4448</v>
      </c>
      <c r="B1186" t="s">
        <v>4449</v>
      </c>
      <c r="C1186" t="s">
        <v>4450</v>
      </c>
      <c r="D1186" t="s">
        <v>4451</v>
      </c>
      <c r="E1186" t="s">
        <v>4452</v>
      </c>
      <c r="F1186" s="2">
        <v>524904343</v>
      </c>
      <c r="G1186" s="2">
        <v>133920962</v>
      </c>
      <c r="H1186" t="s">
        <v>51</v>
      </c>
      <c r="I1186" t="s">
        <v>17</v>
      </c>
      <c r="J1186" t="s">
        <v>25</v>
      </c>
      <c r="K1186" t="s">
        <v>4453</v>
      </c>
    </row>
    <row r="1187" spans="1:11" x14ac:dyDescent="0.2">
      <c r="A1187" t="s">
        <v>4454</v>
      </c>
      <c r="B1187" t="s">
        <v>4455</v>
      </c>
      <c r="E1187">
        <v>493044010661</v>
      </c>
      <c r="F1187" s="2">
        <v>525325552</v>
      </c>
      <c r="G1187" s="2">
        <v>134172187</v>
      </c>
      <c r="H1187" t="s">
        <v>34</v>
      </c>
      <c r="I1187" t="s">
        <v>17</v>
      </c>
      <c r="J1187" t="s">
        <v>25</v>
      </c>
    </row>
    <row r="1188" spans="1:11" x14ac:dyDescent="0.2">
      <c r="A1188" t="s">
        <v>4456</v>
      </c>
      <c r="E1188" t="s">
        <v>4457</v>
      </c>
      <c r="F1188" s="2">
        <v>524448297</v>
      </c>
      <c r="G1188" s="2">
        <v>135738777</v>
      </c>
      <c r="H1188" t="s">
        <v>34</v>
      </c>
      <c r="I1188" t="s">
        <v>17</v>
      </c>
      <c r="J1188" t="s">
        <v>25</v>
      </c>
    </row>
    <row r="1189" spans="1:11" x14ac:dyDescent="0.2">
      <c r="A1189" t="s">
        <v>4458</v>
      </c>
      <c r="B1189" t="s">
        <v>4459</v>
      </c>
      <c r="C1189" t="s">
        <v>4460</v>
      </c>
      <c r="E1189" t="s">
        <v>4461</v>
      </c>
      <c r="F1189" s="2">
        <v>524779955</v>
      </c>
      <c r="G1189" s="2">
        <v>135414928</v>
      </c>
      <c r="H1189" t="s">
        <v>38</v>
      </c>
      <c r="I1189" t="s">
        <v>17</v>
      </c>
      <c r="J1189" t="s">
        <v>25</v>
      </c>
    </row>
    <row r="1190" spans="1:11" x14ac:dyDescent="0.2">
      <c r="A1190" t="s">
        <v>4462</v>
      </c>
      <c r="F1190" s="2">
        <v>524152442</v>
      </c>
      <c r="G1190" s="2">
        <v>134003128</v>
      </c>
      <c r="H1190" t="s">
        <v>28</v>
      </c>
      <c r="I1190" t="s">
        <v>17</v>
      </c>
      <c r="J1190" t="s">
        <v>25</v>
      </c>
    </row>
    <row r="1191" spans="1:11" x14ac:dyDescent="0.2">
      <c r="A1191" t="s">
        <v>4463</v>
      </c>
      <c r="B1191" t="s">
        <v>4464</v>
      </c>
      <c r="C1191" t="s">
        <v>4465</v>
      </c>
      <c r="D1191" t="s">
        <v>4466</v>
      </c>
      <c r="E1191" t="s">
        <v>4467</v>
      </c>
      <c r="F1191" s="2">
        <v>52500815</v>
      </c>
      <c r="G1191" s="2">
        <v>134299066</v>
      </c>
      <c r="H1191" t="s">
        <v>51</v>
      </c>
      <c r="I1191" t="s">
        <v>17</v>
      </c>
      <c r="J1191" t="s">
        <v>25</v>
      </c>
      <c r="K1191" t="s">
        <v>4468</v>
      </c>
    </row>
    <row r="1192" spans="1:11" x14ac:dyDescent="0.2">
      <c r="A1192" t="s">
        <v>4469</v>
      </c>
      <c r="B1192" t="s">
        <v>4470</v>
      </c>
      <c r="E1192" t="s">
        <v>4471</v>
      </c>
      <c r="F1192" s="2">
        <v>524695385</v>
      </c>
      <c r="G1192" s="2">
        <v>134900249</v>
      </c>
      <c r="H1192" t="s">
        <v>34</v>
      </c>
      <c r="I1192" t="s">
        <v>17</v>
      </c>
      <c r="J1192" t="s">
        <v>25</v>
      </c>
    </row>
    <row r="1193" spans="1:11" x14ac:dyDescent="0.2">
      <c r="A1193" t="s">
        <v>4472</v>
      </c>
      <c r="B1193" t="s">
        <v>4473</v>
      </c>
      <c r="C1193" t="s">
        <v>4474</v>
      </c>
      <c r="D1193" t="s">
        <v>4475</v>
      </c>
      <c r="E1193">
        <v>493028036023</v>
      </c>
      <c r="F1193" s="2">
        <v>524111088</v>
      </c>
      <c r="G1193" s="2">
        <v>133777211</v>
      </c>
      <c r="H1193" t="s">
        <v>24</v>
      </c>
      <c r="I1193" t="s">
        <v>17</v>
      </c>
      <c r="J1193" t="s">
        <v>25</v>
      </c>
    </row>
    <row r="1194" spans="1:11" x14ac:dyDescent="0.2">
      <c r="A1194" t="s">
        <v>4476</v>
      </c>
      <c r="B1194" t="s">
        <v>4477</v>
      </c>
      <c r="C1194" t="s">
        <v>4478</v>
      </c>
      <c r="E1194" t="s">
        <v>4479</v>
      </c>
      <c r="F1194" s="2">
        <v>525118762</v>
      </c>
      <c r="G1194" s="2">
        <v>134170779</v>
      </c>
      <c r="H1194" t="s">
        <v>38</v>
      </c>
      <c r="I1194" t="s">
        <v>17</v>
      </c>
      <c r="J1194" t="s">
        <v>25</v>
      </c>
    </row>
    <row r="1195" spans="1:11" x14ac:dyDescent="0.2">
      <c r="A1195" t="s">
        <v>4480</v>
      </c>
      <c r="B1195" t="s">
        <v>4481</v>
      </c>
      <c r="C1195" t="s">
        <v>4482</v>
      </c>
      <c r="E1195" t="s">
        <v>4483</v>
      </c>
      <c r="F1195" s="2">
        <v>525856287</v>
      </c>
      <c r="G1195" s="2">
        <v>132321382</v>
      </c>
      <c r="H1195" t="s">
        <v>38</v>
      </c>
      <c r="I1195" t="s">
        <v>17</v>
      </c>
      <c r="J1195" t="s">
        <v>25</v>
      </c>
    </row>
    <row r="1196" spans="1:11" x14ac:dyDescent="0.2">
      <c r="A1196" t="s">
        <v>4484</v>
      </c>
      <c r="B1196" t="s">
        <v>4485</v>
      </c>
      <c r="F1196" s="2">
        <v>524667711</v>
      </c>
      <c r="G1196" s="2">
        <v>133280162</v>
      </c>
      <c r="H1196" t="s">
        <v>28</v>
      </c>
      <c r="I1196" t="s">
        <v>17</v>
      </c>
      <c r="J1196" t="s">
        <v>25</v>
      </c>
    </row>
    <row r="1197" spans="1:11" x14ac:dyDescent="0.2">
      <c r="A1197" t="s">
        <v>4486</v>
      </c>
      <c r="B1197" t="s">
        <v>4487</v>
      </c>
      <c r="C1197" t="s">
        <v>4488</v>
      </c>
      <c r="D1197" t="s">
        <v>4489</v>
      </c>
      <c r="E1197" t="s">
        <v>4490</v>
      </c>
      <c r="F1197" s="2">
        <v>524680218</v>
      </c>
      <c r="G1197" s="2">
        <v>134278701</v>
      </c>
      <c r="H1197" t="s">
        <v>304</v>
      </c>
      <c r="I1197" t="s">
        <v>17</v>
      </c>
      <c r="J1197" t="s">
        <v>25</v>
      </c>
      <c r="K1197" t="s">
        <v>4491</v>
      </c>
    </row>
    <row r="1198" spans="1:11" x14ac:dyDescent="0.2">
      <c r="A1198" t="s">
        <v>4492</v>
      </c>
      <c r="B1198" t="s">
        <v>4493</v>
      </c>
      <c r="F1198" s="2">
        <v>52501951</v>
      </c>
      <c r="G1198" s="2">
        <v>134323606</v>
      </c>
      <c r="H1198" t="s">
        <v>28</v>
      </c>
      <c r="I1198" t="s">
        <v>17</v>
      </c>
      <c r="J1198" t="s">
        <v>25</v>
      </c>
    </row>
    <row r="1199" spans="1:11" x14ac:dyDescent="0.2">
      <c r="A1199" t="s">
        <v>4494</v>
      </c>
      <c r="B1199" t="s">
        <v>4495</v>
      </c>
      <c r="E1199">
        <v>493020058848</v>
      </c>
      <c r="F1199" s="2">
        <v>525018079</v>
      </c>
      <c r="G1199" s="2">
        <v>134321975</v>
      </c>
      <c r="H1199" t="s">
        <v>34</v>
      </c>
      <c r="I1199" t="s">
        <v>17</v>
      </c>
      <c r="J1199" t="s">
        <v>25</v>
      </c>
    </row>
    <row r="1200" spans="1:11" x14ac:dyDescent="0.2">
      <c r="A1200" t="s">
        <v>4496</v>
      </c>
      <c r="B1200" t="s">
        <v>4497</v>
      </c>
      <c r="F1200" s="2">
        <v>525021417</v>
      </c>
      <c r="G1200" s="2">
        <v>134325367</v>
      </c>
      <c r="H1200" t="s">
        <v>28</v>
      </c>
      <c r="I1200" t="s">
        <v>17</v>
      </c>
      <c r="J1200" t="s">
        <v>25</v>
      </c>
    </row>
    <row r="1201" spans="1:11" x14ac:dyDescent="0.2">
      <c r="A1201" t="s">
        <v>4498</v>
      </c>
      <c r="F1201" s="2">
        <v>52451845</v>
      </c>
      <c r="G1201" s="2">
        <v>133786129</v>
      </c>
      <c r="H1201" t="s">
        <v>28</v>
      </c>
      <c r="I1201" t="s">
        <v>17</v>
      </c>
      <c r="J1201" t="s">
        <v>25</v>
      </c>
    </row>
    <row r="1202" spans="1:11" x14ac:dyDescent="0.2">
      <c r="A1202" t="s">
        <v>4499</v>
      </c>
      <c r="C1202" t="s">
        <v>4500</v>
      </c>
      <c r="E1202" t="s">
        <v>4501</v>
      </c>
      <c r="F1202" s="2">
        <v>524662347</v>
      </c>
      <c r="G1202" s="2">
        <v>133839426</v>
      </c>
      <c r="H1202" t="s">
        <v>38</v>
      </c>
      <c r="I1202" t="s">
        <v>17</v>
      </c>
      <c r="J1202" t="s">
        <v>25</v>
      </c>
    </row>
    <row r="1203" spans="1:11" x14ac:dyDescent="0.2">
      <c r="A1203" t="s">
        <v>4502</v>
      </c>
      <c r="C1203" t="s">
        <v>4503</v>
      </c>
      <c r="D1203" t="s">
        <v>4504</v>
      </c>
      <c r="E1203" t="s">
        <v>4505</v>
      </c>
      <c r="F1203" s="2">
        <v>52518677</v>
      </c>
      <c r="G1203" s="2">
        <v>13385604</v>
      </c>
      <c r="H1203" t="s">
        <v>24</v>
      </c>
      <c r="I1203" t="s">
        <v>17</v>
      </c>
      <c r="J1203" t="s">
        <v>25</v>
      </c>
    </row>
    <row r="1204" spans="1:11" x14ac:dyDescent="0.2">
      <c r="A1204" t="s">
        <v>4506</v>
      </c>
      <c r="B1204" t="s">
        <v>4507</v>
      </c>
      <c r="C1204" t="s">
        <v>4503</v>
      </c>
      <c r="E1204" t="s">
        <v>4508</v>
      </c>
      <c r="F1204" s="2">
        <v>525188432</v>
      </c>
      <c r="G1204" s="2">
        <v>133855752</v>
      </c>
      <c r="H1204" t="s">
        <v>38</v>
      </c>
      <c r="I1204" t="s">
        <v>17</v>
      </c>
      <c r="J1204" t="s">
        <v>25</v>
      </c>
    </row>
    <row r="1205" spans="1:11" x14ac:dyDescent="0.2">
      <c r="A1205" t="s">
        <v>4509</v>
      </c>
      <c r="B1205" t="s">
        <v>4510</v>
      </c>
      <c r="C1205" t="s">
        <v>4511</v>
      </c>
      <c r="D1205" t="s">
        <v>4512</v>
      </c>
      <c r="F1205" s="2">
        <v>525196241</v>
      </c>
      <c r="G1205" s="2">
        <v>133855292</v>
      </c>
      <c r="H1205" t="s">
        <v>51</v>
      </c>
      <c r="I1205" t="s">
        <v>17</v>
      </c>
      <c r="J1205" t="s">
        <v>25</v>
      </c>
      <c r="K1205" t="s">
        <v>4513</v>
      </c>
    </row>
    <row r="1206" spans="1:11" x14ac:dyDescent="0.2">
      <c r="A1206" t="s">
        <v>4514</v>
      </c>
      <c r="B1206" t="s">
        <v>4515</v>
      </c>
      <c r="C1206" t="s">
        <v>4516</v>
      </c>
      <c r="F1206" s="2">
        <v>525500916</v>
      </c>
      <c r="G1206" s="2">
        <v>134223733</v>
      </c>
      <c r="H1206" t="s">
        <v>255</v>
      </c>
      <c r="I1206" t="s">
        <v>17</v>
      </c>
      <c r="J1206" t="s">
        <v>25</v>
      </c>
    </row>
    <row r="1207" spans="1:11" x14ac:dyDescent="0.2">
      <c r="A1207" t="s">
        <v>4517</v>
      </c>
      <c r="B1207" t="s">
        <v>4518</v>
      </c>
      <c r="C1207" t="s">
        <v>4519</v>
      </c>
      <c r="D1207" t="s">
        <v>4520</v>
      </c>
      <c r="E1207" t="s">
        <v>4521</v>
      </c>
      <c r="F1207" s="2">
        <v>524877988</v>
      </c>
      <c r="G1207" s="2">
        <v>133575416</v>
      </c>
      <c r="H1207" t="s">
        <v>51</v>
      </c>
      <c r="I1207" t="s">
        <v>17</v>
      </c>
      <c r="J1207" t="s">
        <v>25</v>
      </c>
      <c r="K1207" t="s">
        <v>4522</v>
      </c>
    </row>
    <row r="1208" spans="1:11" x14ac:dyDescent="0.2">
      <c r="A1208" t="s">
        <v>4523</v>
      </c>
      <c r="B1208" t="s">
        <v>4524</v>
      </c>
      <c r="C1208" t="s">
        <v>4525</v>
      </c>
      <c r="D1208" t="s">
        <v>4526</v>
      </c>
      <c r="E1208" t="s">
        <v>4527</v>
      </c>
      <c r="F1208" s="2">
        <v>525128548</v>
      </c>
      <c r="G1208" s="2">
        <v>134172156</v>
      </c>
      <c r="H1208" t="s">
        <v>24</v>
      </c>
      <c r="I1208" t="s">
        <v>17</v>
      </c>
      <c r="J1208" t="s">
        <v>25</v>
      </c>
    </row>
    <row r="1209" spans="1:11" x14ac:dyDescent="0.2">
      <c r="A1209" t="s">
        <v>4528</v>
      </c>
      <c r="B1209" t="s">
        <v>4529</v>
      </c>
      <c r="E1209" t="s">
        <v>4530</v>
      </c>
      <c r="F1209" s="2">
        <v>524246734</v>
      </c>
      <c r="G1209" s="2">
        <v>133948921</v>
      </c>
      <c r="H1209" t="s">
        <v>34</v>
      </c>
      <c r="I1209" t="s">
        <v>17</v>
      </c>
      <c r="J1209" t="s">
        <v>25</v>
      </c>
    </row>
    <row r="1210" spans="1:11" x14ac:dyDescent="0.2">
      <c r="A1210" t="s">
        <v>4531</v>
      </c>
      <c r="B1210" t="s">
        <v>4532</v>
      </c>
      <c r="C1210" t="s">
        <v>4533</v>
      </c>
      <c r="E1210" t="s">
        <v>4534</v>
      </c>
      <c r="F1210" s="2">
        <v>524532091</v>
      </c>
      <c r="G1210" s="2">
        <v>135241631</v>
      </c>
      <c r="H1210" t="s">
        <v>38</v>
      </c>
      <c r="I1210" t="s">
        <v>17</v>
      </c>
      <c r="J1210" t="s">
        <v>25</v>
      </c>
    </row>
    <row r="1211" spans="1:11" x14ac:dyDescent="0.2">
      <c r="A1211" t="s">
        <v>4535</v>
      </c>
      <c r="B1211" t="s">
        <v>4536</v>
      </c>
      <c r="E1211" t="s">
        <v>4537</v>
      </c>
      <c r="F1211" s="2">
        <v>524543046</v>
      </c>
      <c r="G1211" s="2">
        <v>135173987</v>
      </c>
      <c r="H1211" t="s">
        <v>34</v>
      </c>
      <c r="I1211" t="s">
        <v>17</v>
      </c>
      <c r="J1211" t="s">
        <v>25</v>
      </c>
    </row>
    <row r="1212" spans="1:11" x14ac:dyDescent="0.2">
      <c r="A1212" t="s">
        <v>4538</v>
      </c>
      <c r="F1212" s="2">
        <v>525419091</v>
      </c>
      <c r="G1212" s="2">
        <v>132367504</v>
      </c>
      <c r="H1212" t="s">
        <v>28</v>
      </c>
      <c r="I1212" t="s">
        <v>17</v>
      </c>
      <c r="J1212" t="s">
        <v>25</v>
      </c>
    </row>
    <row r="1213" spans="1:11" x14ac:dyDescent="0.2">
      <c r="A1213" t="s">
        <v>4539</v>
      </c>
      <c r="C1213" t="s">
        <v>4540</v>
      </c>
      <c r="E1213" t="s">
        <v>4541</v>
      </c>
      <c r="F1213" s="2">
        <v>525431802</v>
      </c>
      <c r="G1213" s="2">
        <v>132390526</v>
      </c>
      <c r="H1213" t="s">
        <v>38</v>
      </c>
      <c r="I1213" t="s">
        <v>17</v>
      </c>
      <c r="J1213" t="s">
        <v>25</v>
      </c>
    </row>
    <row r="1214" spans="1:11" x14ac:dyDescent="0.2">
      <c r="A1214" t="s">
        <v>4542</v>
      </c>
      <c r="B1214" t="s">
        <v>4543</v>
      </c>
      <c r="F1214" s="2">
        <v>524287098</v>
      </c>
      <c r="G1214" s="2">
        <v>132594997</v>
      </c>
      <c r="H1214" t="s">
        <v>28</v>
      </c>
      <c r="I1214" t="s">
        <v>17</v>
      </c>
      <c r="J1214" t="s">
        <v>25</v>
      </c>
    </row>
    <row r="1215" spans="1:11" x14ac:dyDescent="0.2">
      <c r="A1215" t="s">
        <v>4544</v>
      </c>
      <c r="B1215" t="s">
        <v>4545</v>
      </c>
      <c r="C1215" t="s">
        <v>4546</v>
      </c>
      <c r="D1215" t="s">
        <v>4547</v>
      </c>
      <c r="E1215" t="s">
        <v>4548</v>
      </c>
      <c r="F1215" s="2">
        <v>524980481</v>
      </c>
      <c r="G1215" s="2">
        <v>13436371</v>
      </c>
      <c r="H1215" t="s">
        <v>51</v>
      </c>
      <c r="I1215" t="s">
        <v>17</v>
      </c>
      <c r="J1215" t="s">
        <v>25</v>
      </c>
      <c r="K1215" t="s">
        <v>4549</v>
      </c>
    </row>
    <row r="1216" spans="1:11" x14ac:dyDescent="0.2">
      <c r="A1216" t="s">
        <v>4550</v>
      </c>
      <c r="F1216" s="2">
        <v>52527268</v>
      </c>
      <c r="G1216" s="2">
        <v>133864422</v>
      </c>
      <c r="H1216" t="s">
        <v>28</v>
      </c>
      <c r="I1216" t="s">
        <v>17</v>
      </c>
      <c r="J1216" t="s">
        <v>25</v>
      </c>
    </row>
    <row r="1217" spans="1:11" x14ac:dyDescent="0.2">
      <c r="A1217" t="s">
        <v>4551</v>
      </c>
      <c r="B1217" t="s">
        <v>4552</v>
      </c>
      <c r="C1217" t="s">
        <v>4553</v>
      </c>
      <c r="D1217" t="s">
        <v>4554</v>
      </c>
      <c r="E1217" t="s">
        <v>4555</v>
      </c>
      <c r="F1217" s="2">
        <v>524591417</v>
      </c>
      <c r="G1217" s="2">
        <v>135801749</v>
      </c>
      <c r="H1217" t="s">
        <v>16</v>
      </c>
      <c r="I1217" t="s">
        <v>17</v>
      </c>
      <c r="J1217" t="s">
        <v>25</v>
      </c>
    </row>
    <row r="1218" spans="1:11" x14ac:dyDescent="0.2">
      <c r="A1218" t="s">
        <v>4556</v>
      </c>
      <c r="B1218" t="s">
        <v>4557</v>
      </c>
      <c r="F1218" s="2">
        <v>525151325</v>
      </c>
      <c r="G1218" s="2">
        <v>134733797</v>
      </c>
      <c r="H1218" t="s">
        <v>28</v>
      </c>
      <c r="I1218" t="s">
        <v>17</v>
      </c>
      <c r="J1218" t="s">
        <v>25</v>
      </c>
    </row>
    <row r="1219" spans="1:11" x14ac:dyDescent="0.2">
      <c r="A1219" t="s">
        <v>4558</v>
      </c>
      <c r="B1219" t="s">
        <v>4559</v>
      </c>
      <c r="C1219" t="s">
        <v>4560</v>
      </c>
      <c r="D1219" t="s">
        <v>4561</v>
      </c>
      <c r="E1219" t="s">
        <v>4562</v>
      </c>
      <c r="F1219" s="2">
        <v>525437517</v>
      </c>
      <c r="G1219" s="2">
        <v>134155006</v>
      </c>
      <c r="H1219" t="s">
        <v>304</v>
      </c>
      <c r="I1219" t="s">
        <v>17</v>
      </c>
      <c r="J1219" t="s">
        <v>25</v>
      </c>
      <c r="K1219" t="s">
        <v>4563</v>
      </c>
    </row>
    <row r="1220" spans="1:11" x14ac:dyDescent="0.2">
      <c r="A1220" t="s">
        <v>4564</v>
      </c>
      <c r="B1220" t="s">
        <v>4565</v>
      </c>
      <c r="C1220" t="s">
        <v>4566</v>
      </c>
      <c r="D1220" t="s">
        <v>4567</v>
      </c>
      <c r="E1220" t="s">
        <v>4568</v>
      </c>
      <c r="F1220" s="2">
        <v>524902429</v>
      </c>
      <c r="G1220" s="2">
        <v>133488565</v>
      </c>
      <c r="H1220" t="s">
        <v>24</v>
      </c>
      <c r="I1220" t="s">
        <v>17</v>
      </c>
      <c r="J1220" t="s">
        <v>25</v>
      </c>
    </row>
    <row r="1221" spans="1:11" x14ac:dyDescent="0.2">
      <c r="A1221" t="s">
        <v>4569</v>
      </c>
      <c r="B1221" t="s">
        <v>4570</v>
      </c>
      <c r="C1221" t="s">
        <v>4571</v>
      </c>
      <c r="D1221" t="s">
        <v>4572</v>
      </c>
      <c r="E1221">
        <v>493054815039</v>
      </c>
      <c r="F1221" s="2">
        <v>525315196</v>
      </c>
      <c r="G1221" s="2">
        <v>134170165</v>
      </c>
      <c r="H1221" t="s">
        <v>24</v>
      </c>
      <c r="I1221" t="s">
        <v>17</v>
      </c>
      <c r="J1221" t="s">
        <v>25</v>
      </c>
    </row>
    <row r="1222" spans="1:11" x14ac:dyDescent="0.2">
      <c r="A1222" t="s">
        <v>4573</v>
      </c>
      <c r="F1222" s="2">
        <v>525462813</v>
      </c>
      <c r="G1222" s="2">
        <v>132377124</v>
      </c>
      <c r="H1222" t="s">
        <v>28</v>
      </c>
      <c r="I1222" t="s">
        <v>17</v>
      </c>
      <c r="J1222" t="s">
        <v>25</v>
      </c>
    </row>
    <row r="1223" spans="1:11" x14ac:dyDescent="0.2">
      <c r="A1223" t="s">
        <v>4574</v>
      </c>
      <c r="B1223" t="s">
        <v>4575</v>
      </c>
      <c r="C1223" t="s">
        <v>4576</v>
      </c>
      <c r="D1223" t="s">
        <v>4577</v>
      </c>
      <c r="E1223" t="s">
        <v>4578</v>
      </c>
      <c r="F1223" s="2">
        <v>525376041</v>
      </c>
      <c r="G1223" s="2">
        <v>132032771</v>
      </c>
      <c r="H1223" t="s">
        <v>24</v>
      </c>
      <c r="I1223" t="s">
        <v>17</v>
      </c>
      <c r="J1223" t="s">
        <v>25</v>
      </c>
    </row>
    <row r="1224" spans="1:11" x14ac:dyDescent="0.2">
      <c r="A1224" t="s">
        <v>4579</v>
      </c>
      <c r="B1224" t="s">
        <v>4580</v>
      </c>
      <c r="C1224" t="s">
        <v>4581</v>
      </c>
      <c r="D1224" t="s">
        <v>4582</v>
      </c>
      <c r="E1224" t="s">
        <v>4583</v>
      </c>
      <c r="F1224" s="2">
        <v>524771684</v>
      </c>
      <c r="G1224" s="2">
        <v>132900752</v>
      </c>
      <c r="H1224" t="s">
        <v>51</v>
      </c>
      <c r="I1224" t="s">
        <v>17</v>
      </c>
      <c r="J1224" t="s">
        <v>25</v>
      </c>
      <c r="K1224" t="s">
        <v>4584</v>
      </c>
    </row>
    <row r="1225" spans="1:11" x14ac:dyDescent="0.2">
      <c r="A1225" t="s">
        <v>4585</v>
      </c>
      <c r="F1225" s="2">
        <v>525333509</v>
      </c>
      <c r="G1225" s="2">
        <v>13158197</v>
      </c>
      <c r="H1225" t="s">
        <v>28</v>
      </c>
      <c r="I1225" t="s">
        <v>17</v>
      </c>
      <c r="J1225" t="s">
        <v>25</v>
      </c>
    </row>
    <row r="1226" spans="1:11" x14ac:dyDescent="0.2">
      <c r="A1226" t="s">
        <v>4586</v>
      </c>
      <c r="B1226" t="s">
        <v>4587</v>
      </c>
      <c r="C1226" t="s">
        <v>4588</v>
      </c>
      <c r="E1226">
        <v>493048827940</v>
      </c>
      <c r="F1226" s="2">
        <v>525288204</v>
      </c>
      <c r="G1226" s="2">
        <v>134249758</v>
      </c>
      <c r="H1226" t="s">
        <v>38</v>
      </c>
      <c r="I1226" t="s">
        <v>17</v>
      </c>
      <c r="J1226" t="s">
        <v>25</v>
      </c>
    </row>
    <row r="1227" spans="1:11" x14ac:dyDescent="0.2">
      <c r="A1227" t="s">
        <v>4589</v>
      </c>
      <c r="B1227" t="s">
        <v>4590</v>
      </c>
      <c r="F1227" s="2">
        <v>525286613</v>
      </c>
      <c r="G1227" s="2">
        <v>134247792</v>
      </c>
      <c r="H1227" t="s">
        <v>28</v>
      </c>
      <c r="I1227" t="s">
        <v>17</v>
      </c>
      <c r="J1227" t="s">
        <v>25</v>
      </c>
    </row>
    <row r="1228" spans="1:11" x14ac:dyDescent="0.2">
      <c r="A1228" t="s">
        <v>4591</v>
      </c>
      <c r="B1228" t="s">
        <v>4592</v>
      </c>
      <c r="C1228" t="s">
        <v>4593</v>
      </c>
      <c r="D1228" t="s">
        <v>4594</v>
      </c>
      <c r="F1228" s="2">
        <v>525293275</v>
      </c>
      <c r="G1228" s="2">
        <v>134076581</v>
      </c>
      <c r="H1228" t="s">
        <v>51</v>
      </c>
      <c r="I1228" t="s">
        <v>17</v>
      </c>
      <c r="J1228" t="s">
        <v>25</v>
      </c>
      <c r="K1228" t="s">
        <v>4595</v>
      </c>
    </row>
    <row r="1229" spans="1:11" x14ac:dyDescent="0.2">
      <c r="A1229" t="s">
        <v>4596</v>
      </c>
      <c r="B1229" t="s">
        <v>4597</v>
      </c>
      <c r="C1229" t="s">
        <v>4598</v>
      </c>
      <c r="E1229" t="s">
        <v>4599</v>
      </c>
      <c r="F1229" s="2">
        <v>525289698</v>
      </c>
      <c r="G1229" s="2">
        <v>133949864</v>
      </c>
      <c r="H1229" t="s">
        <v>277</v>
      </c>
      <c r="I1229" t="s">
        <v>17</v>
      </c>
      <c r="J1229" t="s">
        <v>25</v>
      </c>
      <c r="K1229" t="s">
        <v>4600</v>
      </c>
    </row>
    <row r="1230" spans="1:11" x14ac:dyDescent="0.2">
      <c r="A1230" t="s">
        <v>4601</v>
      </c>
      <c r="F1230" s="2">
        <v>525282595</v>
      </c>
      <c r="G1230" s="2">
        <v>133935979</v>
      </c>
      <c r="H1230" t="s">
        <v>28</v>
      </c>
      <c r="I1230" t="s">
        <v>17</v>
      </c>
      <c r="J1230" t="s">
        <v>25</v>
      </c>
    </row>
    <row r="1231" spans="1:11" x14ac:dyDescent="0.2">
      <c r="A1231" t="s">
        <v>4602</v>
      </c>
      <c r="B1231" t="s">
        <v>4603</v>
      </c>
      <c r="C1231" t="s">
        <v>4604</v>
      </c>
      <c r="E1231">
        <v>4930410950</v>
      </c>
      <c r="F1231" s="2">
        <v>525286051</v>
      </c>
      <c r="G1231" s="2">
        <v>133947617</v>
      </c>
      <c r="H1231" t="s">
        <v>38</v>
      </c>
      <c r="I1231" t="s">
        <v>17</v>
      </c>
      <c r="J1231" t="s">
        <v>25</v>
      </c>
    </row>
    <row r="1232" spans="1:11" x14ac:dyDescent="0.2">
      <c r="A1232" t="s">
        <v>4605</v>
      </c>
      <c r="B1232" t="s">
        <v>4606</v>
      </c>
      <c r="F1232" s="2">
        <v>525349108</v>
      </c>
      <c r="G1232" s="2">
        <v>134085556</v>
      </c>
      <c r="H1232" t="s">
        <v>28</v>
      </c>
      <c r="I1232" t="s">
        <v>17</v>
      </c>
      <c r="J1232" t="s">
        <v>25</v>
      </c>
    </row>
    <row r="1233" spans="1:11" x14ac:dyDescent="0.2">
      <c r="A1233" t="s">
        <v>4607</v>
      </c>
      <c r="B1233" t="s">
        <v>4608</v>
      </c>
      <c r="F1233" s="2">
        <v>525212712</v>
      </c>
      <c r="G1233" s="2">
        <v>134497689</v>
      </c>
      <c r="H1233" t="s">
        <v>28</v>
      </c>
      <c r="I1233" t="s">
        <v>17</v>
      </c>
      <c r="J1233" t="s">
        <v>25</v>
      </c>
    </row>
    <row r="1234" spans="1:11" x14ac:dyDescent="0.2">
      <c r="A1234" t="s">
        <v>4609</v>
      </c>
      <c r="F1234" s="2">
        <v>52477131</v>
      </c>
      <c r="G1234" s="2">
        <v>134211842</v>
      </c>
      <c r="H1234" t="s">
        <v>28</v>
      </c>
      <c r="I1234" t="s">
        <v>17</v>
      </c>
      <c r="J1234" t="s">
        <v>25</v>
      </c>
    </row>
    <row r="1235" spans="1:11" x14ac:dyDescent="0.2">
      <c r="A1235" t="s">
        <v>4610</v>
      </c>
      <c r="B1235" t="s">
        <v>4611</v>
      </c>
      <c r="F1235" s="2">
        <v>524880808</v>
      </c>
      <c r="G1235" s="2">
        <v>133396562</v>
      </c>
      <c r="H1235" t="s">
        <v>28</v>
      </c>
      <c r="I1235" t="s">
        <v>17</v>
      </c>
      <c r="J1235" t="s">
        <v>25</v>
      </c>
    </row>
    <row r="1236" spans="1:11" x14ac:dyDescent="0.2">
      <c r="A1236" t="s">
        <v>4612</v>
      </c>
      <c r="B1236" t="s">
        <v>4613</v>
      </c>
      <c r="C1236" t="s">
        <v>4614</v>
      </c>
      <c r="E1236" t="s">
        <v>4615</v>
      </c>
      <c r="F1236" s="2">
        <v>524785697</v>
      </c>
      <c r="G1236" s="2">
        <v>133450114</v>
      </c>
      <c r="H1236" t="s">
        <v>277</v>
      </c>
      <c r="I1236" t="s">
        <v>17</v>
      </c>
      <c r="J1236" t="s">
        <v>25</v>
      </c>
      <c r="K1236" t="s">
        <v>4616</v>
      </c>
    </row>
    <row r="1237" spans="1:11" x14ac:dyDescent="0.2">
      <c r="A1237" t="s">
        <v>4617</v>
      </c>
      <c r="B1237" t="s">
        <v>4618</v>
      </c>
      <c r="C1237" t="s">
        <v>4619</v>
      </c>
      <c r="D1237" t="s">
        <v>4620</v>
      </c>
      <c r="E1237" t="s">
        <v>4621</v>
      </c>
      <c r="F1237" s="2">
        <v>524892832</v>
      </c>
      <c r="G1237" s="2">
        <v>133935929</v>
      </c>
      <c r="H1237" t="s">
        <v>304</v>
      </c>
      <c r="I1237" t="s">
        <v>17</v>
      </c>
      <c r="J1237" t="s">
        <v>25</v>
      </c>
      <c r="K1237" t="s">
        <v>4622</v>
      </c>
    </row>
    <row r="1238" spans="1:11" x14ac:dyDescent="0.2">
      <c r="A1238" t="s">
        <v>4623</v>
      </c>
      <c r="B1238" t="s">
        <v>4624</v>
      </c>
      <c r="C1238" t="s">
        <v>4625</v>
      </c>
      <c r="D1238" t="s">
        <v>4626</v>
      </c>
      <c r="F1238" s="2">
        <v>525346207</v>
      </c>
      <c r="G1238" s="2">
        <v>134244635</v>
      </c>
      <c r="H1238" t="s">
        <v>51</v>
      </c>
      <c r="I1238" t="s">
        <v>17</v>
      </c>
      <c r="J1238" t="s">
        <v>25</v>
      </c>
      <c r="K1238" t="s">
        <v>4627</v>
      </c>
    </row>
    <row r="1239" spans="1:11" x14ac:dyDescent="0.2">
      <c r="A1239" t="s">
        <v>4628</v>
      </c>
      <c r="B1239" t="s">
        <v>4629</v>
      </c>
      <c r="C1239" t="s">
        <v>4630</v>
      </c>
      <c r="E1239" t="s">
        <v>4631</v>
      </c>
      <c r="F1239" s="2">
        <v>525089982</v>
      </c>
      <c r="G1239" s="2">
        <v>132222587</v>
      </c>
      <c r="H1239" t="s">
        <v>38</v>
      </c>
      <c r="I1239" t="s">
        <v>17</v>
      </c>
      <c r="J1239" t="s">
        <v>25</v>
      </c>
    </row>
    <row r="1240" spans="1:11" x14ac:dyDescent="0.2">
      <c r="A1240" t="s">
        <v>4632</v>
      </c>
      <c r="B1240" t="s">
        <v>4633</v>
      </c>
      <c r="C1240" t="s">
        <v>4634</v>
      </c>
      <c r="E1240" t="s">
        <v>4635</v>
      </c>
      <c r="F1240" s="2">
        <v>524674412</v>
      </c>
      <c r="G1240" s="2">
        <v>133313339</v>
      </c>
      <c r="H1240" t="s">
        <v>277</v>
      </c>
      <c r="I1240" t="s">
        <v>17</v>
      </c>
      <c r="J1240" t="s">
        <v>25</v>
      </c>
      <c r="K1240" t="s">
        <v>4636</v>
      </c>
    </row>
    <row r="1241" spans="1:11" x14ac:dyDescent="0.2">
      <c r="A1241" t="s">
        <v>4637</v>
      </c>
      <c r="E1241" t="s">
        <v>4638</v>
      </c>
      <c r="F1241" s="2">
        <v>523961065</v>
      </c>
      <c r="G1241" s="2">
        <v>136359818</v>
      </c>
      <c r="H1241" t="s">
        <v>34</v>
      </c>
      <c r="I1241" t="s">
        <v>17</v>
      </c>
      <c r="J1241" t="s">
        <v>25</v>
      </c>
    </row>
    <row r="1242" spans="1:11" x14ac:dyDescent="0.2">
      <c r="A1242" t="s">
        <v>4639</v>
      </c>
      <c r="C1242" t="s">
        <v>4640</v>
      </c>
      <c r="D1242" t="s">
        <v>4641</v>
      </c>
      <c r="E1242" t="s">
        <v>4642</v>
      </c>
      <c r="F1242" s="2">
        <v>525691113</v>
      </c>
      <c r="G1242" s="2">
        <v>135690291</v>
      </c>
      <c r="H1242" t="s">
        <v>24</v>
      </c>
      <c r="I1242" t="s">
        <v>17</v>
      </c>
      <c r="J1242" t="s">
        <v>25</v>
      </c>
    </row>
    <row r="1243" spans="1:11" x14ac:dyDescent="0.2">
      <c r="A1243" t="s">
        <v>4643</v>
      </c>
      <c r="B1243" t="s">
        <v>4644</v>
      </c>
      <c r="C1243" t="s">
        <v>4645</v>
      </c>
      <c r="D1243" t="s">
        <v>4646</v>
      </c>
      <c r="E1243" t="s">
        <v>4647</v>
      </c>
      <c r="F1243" s="2">
        <v>524876209</v>
      </c>
      <c r="G1243" s="2">
        <v>133908878</v>
      </c>
      <c r="H1243" t="s">
        <v>24</v>
      </c>
      <c r="I1243" t="s">
        <v>17</v>
      </c>
      <c r="J1243" t="s">
        <v>25</v>
      </c>
    </row>
    <row r="1244" spans="1:11" x14ac:dyDescent="0.2">
      <c r="A1244" t="s">
        <v>4648</v>
      </c>
      <c r="B1244" t="s">
        <v>4649</v>
      </c>
      <c r="C1244" t="s">
        <v>4650</v>
      </c>
      <c r="E1244" t="s">
        <v>4651</v>
      </c>
      <c r="F1244" s="2">
        <v>525490212</v>
      </c>
      <c r="G1244" s="2">
        <v>13251022</v>
      </c>
      <c r="H1244" t="s">
        <v>38</v>
      </c>
      <c r="I1244" t="s">
        <v>17</v>
      </c>
      <c r="J1244" t="s">
        <v>25</v>
      </c>
    </row>
    <row r="1245" spans="1:11" x14ac:dyDescent="0.2">
      <c r="A1245" t="s">
        <v>4652</v>
      </c>
      <c r="B1245" t="s">
        <v>4653</v>
      </c>
      <c r="C1245" t="s">
        <v>4654</v>
      </c>
      <c r="F1245" s="2">
        <v>525224936</v>
      </c>
      <c r="G1245" s="2">
        <v>133341353</v>
      </c>
      <c r="H1245" t="s">
        <v>255</v>
      </c>
      <c r="I1245" t="s">
        <v>17</v>
      </c>
      <c r="J1245" t="s">
        <v>25</v>
      </c>
    </row>
    <row r="1246" spans="1:11" x14ac:dyDescent="0.2">
      <c r="A1246" t="s">
        <v>4655</v>
      </c>
      <c r="B1246" t="s">
        <v>4656</v>
      </c>
      <c r="C1246" t="s">
        <v>4657</v>
      </c>
      <c r="E1246" t="s">
        <v>4658</v>
      </c>
      <c r="F1246" s="2">
        <v>525201139</v>
      </c>
      <c r="G1246" s="2">
        <v>133954523</v>
      </c>
      <c r="H1246" t="s">
        <v>38</v>
      </c>
      <c r="I1246" t="s">
        <v>17</v>
      </c>
      <c r="J1246" t="s">
        <v>25</v>
      </c>
    </row>
    <row r="1247" spans="1:11" x14ac:dyDescent="0.2">
      <c r="A1247" t="s">
        <v>4659</v>
      </c>
      <c r="B1247" t="s">
        <v>4660</v>
      </c>
      <c r="C1247" t="s">
        <v>4661</v>
      </c>
      <c r="D1247" t="s">
        <v>4662</v>
      </c>
      <c r="E1247" t="s">
        <v>4663</v>
      </c>
      <c r="F1247" s="2">
        <v>524236792</v>
      </c>
      <c r="G1247" s="2">
        <v>133974539</v>
      </c>
      <c r="H1247" t="s">
        <v>24</v>
      </c>
      <c r="I1247" t="s">
        <v>17</v>
      </c>
      <c r="J1247" t="s">
        <v>25</v>
      </c>
    </row>
    <row r="1248" spans="1:11" x14ac:dyDescent="0.2">
      <c r="A1248" t="s">
        <v>4664</v>
      </c>
      <c r="F1248" s="2">
        <v>525375435</v>
      </c>
      <c r="G1248" s="2">
        <v>13264702</v>
      </c>
      <c r="H1248" t="s">
        <v>28</v>
      </c>
      <c r="I1248" t="s">
        <v>17</v>
      </c>
      <c r="J1248" t="s">
        <v>25</v>
      </c>
    </row>
    <row r="1249" spans="1:11" x14ac:dyDescent="0.2">
      <c r="A1249" t="s">
        <v>4665</v>
      </c>
      <c r="B1249" t="s">
        <v>4666</v>
      </c>
      <c r="C1249" t="s">
        <v>4667</v>
      </c>
      <c r="D1249" t="s">
        <v>4668</v>
      </c>
      <c r="E1249" t="s">
        <v>4669</v>
      </c>
      <c r="F1249" s="2">
        <v>525369855</v>
      </c>
      <c r="G1249" s="2">
        <v>132659207</v>
      </c>
      <c r="H1249" t="s">
        <v>51</v>
      </c>
      <c r="I1249" t="s">
        <v>17</v>
      </c>
      <c r="J1249" t="s">
        <v>25</v>
      </c>
      <c r="K1249" t="s">
        <v>4670</v>
      </c>
    </row>
    <row r="1250" spans="1:11" x14ac:dyDescent="0.2">
      <c r="A1250" t="s">
        <v>4671</v>
      </c>
      <c r="B1250" t="s">
        <v>4672</v>
      </c>
      <c r="E1250">
        <v>493040585772</v>
      </c>
      <c r="F1250" s="2">
        <v>525370845</v>
      </c>
      <c r="G1250" s="2">
        <v>132663513</v>
      </c>
      <c r="H1250" t="s">
        <v>34</v>
      </c>
      <c r="I1250" t="s">
        <v>17</v>
      </c>
      <c r="J1250" t="s">
        <v>25</v>
      </c>
    </row>
    <row r="1251" spans="1:11" x14ac:dyDescent="0.2">
      <c r="A1251" t="s">
        <v>4673</v>
      </c>
      <c r="B1251" t="s">
        <v>4674</v>
      </c>
      <c r="E1251" t="s">
        <v>4675</v>
      </c>
      <c r="F1251" s="2">
        <v>52536931</v>
      </c>
      <c r="G1251" s="2">
        <v>132667883</v>
      </c>
      <c r="H1251" t="s">
        <v>34</v>
      </c>
      <c r="I1251" t="s">
        <v>17</v>
      </c>
      <c r="J1251" t="s">
        <v>25</v>
      </c>
    </row>
    <row r="1252" spans="1:11" x14ac:dyDescent="0.2">
      <c r="A1252" t="s">
        <v>4676</v>
      </c>
      <c r="F1252" s="2">
        <v>524998109</v>
      </c>
      <c r="G1252" s="2">
        <v>134330209</v>
      </c>
      <c r="H1252" t="s">
        <v>28</v>
      </c>
      <c r="I1252" t="s">
        <v>17</v>
      </c>
      <c r="J1252" t="s">
        <v>25</v>
      </c>
    </row>
    <row r="1253" spans="1:11" x14ac:dyDescent="0.2">
      <c r="A1253" t="s">
        <v>4677</v>
      </c>
      <c r="B1253" t="s">
        <v>4678</v>
      </c>
      <c r="C1253" t="s">
        <v>4679</v>
      </c>
      <c r="D1253" t="s">
        <v>4680</v>
      </c>
      <c r="E1253" t="s">
        <v>4681</v>
      </c>
      <c r="F1253" s="2">
        <v>524429146</v>
      </c>
      <c r="G1253" s="2">
        <v>136768094</v>
      </c>
      <c r="H1253" t="s">
        <v>51</v>
      </c>
      <c r="I1253" t="s">
        <v>17</v>
      </c>
      <c r="J1253" t="s">
        <v>25</v>
      </c>
      <c r="K1253" t="s">
        <v>4682</v>
      </c>
    </row>
    <row r="1254" spans="1:11" x14ac:dyDescent="0.2">
      <c r="A1254" t="s">
        <v>4683</v>
      </c>
      <c r="F1254" s="2">
        <v>524439703</v>
      </c>
      <c r="G1254" s="2">
        <v>13576828</v>
      </c>
      <c r="H1254" t="s">
        <v>28</v>
      </c>
      <c r="I1254" t="s">
        <v>17</v>
      </c>
      <c r="J1254" t="s">
        <v>25</v>
      </c>
    </row>
    <row r="1255" spans="1:11" x14ac:dyDescent="0.2">
      <c r="A1255" t="s">
        <v>4684</v>
      </c>
      <c r="B1255" t="s">
        <v>4685</v>
      </c>
      <c r="F1255" s="2">
        <v>525364322</v>
      </c>
      <c r="G1255" s="2">
        <v>132652889</v>
      </c>
      <c r="H1255" t="s">
        <v>28</v>
      </c>
      <c r="I1255" t="s">
        <v>17</v>
      </c>
      <c r="J1255" t="s">
        <v>25</v>
      </c>
    </row>
    <row r="1256" spans="1:11" x14ac:dyDescent="0.2">
      <c r="A1256" t="s">
        <v>4686</v>
      </c>
      <c r="B1256" t="s">
        <v>4687</v>
      </c>
      <c r="C1256" t="s">
        <v>4688</v>
      </c>
      <c r="D1256" t="s">
        <v>4689</v>
      </c>
      <c r="E1256" t="s">
        <v>4690</v>
      </c>
      <c r="F1256" s="2">
        <v>525364029</v>
      </c>
      <c r="G1256" s="2">
        <v>132680526</v>
      </c>
      <c r="H1256" t="s">
        <v>24</v>
      </c>
      <c r="I1256" t="s">
        <v>17</v>
      </c>
      <c r="J1256" t="s">
        <v>25</v>
      </c>
    </row>
    <row r="1257" spans="1:11" x14ac:dyDescent="0.2">
      <c r="A1257" t="s">
        <v>4691</v>
      </c>
      <c r="B1257" t="s">
        <v>4692</v>
      </c>
      <c r="C1257" t="s">
        <v>4693</v>
      </c>
      <c r="D1257" t="s">
        <v>4694</v>
      </c>
      <c r="E1257" t="s">
        <v>4695</v>
      </c>
      <c r="F1257" s="2">
        <v>525371537</v>
      </c>
      <c r="G1257" s="2">
        <v>132685962</v>
      </c>
      <c r="H1257" t="s">
        <v>51</v>
      </c>
      <c r="I1257" t="s">
        <v>17</v>
      </c>
      <c r="J1257" t="s">
        <v>25</v>
      </c>
      <c r="K1257" t="s">
        <v>4696</v>
      </c>
    </row>
    <row r="1258" spans="1:11" x14ac:dyDescent="0.2">
      <c r="A1258" t="s">
        <v>4697</v>
      </c>
      <c r="B1258" t="s">
        <v>4698</v>
      </c>
      <c r="C1258" t="s">
        <v>4699</v>
      </c>
      <c r="E1258" t="s">
        <v>4700</v>
      </c>
      <c r="F1258" s="2">
        <v>525368476</v>
      </c>
      <c r="G1258" s="2">
        <v>132708719</v>
      </c>
      <c r="H1258" t="s">
        <v>38</v>
      </c>
      <c r="I1258" t="s">
        <v>17</v>
      </c>
      <c r="J1258" t="s">
        <v>25</v>
      </c>
    </row>
    <row r="1259" spans="1:11" x14ac:dyDescent="0.2">
      <c r="A1259" t="s">
        <v>4701</v>
      </c>
      <c r="F1259" s="2">
        <v>525358903</v>
      </c>
      <c r="G1259" s="2">
        <v>132730312</v>
      </c>
      <c r="H1259" t="s">
        <v>28</v>
      </c>
      <c r="I1259" t="s">
        <v>17</v>
      </c>
      <c r="J1259" t="s">
        <v>25</v>
      </c>
    </row>
    <row r="1260" spans="1:11" x14ac:dyDescent="0.2">
      <c r="A1260" t="s">
        <v>4702</v>
      </c>
      <c r="C1260" t="s">
        <v>4703</v>
      </c>
      <c r="D1260" t="s">
        <v>4704</v>
      </c>
      <c r="E1260" t="s">
        <v>4705</v>
      </c>
      <c r="F1260" s="2">
        <v>524235662</v>
      </c>
      <c r="G1260" s="2">
        <v>13287121</v>
      </c>
      <c r="H1260" t="s">
        <v>24</v>
      </c>
      <c r="I1260" t="s">
        <v>17</v>
      </c>
      <c r="J1260" t="s">
        <v>25</v>
      </c>
    </row>
    <row r="1261" spans="1:11" x14ac:dyDescent="0.2">
      <c r="A1261" t="s">
        <v>4706</v>
      </c>
      <c r="B1261" t="s">
        <v>4707</v>
      </c>
      <c r="C1261" t="s">
        <v>4708</v>
      </c>
      <c r="F1261" s="2">
        <v>525358181</v>
      </c>
      <c r="G1261" s="2">
        <v>132757125</v>
      </c>
      <c r="H1261" t="s">
        <v>38</v>
      </c>
      <c r="I1261" t="s">
        <v>17</v>
      </c>
      <c r="J1261" t="s">
        <v>25</v>
      </c>
    </row>
    <row r="1262" spans="1:11" x14ac:dyDescent="0.2">
      <c r="A1262" t="s">
        <v>4709</v>
      </c>
      <c r="B1262" t="s">
        <v>4710</v>
      </c>
      <c r="F1262" s="2">
        <v>525358932</v>
      </c>
      <c r="G1262" s="2">
        <v>132754591</v>
      </c>
      <c r="H1262" t="s">
        <v>28</v>
      </c>
      <c r="I1262" t="s">
        <v>17</v>
      </c>
      <c r="J1262" t="s">
        <v>25</v>
      </c>
    </row>
    <row r="1263" spans="1:11" x14ac:dyDescent="0.2">
      <c r="A1263" t="s">
        <v>4711</v>
      </c>
      <c r="F1263" s="2">
        <v>524267629</v>
      </c>
      <c r="G1263" s="2">
        <v>133738584</v>
      </c>
      <c r="H1263" t="s">
        <v>28</v>
      </c>
      <c r="I1263" t="s">
        <v>17</v>
      </c>
      <c r="J1263" t="s">
        <v>25</v>
      </c>
    </row>
    <row r="1264" spans="1:11" x14ac:dyDescent="0.2">
      <c r="A1264" t="s">
        <v>4712</v>
      </c>
      <c r="B1264" t="s">
        <v>4713</v>
      </c>
      <c r="C1264" t="s">
        <v>4714</v>
      </c>
      <c r="D1264" t="s">
        <v>4715</v>
      </c>
      <c r="E1264" t="s">
        <v>4716</v>
      </c>
      <c r="F1264" s="2">
        <v>525036412</v>
      </c>
      <c r="G1264" s="2">
        <v>133880831</v>
      </c>
      <c r="H1264" t="s">
        <v>51</v>
      </c>
      <c r="I1264" t="s">
        <v>17</v>
      </c>
      <c r="J1264" t="s">
        <v>25</v>
      </c>
      <c r="K1264" t="s">
        <v>4717</v>
      </c>
    </row>
    <row r="1265" spans="1:11" x14ac:dyDescent="0.2">
      <c r="A1265" t="s">
        <v>4718</v>
      </c>
      <c r="B1265" t="s">
        <v>4719</v>
      </c>
      <c r="F1265" s="2">
        <v>525202185</v>
      </c>
      <c r="G1265" s="2">
        <v>134027007</v>
      </c>
      <c r="H1265" t="s">
        <v>28</v>
      </c>
      <c r="I1265" t="s">
        <v>17</v>
      </c>
      <c r="J1265" t="s">
        <v>25</v>
      </c>
    </row>
    <row r="1266" spans="1:11" x14ac:dyDescent="0.2">
      <c r="A1266" t="s">
        <v>4720</v>
      </c>
      <c r="B1266" t="s">
        <v>4721</v>
      </c>
      <c r="C1266" t="s">
        <v>4722</v>
      </c>
      <c r="D1266" t="s">
        <v>4723</v>
      </c>
      <c r="E1266" t="s">
        <v>4724</v>
      </c>
      <c r="F1266" s="2">
        <v>525193436</v>
      </c>
      <c r="G1266" s="2">
        <v>134025003</v>
      </c>
      <c r="H1266" t="s">
        <v>51</v>
      </c>
      <c r="I1266" t="s">
        <v>17</v>
      </c>
      <c r="J1266" t="s">
        <v>25</v>
      </c>
      <c r="K1266" t="s">
        <v>4725</v>
      </c>
    </row>
    <row r="1267" spans="1:11" x14ac:dyDescent="0.2">
      <c r="A1267" t="s">
        <v>4726</v>
      </c>
      <c r="B1267" t="s">
        <v>4727</v>
      </c>
      <c r="F1267" s="2">
        <v>524885005</v>
      </c>
      <c r="G1267" s="2">
        <v>133378355</v>
      </c>
      <c r="H1267" t="s">
        <v>28</v>
      </c>
      <c r="I1267" t="s">
        <v>17</v>
      </c>
      <c r="J1267" t="s">
        <v>25</v>
      </c>
    </row>
    <row r="1268" spans="1:11" x14ac:dyDescent="0.2">
      <c r="A1268" t="s">
        <v>4728</v>
      </c>
      <c r="B1268" t="s">
        <v>4729</v>
      </c>
      <c r="F1268" s="2">
        <v>525166519</v>
      </c>
      <c r="G1268" s="2">
        <v>134785457</v>
      </c>
      <c r="H1268" t="s">
        <v>28</v>
      </c>
      <c r="I1268" t="s">
        <v>17</v>
      </c>
      <c r="J1268" t="s">
        <v>25</v>
      </c>
    </row>
    <row r="1269" spans="1:11" x14ac:dyDescent="0.2">
      <c r="A1269" t="s">
        <v>4730</v>
      </c>
      <c r="B1269" t="s">
        <v>4731</v>
      </c>
      <c r="C1269" t="s">
        <v>4732</v>
      </c>
      <c r="D1269" t="s">
        <v>4733</v>
      </c>
      <c r="E1269" t="s">
        <v>4734</v>
      </c>
      <c r="F1269" s="2">
        <v>524815114</v>
      </c>
      <c r="G1269" s="2">
        <v>134264748</v>
      </c>
      <c r="H1269" t="s">
        <v>51</v>
      </c>
      <c r="I1269" t="s">
        <v>17</v>
      </c>
      <c r="J1269" t="s">
        <v>25</v>
      </c>
      <c r="K1269" t="s">
        <v>4735</v>
      </c>
    </row>
    <row r="1270" spans="1:11" x14ac:dyDescent="0.2">
      <c r="A1270" t="s">
        <v>4736</v>
      </c>
      <c r="B1270" t="s">
        <v>4737</v>
      </c>
      <c r="F1270" s="2">
        <v>525222512</v>
      </c>
      <c r="G1270" s="2">
        <v>133845929</v>
      </c>
      <c r="H1270" t="s">
        <v>28</v>
      </c>
      <c r="I1270" t="s">
        <v>17</v>
      </c>
      <c r="J1270" t="s">
        <v>25</v>
      </c>
    </row>
    <row r="1271" spans="1:11" x14ac:dyDescent="0.2">
      <c r="A1271" t="s">
        <v>4738</v>
      </c>
      <c r="B1271" t="s">
        <v>4739</v>
      </c>
      <c r="C1271" t="s">
        <v>4740</v>
      </c>
      <c r="E1271" t="s">
        <v>4741</v>
      </c>
      <c r="F1271" s="2">
        <v>525062846</v>
      </c>
      <c r="G1271" s="2">
        <v>134330472</v>
      </c>
      <c r="H1271" t="s">
        <v>38</v>
      </c>
      <c r="I1271" t="s">
        <v>17</v>
      </c>
      <c r="J1271" t="s">
        <v>25</v>
      </c>
    </row>
    <row r="1272" spans="1:11" x14ac:dyDescent="0.2">
      <c r="A1272" t="s">
        <v>4742</v>
      </c>
      <c r="B1272" t="s">
        <v>4743</v>
      </c>
      <c r="C1272" t="s">
        <v>4744</v>
      </c>
      <c r="E1272" t="s">
        <v>4745</v>
      </c>
      <c r="F1272" s="2">
        <v>525505611</v>
      </c>
      <c r="G1272" s="2">
        <v>134618751</v>
      </c>
      <c r="H1272" t="s">
        <v>38</v>
      </c>
      <c r="I1272" t="s">
        <v>17</v>
      </c>
      <c r="J1272" t="s">
        <v>25</v>
      </c>
    </row>
    <row r="1273" spans="1:11" x14ac:dyDescent="0.2">
      <c r="A1273" t="s">
        <v>4746</v>
      </c>
      <c r="F1273" s="2">
        <v>525129204</v>
      </c>
      <c r="G1273" s="2">
        <v>134032613</v>
      </c>
      <c r="H1273" t="s">
        <v>28</v>
      </c>
      <c r="I1273" t="s">
        <v>17</v>
      </c>
      <c r="J1273" t="s">
        <v>25</v>
      </c>
    </row>
    <row r="1274" spans="1:11" x14ac:dyDescent="0.2">
      <c r="A1274" t="s">
        <v>4747</v>
      </c>
      <c r="B1274" t="s">
        <v>4748</v>
      </c>
      <c r="C1274" t="s">
        <v>4749</v>
      </c>
      <c r="E1274" t="s">
        <v>4750</v>
      </c>
      <c r="F1274" s="2">
        <v>525073321</v>
      </c>
      <c r="G1274" s="2">
        <v>133257759</v>
      </c>
      <c r="H1274" t="s">
        <v>38</v>
      </c>
      <c r="I1274" t="s">
        <v>17</v>
      </c>
      <c r="J1274" t="s">
        <v>25</v>
      </c>
    </row>
    <row r="1275" spans="1:11" x14ac:dyDescent="0.2">
      <c r="A1275" t="s">
        <v>4751</v>
      </c>
      <c r="B1275" t="s">
        <v>4752</v>
      </c>
      <c r="C1275" t="s">
        <v>4753</v>
      </c>
      <c r="E1275" t="s">
        <v>4754</v>
      </c>
      <c r="F1275" s="2">
        <v>525054025</v>
      </c>
      <c r="G1275" s="2">
        <v>133974265</v>
      </c>
      <c r="H1275" t="s">
        <v>38</v>
      </c>
      <c r="I1275" t="s">
        <v>17</v>
      </c>
      <c r="J1275" t="s">
        <v>25</v>
      </c>
    </row>
    <row r="1276" spans="1:11" x14ac:dyDescent="0.2">
      <c r="A1276" t="s">
        <v>4755</v>
      </c>
      <c r="F1276" s="2">
        <v>48091111</v>
      </c>
      <c r="G1276" s="2">
        <v>-756820285</v>
      </c>
      <c r="H1276" t="s">
        <v>28</v>
      </c>
      <c r="I1276" t="s">
        <v>17</v>
      </c>
      <c r="J1276" t="s">
        <v>25</v>
      </c>
    </row>
    <row r="1277" spans="1:11" x14ac:dyDescent="0.2">
      <c r="A1277" t="s">
        <v>4756</v>
      </c>
      <c r="F1277" s="2">
        <v>524235698</v>
      </c>
      <c r="G1277" s="2">
        <v>133181763</v>
      </c>
      <c r="H1277" t="s">
        <v>28</v>
      </c>
      <c r="I1277" t="s">
        <v>17</v>
      </c>
      <c r="J1277" t="s">
        <v>25</v>
      </c>
    </row>
    <row r="1278" spans="1:11" x14ac:dyDescent="0.2">
      <c r="A1278" t="s">
        <v>4757</v>
      </c>
      <c r="B1278" t="s">
        <v>3448</v>
      </c>
      <c r="C1278" t="s">
        <v>4758</v>
      </c>
      <c r="D1278" t="s">
        <v>4759</v>
      </c>
      <c r="F1278" s="2">
        <v>525305787</v>
      </c>
      <c r="G1278" s="2">
        <v>133836386</v>
      </c>
      <c r="H1278" t="s">
        <v>51</v>
      </c>
      <c r="I1278" t="s">
        <v>17</v>
      </c>
      <c r="J1278" t="s">
        <v>25</v>
      </c>
      <c r="K1278" t="s">
        <v>4760</v>
      </c>
    </row>
    <row r="1279" spans="1:11" x14ac:dyDescent="0.2">
      <c r="A1279" t="s">
        <v>4761</v>
      </c>
      <c r="B1279" t="s">
        <v>4762</v>
      </c>
      <c r="C1279" t="s">
        <v>4763</v>
      </c>
      <c r="E1279" t="s">
        <v>4764</v>
      </c>
      <c r="F1279" s="2">
        <v>524881937</v>
      </c>
      <c r="G1279" s="2">
        <v>13427087</v>
      </c>
      <c r="H1279" t="s">
        <v>38</v>
      </c>
      <c r="I1279" t="s">
        <v>17</v>
      </c>
      <c r="J1279" t="s">
        <v>25</v>
      </c>
    </row>
    <row r="1280" spans="1:11" x14ac:dyDescent="0.2">
      <c r="A1280" t="s">
        <v>4765</v>
      </c>
      <c r="B1280" t="s">
        <v>4766</v>
      </c>
      <c r="E1280" t="s">
        <v>4767</v>
      </c>
      <c r="F1280" s="2">
        <v>525249015</v>
      </c>
      <c r="G1280" s="2">
        <v>133924656</v>
      </c>
      <c r="H1280" t="s">
        <v>34</v>
      </c>
      <c r="I1280" t="s">
        <v>17</v>
      </c>
      <c r="J1280" t="s">
        <v>25</v>
      </c>
    </row>
    <row r="1281" spans="1:11" x14ac:dyDescent="0.2">
      <c r="A1281" t="s">
        <v>4768</v>
      </c>
      <c r="B1281" t="s">
        <v>4769</v>
      </c>
      <c r="E1281" t="s">
        <v>4770</v>
      </c>
      <c r="F1281" s="2">
        <v>52445821</v>
      </c>
      <c r="G1281" s="2">
        <v>135755448</v>
      </c>
      <c r="H1281" t="s">
        <v>34</v>
      </c>
      <c r="I1281" t="s">
        <v>17</v>
      </c>
      <c r="J1281" t="s">
        <v>25</v>
      </c>
    </row>
    <row r="1282" spans="1:11" x14ac:dyDescent="0.2">
      <c r="A1282" t="s">
        <v>4771</v>
      </c>
      <c r="B1282" t="s">
        <v>4772</v>
      </c>
      <c r="F1282" s="2">
        <v>523995409</v>
      </c>
      <c r="G1282" s="2">
        <v>134099865</v>
      </c>
      <c r="H1282" t="s">
        <v>28</v>
      </c>
      <c r="I1282" t="s">
        <v>17</v>
      </c>
      <c r="J1282" t="s">
        <v>25</v>
      </c>
    </row>
    <row r="1283" spans="1:11" x14ac:dyDescent="0.2">
      <c r="A1283" t="s">
        <v>4773</v>
      </c>
      <c r="B1283" t="s">
        <v>4774</v>
      </c>
      <c r="C1283" t="s">
        <v>4775</v>
      </c>
      <c r="D1283" t="s">
        <v>4776</v>
      </c>
      <c r="F1283" s="2">
        <v>525183372</v>
      </c>
      <c r="G1283" s="2">
        <v>134153449</v>
      </c>
      <c r="H1283" t="s">
        <v>51</v>
      </c>
      <c r="I1283" t="s">
        <v>17</v>
      </c>
      <c r="J1283" t="s">
        <v>25</v>
      </c>
      <c r="K1283" t="s">
        <v>4777</v>
      </c>
    </row>
    <row r="1284" spans="1:11" x14ac:dyDescent="0.2">
      <c r="A1284" t="s">
        <v>4778</v>
      </c>
      <c r="B1284" t="s">
        <v>4779</v>
      </c>
      <c r="F1284" s="2">
        <v>525181204</v>
      </c>
      <c r="G1284" s="2">
        <v>13415415</v>
      </c>
      <c r="H1284" t="s">
        <v>28</v>
      </c>
      <c r="I1284" t="s">
        <v>17</v>
      </c>
      <c r="J1284" t="s">
        <v>25</v>
      </c>
    </row>
    <row r="1285" spans="1:11" x14ac:dyDescent="0.2">
      <c r="A1285" t="s">
        <v>4780</v>
      </c>
      <c r="B1285" t="s">
        <v>4781</v>
      </c>
      <c r="C1285" t="s">
        <v>4782</v>
      </c>
      <c r="E1285" t="s">
        <v>4783</v>
      </c>
      <c r="F1285" s="2">
        <v>525026176</v>
      </c>
      <c r="G1285" s="2">
        <v>133851524</v>
      </c>
      <c r="H1285" t="s">
        <v>38</v>
      </c>
      <c r="I1285" t="s">
        <v>17</v>
      </c>
      <c r="J1285" t="s">
        <v>25</v>
      </c>
    </row>
    <row r="1286" spans="1:11" x14ac:dyDescent="0.2">
      <c r="A1286" t="s">
        <v>4784</v>
      </c>
      <c r="B1286" t="s">
        <v>4785</v>
      </c>
      <c r="C1286" t="s">
        <v>4786</v>
      </c>
      <c r="D1286" t="s">
        <v>4787</v>
      </c>
      <c r="F1286" s="2">
        <v>525057698</v>
      </c>
      <c r="G1286" s="2">
        <v>133263254</v>
      </c>
      <c r="H1286" t="s">
        <v>51</v>
      </c>
      <c r="I1286" t="s">
        <v>17</v>
      </c>
      <c r="J1286" t="s">
        <v>25</v>
      </c>
      <c r="K1286" t="s">
        <v>4788</v>
      </c>
    </row>
    <row r="1287" spans="1:11" x14ac:dyDescent="0.2">
      <c r="A1287" t="s">
        <v>4789</v>
      </c>
      <c r="B1287" t="s">
        <v>4790</v>
      </c>
      <c r="C1287" t="s">
        <v>4791</v>
      </c>
      <c r="E1287" t="s">
        <v>4792</v>
      </c>
      <c r="F1287" s="2">
        <v>524665036</v>
      </c>
      <c r="G1287" s="2">
        <v>133279832</v>
      </c>
      <c r="H1287" t="s">
        <v>38</v>
      </c>
      <c r="I1287" t="s">
        <v>17</v>
      </c>
      <c r="J1287" t="s">
        <v>25</v>
      </c>
    </row>
    <row r="1288" spans="1:11" x14ac:dyDescent="0.2">
      <c r="A1288" t="s">
        <v>4793</v>
      </c>
      <c r="B1288" t="s">
        <v>4794</v>
      </c>
      <c r="C1288" t="s">
        <v>4795</v>
      </c>
      <c r="D1288" t="s">
        <v>4796</v>
      </c>
      <c r="E1288" t="s">
        <v>4797</v>
      </c>
      <c r="F1288" s="2">
        <v>525428994</v>
      </c>
      <c r="G1288" s="2">
        <v>133561684</v>
      </c>
      <c r="H1288" t="s">
        <v>51</v>
      </c>
      <c r="I1288" t="s">
        <v>17</v>
      </c>
      <c r="J1288" t="s">
        <v>25</v>
      </c>
      <c r="K1288" t="s">
        <v>4798</v>
      </c>
    </row>
    <row r="1289" spans="1:11" x14ac:dyDescent="0.2">
      <c r="A1289" t="s">
        <v>4799</v>
      </c>
      <c r="B1289" t="s">
        <v>4800</v>
      </c>
      <c r="C1289" t="s">
        <v>4801</v>
      </c>
      <c r="D1289" t="s">
        <v>4802</v>
      </c>
      <c r="E1289" t="s">
        <v>4803</v>
      </c>
      <c r="F1289" s="2">
        <v>524927192</v>
      </c>
      <c r="G1289" s="2">
        <v>134451768</v>
      </c>
      <c r="H1289" t="s">
        <v>24</v>
      </c>
      <c r="I1289" t="s">
        <v>17</v>
      </c>
      <c r="J1289" t="s">
        <v>25</v>
      </c>
    </row>
    <row r="1290" spans="1:11" x14ac:dyDescent="0.2">
      <c r="A1290" t="s">
        <v>4804</v>
      </c>
      <c r="B1290" t="s">
        <v>4805</v>
      </c>
      <c r="C1290" t="s">
        <v>4806</v>
      </c>
      <c r="D1290" t="s">
        <v>4807</v>
      </c>
      <c r="E1290" t="s">
        <v>4808</v>
      </c>
      <c r="F1290" s="2">
        <v>524614966</v>
      </c>
      <c r="G1290" s="2">
        <v>134346352</v>
      </c>
      <c r="H1290" t="s">
        <v>24</v>
      </c>
      <c r="I1290" t="s">
        <v>17</v>
      </c>
      <c r="J1290" t="s">
        <v>25</v>
      </c>
    </row>
    <row r="1291" spans="1:11" x14ac:dyDescent="0.2">
      <c r="A1291" t="s">
        <v>4809</v>
      </c>
      <c r="B1291" t="s">
        <v>4810</v>
      </c>
      <c r="C1291" t="s">
        <v>4811</v>
      </c>
      <c r="D1291" t="s">
        <v>4812</v>
      </c>
      <c r="E1291" t="s">
        <v>4813</v>
      </c>
      <c r="F1291" s="2">
        <v>52492305</v>
      </c>
      <c r="G1291" s="2">
        <v>134255844</v>
      </c>
      <c r="H1291" t="s">
        <v>24</v>
      </c>
      <c r="I1291" t="s">
        <v>17</v>
      </c>
      <c r="J1291" t="s">
        <v>25</v>
      </c>
    </row>
    <row r="1292" spans="1:11" x14ac:dyDescent="0.2">
      <c r="A1292" t="s">
        <v>4814</v>
      </c>
      <c r="B1292" t="s">
        <v>4815</v>
      </c>
      <c r="C1292" t="s">
        <v>4816</v>
      </c>
      <c r="D1292" t="s">
        <v>4817</v>
      </c>
      <c r="E1292">
        <v>49302096980</v>
      </c>
      <c r="F1292" s="2">
        <v>525282921</v>
      </c>
      <c r="G1292" s="2">
        <v>133778665</v>
      </c>
      <c r="H1292" t="s">
        <v>51</v>
      </c>
      <c r="I1292" t="s">
        <v>17</v>
      </c>
      <c r="J1292" t="s">
        <v>25</v>
      </c>
      <c r="K1292" t="s">
        <v>4818</v>
      </c>
    </row>
    <row r="1293" spans="1:11" x14ac:dyDescent="0.2">
      <c r="A1293" t="s">
        <v>4819</v>
      </c>
      <c r="B1293" t="s">
        <v>4820</v>
      </c>
      <c r="E1293" t="s">
        <v>4821</v>
      </c>
      <c r="F1293" s="2">
        <v>524945916</v>
      </c>
      <c r="G1293" s="2">
        <v>133543953</v>
      </c>
      <c r="H1293" t="s">
        <v>34</v>
      </c>
      <c r="I1293" t="s">
        <v>17</v>
      </c>
      <c r="J1293" t="s">
        <v>25</v>
      </c>
    </row>
    <row r="1294" spans="1:11" x14ac:dyDescent="0.2">
      <c r="A1294" t="s">
        <v>4822</v>
      </c>
      <c r="B1294" t="s">
        <v>4823</v>
      </c>
      <c r="C1294" t="s">
        <v>4824</v>
      </c>
      <c r="D1294" t="s">
        <v>4825</v>
      </c>
      <c r="E1294" t="s">
        <v>4826</v>
      </c>
      <c r="F1294" s="2">
        <v>52533101</v>
      </c>
      <c r="G1294" s="2">
        <v>13401557</v>
      </c>
      <c r="H1294" t="s">
        <v>51</v>
      </c>
      <c r="I1294" t="s">
        <v>17</v>
      </c>
      <c r="J1294" t="s">
        <v>25</v>
      </c>
      <c r="K1294" t="s">
        <v>4827</v>
      </c>
    </row>
    <row r="1295" spans="1:11" x14ac:dyDescent="0.2">
      <c r="A1295" t="s">
        <v>4828</v>
      </c>
      <c r="B1295" t="s">
        <v>4829</v>
      </c>
      <c r="C1295" t="s">
        <v>4830</v>
      </c>
      <c r="D1295" t="s">
        <v>4831</v>
      </c>
      <c r="E1295" t="s">
        <v>4832</v>
      </c>
      <c r="F1295" s="2">
        <v>524899829</v>
      </c>
      <c r="G1295" s="2">
        <v>133529653</v>
      </c>
      <c r="H1295" t="s">
        <v>24</v>
      </c>
      <c r="I1295" t="s">
        <v>17</v>
      </c>
      <c r="J1295" t="s">
        <v>25</v>
      </c>
    </row>
    <row r="1296" spans="1:11" x14ac:dyDescent="0.2">
      <c r="A1296" t="s">
        <v>4833</v>
      </c>
      <c r="B1296" t="s">
        <v>4834</v>
      </c>
      <c r="C1296" t="s">
        <v>4835</v>
      </c>
      <c r="D1296" t="s">
        <v>4836</v>
      </c>
      <c r="E1296" t="s">
        <v>4837</v>
      </c>
      <c r="F1296" s="2">
        <v>524294113</v>
      </c>
      <c r="G1296" s="2">
        <v>133225497</v>
      </c>
      <c r="H1296" t="s">
        <v>51</v>
      </c>
      <c r="I1296" t="s">
        <v>17</v>
      </c>
      <c r="J1296" t="s">
        <v>25</v>
      </c>
      <c r="K1296" t="s">
        <v>4838</v>
      </c>
    </row>
    <row r="1297" spans="1:11" x14ac:dyDescent="0.2">
      <c r="A1297" t="s">
        <v>4839</v>
      </c>
      <c r="B1297" t="s">
        <v>4840</v>
      </c>
      <c r="C1297" t="s">
        <v>4841</v>
      </c>
      <c r="D1297" t="s">
        <v>4842</v>
      </c>
      <c r="E1297" t="s">
        <v>4843</v>
      </c>
      <c r="F1297" s="2">
        <v>524909939</v>
      </c>
      <c r="G1297" s="2">
        <v>133534331</v>
      </c>
      <c r="H1297" t="s">
        <v>304</v>
      </c>
      <c r="I1297" t="s">
        <v>17</v>
      </c>
      <c r="J1297" t="s">
        <v>25</v>
      </c>
      <c r="K1297" t="s">
        <v>4844</v>
      </c>
    </row>
    <row r="1298" spans="1:11" x14ac:dyDescent="0.2">
      <c r="A1298" t="s">
        <v>4845</v>
      </c>
      <c r="B1298" t="s">
        <v>4846</v>
      </c>
      <c r="F1298" s="2">
        <v>524841812</v>
      </c>
      <c r="G1298" s="2">
        <v>134295257</v>
      </c>
      <c r="H1298" t="s">
        <v>28</v>
      </c>
      <c r="I1298" t="s">
        <v>17</v>
      </c>
      <c r="J1298" t="s">
        <v>25</v>
      </c>
    </row>
    <row r="1299" spans="1:11" x14ac:dyDescent="0.2">
      <c r="A1299" t="s">
        <v>4847</v>
      </c>
      <c r="B1299" t="s">
        <v>4848</v>
      </c>
      <c r="C1299" t="s">
        <v>4849</v>
      </c>
      <c r="D1299" t="s">
        <v>4850</v>
      </c>
      <c r="E1299" t="s">
        <v>4851</v>
      </c>
      <c r="F1299" s="2">
        <v>526178319</v>
      </c>
      <c r="G1299" s="2">
        <v>134870119</v>
      </c>
      <c r="H1299" t="s">
        <v>51</v>
      </c>
      <c r="I1299" t="s">
        <v>17</v>
      </c>
      <c r="J1299" t="s">
        <v>25</v>
      </c>
      <c r="K1299" t="s">
        <v>4852</v>
      </c>
    </row>
    <row r="1300" spans="1:11" x14ac:dyDescent="0.2">
      <c r="A1300" t="s">
        <v>4853</v>
      </c>
      <c r="B1300" t="s">
        <v>4854</v>
      </c>
      <c r="E1300" t="s">
        <v>4855</v>
      </c>
      <c r="F1300" s="2">
        <v>524491222</v>
      </c>
      <c r="G1300" s="2">
        <v>13352447</v>
      </c>
      <c r="H1300" t="s">
        <v>34</v>
      </c>
      <c r="I1300" t="s">
        <v>17</v>
      </c>
      <c r="J1300" t="s">
        <v>25</v>
      </c>
    </row>
    <row r="1301" spans="1:11" x14ac:dyDescent="0.2">
      <c r="A1301" t="s">
        <v>4856</v>
      </c>
      <c r="B1301" t="s">
        <v>4857</v>
      </c>
      <c r="C1301" t="s">
        <v>4858</v>
      </c>
      <c r="D1301" t="s">
        <v>4859</v>
      </c>
      <c r="F1301" s="2">
        <v>524912204</v>
      </c>
      <c r="G1301" s="2">
        <v>134292981</v>
      </c>
      <c r="H1301" t="s">
        <v>24</v>
      </c>
      <c r="I1301" t="s">
        <v>17</v>
      </c>
      <c r="J1301" t="s">
        <v>25</v>
      </c>
    </row>
    <row r="1302" spans="1:11" x14ac:dyDescent="0.2">
      <c r="A1302" t="s">
        <v>4860</v>
      </c>
      <c r="B1302" t="s">
        <v>4861</v>
      </c>
      <c r="C1302" t="s">
        <v>4862</v>
      </c>
      <c r="F1302" s="2">
        <v>524834604</v>
      </c>
      <c r="G1302" s="2">
        <v>135227536</v>
      </c>
      <c r="H1302" t="s">
        <v>255</v>
      </c>
      <c r="I1302" t="s">
        <v>17</v>
      </c>
      <c r="J1302" t="s">
        <v>25</v>
      </c>
    </row>
    <row r="1303" spans="1:11" x14ac:dyDescent="0.2">
      <c r="A1303" t="s">
        <v>4863</v>
      </c>
      <c r="B1303" t="s">
        <v>4864</v>
      </c>
      <c r="C1303" t="s">
        <v>4865</v>
      </c>
      <c r="D1303" t="s">
        <v>4866</v>
      </c>
      <c r="E1303" t="s">
        <v>4867</v>
      </c>
      <c r="F1303" s="2">
        <v>52483395</v>
      </c>
      <c r="G1303" s="2">
        <v>1352207</v>
      </c>
      <c r="H1303" t="s">
        <v>51</v>
      </c>
      <c r="I1303" t="s">
        <v>17</v>
      </c>
      <c r="J1303" t="s">
        <v>25</v>
      </c>
      <c r="K1303" t="s">
        <v>4868</v>
      </c>
    </row>
    <row r="1304" spans="1:11" x14ac:dyDescent="0.2">
      <c r="A1304" t="s">
        <v>4869</v>
      </c>
      <c r="B1304" t="s">
        <v>4870</v>
      </c>
      <c r="C1304" t="s">
        <v>4871</v>
      </c>
      <c r="D1304" t="s">
        <v>4872</v>
      </c>
      <c r="E1304" t="s">
        <v>4873</v>
      </c>
      <c r="F1304" s="2">
        <v>524832281</v>
      </c>
      <c r="G1304" s="2">
        <v>135237489</v>
      </c>
      <c r="H1304" t="s">
        <v>24</v>
      </c>
      <c r="I1304" t="s">
        <v>17</v>
      </c>
      <c r="J1304" t="s">
        <v>25</v>
      </c>
    </row>
    <row r="1305" spans="1:11" x14ac:dyDescent="0.2">
      <c r="A1305" t="s">
        <v>4874</v>
      </c>
      <c r="F1305" s="2">
        <v>525474404</v>
      </c>
      <c r="G1305" s="2">
        <v>134119985</v>
      </c>
      <c r="H1305" t="s">
        <v>28</v>
      </c>
      <c r="I1305" t="s">
        <v>17</v>
      </c>
      <c r="J1305" t="s">
        <v>25</v>
      </c>
    </row>
    <row r="1306" spans="1:11" x14ac:dyDescent="0.2">
      <c r="A1306" t="s">
        <v>4875</v>
      </c>
      <c r="B1306" t="s">
        <v>4876</v>
      </c>
      <c r="C1306" t="s">
        <v>4877</v>
      </c>
      <c r="E1306" t="s">
        <v>4878</v>
      </c>
      <c r="F1306" s="2">
        <v>525474234</v>
      </c>
      <c r="G1306" s="2">
        <v>134117688</v>
      </c>
      <c r="H1306" t="s">
        <v>38</v>
      </c>
      <c r="I1306" t="s">
        <v>17</v>
      </c>
      <c r="J1306" t="s">
        <v>25</v>
      </c>
    </row>
    <row r="1307" spans="1:11" x14ac:dyDescent="0.2">
      <c r="A1307" t="s">
        <v>4879</v>
      </c>
      <c r="B1307" t="s">
        <v>4880</v>
      </c>
      <c r="E1307" t="s">
        <v>4881</v>
      </c>
      <c r="F1307" s="2">
        <v>525473709</v>
      </c>
      <c r="G1307" s="2">
        <v>134115079</v>
      </c>
      <c r="H1307" t="s">
        <v>34</v>
      </c>
      <c r="I1307" t="s">
        <v>17</v>
      </c>
      <c r="J1307" t="s">
        <v>25</v>
      </c>
    </row>
    <row r="1308" spans="1:11" x14ac:dyDescent="0.2">
      <c r="A1308" t="s">
        <v>4882</v>
      </c>
      <c r="B1308" t="s">
        <v>4883</v>
      </c>
      <c r="C1308" t="s">
        <v>4884</v>
      </c>
      <c r="D1308" t="s">
        <v>4885</v>
      </c>
      <c r="E1308">
        <v>493028091113</v>
      </c>
      <c r="F1308" s="2">
        <v>525266334</v>
      </c>
      <c r="G1308" s="2">
        <v>13386948</v>
      </c>
      <c r="H1308" t="s">
        <v>51</v>
      </c>
      <c r="I1308" t="s">
        <v>17</v>
      </c>
      <c r="J1308" t="s">
        <v>25</v>
      </c>
      <c r="K1308" t="s">
        <v>4886</v>
      </c>
    </row>
    <row r="1309" spans="1:11" x14ac:dyDescent="0.2">
      <c r="A1309" t="s">
        <v>4887</v>
      </c>
      <c r="B1309" t="s">
        <v>4888</v>
      </c>
      <c r="F1309" s="2">
        <v>525241181</v>
      </c>
      <c r="G1309" s="2">
        <v>133992934</v>
      </c>
      <c r="H1309" t="s">
        <v>28</v>
      </c>
      <c r="I1309" t="s">
        <v>17</v>
      </c>
      <c r="J1309" t="s">
        <v>25</v>
      </c>
    </row>
    <row r="1310" spans="1:11" x14ac:dyDescent="0.2">
      <c r="A1310" t="s">
        <v>4889</v>
      </c>
      <c r="B1310" t="s">
        <v>4890</v>
      </c>
      <c r="C1310" t="s">
        <v>4891</v>
      </c>
      <c r="E1310" t="s">
        <v>4892</v>
      </c>
      <c r="F1310" s="2">
        <v>525272403</v>
      </c>
      <c r="G1310" s="2">
        <v>13398714</v>
      </c>
      <c r="H1310" t="s">
        <v>277</v>
      </c>
      <c r="I1310" t="s">
        <v>17</v>
      </c>
      <c r="J1310" t="s">
        <v>25</v>
      </c>
      <c r="K1310" t="s">
        <v>4893</v>
      </c>
    </row>
    <row r="1311" spans="1:11" x14ac:dyDescent="0.2">
      <c r="A1311" t="s">
        <v>4894</v>
      </c>
      <c r="B1311" t="s">
        <v>4895</v>
      </c>
      <c r="C1311" t="s">
        <v>4896</v>
      </c>
      <c r="E1311" t="s">
        <v>4897</v>
      </c>
      <c r="F1311" s="2">
        <v>525308695</v>
      </c>
      <c r="G1311" s="2">
        <v>133836611</v>
      </c>
      <c r="H1311" t="s">
        <v>38</v>
      </c>
      <c r="I1311" t="s">
        <v>17</v>
      </c>
      <c r="J1311" t="s">
        <v>25</v>
      </c>
    </row>
    <row r="1312" spans="1:11" x14ac:dyDescent="0.2">
      <c r="A1312" t="s">
        <v>4898</v>
      </c>
      <c r="B1312" t="s">
        <v>4899</v>
      </c>
      <c r="C1312" t="s">
        <v>4900</v>
      </c>
      <c r="D1312" t="s">
        <v>4901</v>
      </c>
      <c r="E1312">
        <v>493047378858</v>
      </c>
      <c r="F1312" s="2">
        <v>525292383</v>
      </c>
      <c r="G1312" s="2">
        <v>134095955</v>
      </c>
      <c r="H1312" t="s">
        <v>51</v>
      </c>
      <c r="I1312" t="s">
        <v>17</v>
      </c>
      <c r="J1312" t="s">
        <v>25</v>
      </c>
      <c r="K1312" t="s">
        <v>4902</v>
      </c>
    </row>
    <row r="1313" spans="1:11" x14ac:dyDescent="0.2">
      <c r="A1313" t="s">
        <v>4903</v>
      </c>
      <c r="B1313" t="s">
        <v>4904</v>
      </c>
      <c r="E1313" t="s">
        <v>4905</v>
      </c>
      <c r="F1313" s="2">
        <v>524458368</v>
      </c>
      <c r="G1313" s="2">
        <v>133900736</v>
      </c>
      <c r="H1313" t="s">
        <v>34</v>
      </c>
      <c r="I1313" t="s">
        <v>17</v>
      </c>
      <c r="J1313" t="s">
        <v>25</v>
      </c>
    </row>
    <row r="1314" spans="1:11" x14ac:dyDescent="0.2">
      <c r="A1314" t="s">
        <v>4906</v>
      </c>
      <c r="B1314" t="s">
        <v>4907</v>
      </c>
      <c r="C1314" t="s">
        <v>4908</v>
      </c>
      <c r="D1314" t="s">
        <v>4909</v>
      </c>
      <c r="E1314" t="s">
        <v>4910</v>
      </c>
      <c r="F1314" s="2">
        <v>524446565</v>
      </c>
      <c r="G1314" s="2">
        <v>133782671</v>
      </c>
      <c r="H1314" t="s">
        <v>24</v>
      </c>
      <c r="I1314" t="s">
        <v>17</v>
      </c>
      <c r="J1314" t="s">
        <v>25</v>
      </c>
    </row>
    <row r="1315" spans="1:11" x14ac:dyDescent="0.2">
      <c r="A1315" t="s">
        <v>4911</v>
      </c>
      <c r="B1315" t="s">
        <v>4912</v>
      </c>
      <c r="F1315" s="2">
        <v>524993378</v>
      </c>
      <c r="G1315" s="2">
        <v>13304946</v>
      </c>
      <c r="H1315" t="s">
        <v>28</v>
      </c>
      <c r="I1315" t="s">
        <v>17</v>
      </c>
      <c r="J1315" t="s">
        <v>25</v>
      </c>
    </row>
    <row r="1316" spans="1:11" x14ac:dyDescent="0.2">
      <c r="A1316" t="s">
        <v>4913</v>
      </c>
      <c r="B1316" t="s">
        <v>4914</v>
      </c>
      <c r="C1316" t="s">
        <v>4915</v>
      </c>
      <c r="E1316" t="s">
        <v>4916</v>
      </c>
      <c r="F1316" s="2">
        <v>524900856</v>
      </c>
      <c r="G1316" s="2">
        <v>133835194</v>
      </c>
      <c r="H1316" t="s">
        <v>277</v>
      </c>
      <c r="I1316" t="s">
        <v>17</v>
      </c>
      <c r="J1316" t="s">
        <v>25</v>
      </c>
      <c r="K1316" t="s">
        <v>4917</v>
      </c>
    </row>
    <row r="1317" spans="1:11" x14ac:dyDescent="0.2">
      <c r="A1317" t="s">
        <v>4918</v>
      </c>
      <c r="B1317" t="s">
        <v>4919</v>
      </c>
      <c r="C1317" t="s">
        <v>4920</v>
      </c>
      <c r="D1317" t="s">
        <v>4921</v>
      </c>
      <c r="E1317" t="s">
        <v>4922</v>
      </c>
      <c r="F1317" s="2">
        <v>524930315</v>
      </c>
      <c r="G1317" s="2">
        <v>134282935</v>
      </c>
      <c r="H1317" t="s">
        <v>51</v>
      </c>
      <c r="I1317" t="s">
        <v>17</v>
      </c>
      <c r="J1317" t="s">
        <v>25</v>
      </c>
      <c r="K1317" t="s">
        <v>4923</v>
      </c>
    </row>
    <row r="1318" spans="1:11" x14ac:dyDescent="0.2">
      <c r="A1318" t="s">
        <v>4924</v>
      </c>
      <c r="B1318" t="s">
        <v>4925</v>
      </c>
      <c r="C1318" t="s">
        <v>4926</v>
      </c>
      <c r="E1318" t="s">
        <v>4927</v>
      </c>
      <c r="F1318" s="2">
        <v>524995081</v>
      </c>
      <c r="G1318" s="2">
        <v>133059261</v>
      </c>
      <c r="H1318" t="s">
        <v>38</v>
      </c>
      <c r="I1318" t="s">
        <v>17</v>
      </c>
      <c r="J1318" t="s">
        <v>25</v>
      </c>
    </row>
    <row r="1319" spans="1:11" x14ac:dyDescent="0.2">
      <c r="A1319" t="s">
        <v>4928</v>
      </c>
      <c r="B1319" t="s">
        <v>4929</v>
      </c>
      <c r="C1319" t="s">
        <v>4930</v>
      </c>
      <c r="E1319" t="s">
        <v>4931</v>
      </c>
      <c r="F1319" s="2">
        <v>524853027</v>
      </c>
      <c r="G1319" s="2">
        <v>133852349</v>
      </c>
      <c r="H1319" t="s">
        <v>38</v>
      </c>
      <c r="I1319" t="s">
        <v>17</v>
      </c>
      <c r="J1319" t="s">
        <v>25</v>
      </c>
    </row>
    <row r="1320" spans="1:11" x14ac:dyDescent="0.2">
      <c r="A1320" t="s">
        <v>4932</v>
      </c>
      <c r="B1320" t="s">
        <v>4933</v>
      </c>
      <c r="C1320" t="s">
        <v>4934</v>
      </c>
      <c r="D1320" t="s">
        <v>4935</v>
      </c>
      <c r="E1320" t="s">
        <v>4936</v>
      </c>
      <c r="F1320" s="2">
        <v>524051857</v>
      </c>
      <c r="G1320" s="2">
        <v>13406786</v>
      </c>
      <c r="H1320" t="s">
        <v>24</v>
      </c>
      <c r="I1320" t="s">
        <v>17</v>
      </c>
      <c r="J1320" t="s">
        <v>25</v>
      </c>
    </row>
    <row r="1321" spans="1:11" x14ac:dyDescent="0.2">
      <c r="A1321" t="s">
        <v>4937</v>
      </c>
      <c r="B1321" t="s">
        <v>4938</v>
      </c>
      <c r="C1321" t="s">
        <v>4939</v>
      </c>
      <c r="D1321" t="s">
        <v>4940</v>
      </c>
      <c r="E1321">
        <v>493039404270</v>
      </c>
      <c r="F1321" s="2">
        <v>525252716</v>
      </c>
      <c r="G1321" s="2">
        <v>133424288</v>
      </c>
      <c r="H1321" t="s">
        <v>51</v>
      </c>
      <c r="I1321" t="s">
        <v>17</v>
      </c>
      <c r="J1321" t="s">
        <v>25</v>
      </c>
      <c r="K1321" t="s">
        <v>4941</v>
      </c>
    </row>
    <row r="1322" spans="1:11" x14ac:dyDescent="0.2">
      <c r="A1322" t="s">
        <v>4942</v>
      </c>
      <c r="B1322" t="s">
        <v>4943</v>
      </c>
      <c r="E1322" t="s">
        <v>4944</v>
      </c>
      <c r="F1322" s="2">
        <v>524795591</v>
      </c>
      <c r="G1322" s="2">
        <v>134257104</v>
      </c>
      <c r="H1322" t="s">
        <v>34</v>
      </c>
      <c r="I1322" t="s">
        <v>17</v>
      </c>
      <c r="J1322" t="s">
        <v>25</v>
      </c>
    </row>
    <row r="1323" spans="1:11" x14ac:dyDescent="0.2">
      <c r="A1323" t="s">
        <v>4945</v>
      </c>
      <c r="B1323" t="s">
        <v>4946</v>
      </c>
      <c r="C1323" t="s">
        <v>4947</v>
      </c>
      <c r="E1323" t="s">
        <v>4948</v>
      </c>
      <c r="F1323" s="2">
        <v>525390272</v>
      </c>
      <c r="G1323" s="2">
        <v>134237353</v>
      </c>
      <c r="H1323" t="s">
        <v>38</v>
      </c>
      <c r="I1323" t="s">
        <v>17</v>
      </c>
      <c r="J1323" t="s">
        <v>25</v>
      </c>
    </row>
    <row r="1324" spans="1:11" x14ac:dyDescent="0.2">
      <c r="A1324" t="s">
        <v>4949</v>
      </c>
      <c r="B1324" t="s">
        <v>4950</v>
      </c>
      <c r="C1324" t="s">
        <v>4951</v>
      </c>
      <c r="D1324" t="s">
        <v>4952</v>
      </c>
      <c r="E1324" t="s">
        <v>4953</v>
      </c>
      <c r="F1324" s="2">
        <v>525390024</v>
      </c>
      <c r="G1324" s="2">
        <v>134213372</v>
      </c>
      <c r="H1324" t="s">
        <v>51</v>
      </c>
      <c r="I1324" t="s">
        <v>17</v>
      </c>
      <c r="J1324" t="s">
        <v>25</v>
      </c>
      <c r="K1324" t="s">
        <v>4954</v>
      </c>
    </row>
    <row r="1325" spans="1:11" x14ac:dyDescent="0.2">
      <c r="A1325" t="s">
        <v>4955</v>
      </c>
      <c r="B1325" t="s">
        <v>4956</v>
      </c>
      <c r="F1325" s="2">
        <v>525383151</v>
      </c>
      <c r="G1325" s="2">
        <v>134217581</v>
      </c>
      <c r="H1325" t="s">
        <v>28</v>
      </c>
      <c r="I1325" t="s">
        <v>17</v>
      </c>
      <c r="J1325" t="s">
        <v>25</v>
      </c>
    </row>
    <row r="1326" spans="1:11" x14ac:dyDescent="0.2">
      <c r="A1326" t="s">
        <v>4957</v>
      </c>
      <c r="B1326" t="s">
        <v>4958</v>
      </c>
      <c r="C1326" t="s">
        <v>4959</v>
      </c>
      <c r="D1326" t="s">
        <v>4960</v>
      </c>
      <c r="E1326" t="s">
        <v>4961</v>
      </c>
      <c r="F1326" s="2">
        <v>526097807</v>
      </c>
      <c r="G1326" s="2">
        <v>133295938</v>
      </c>
      <c r="H1326" t="s">
        <v>51</v>
      </c>
      <c r="I1326" t="s">
        <v>17</v>
      </c>
      <c r="J1326" t="s">
        <v>25</v>
      </c>
      <c r="K1326" t="s">
        <v>4962</v>
      </c>
    </row>
    <row r="1327" spans="1:11" x14ac:dyDescent="0.2">
      <c r="A1327" t="s">
        <v>4963</v>
      </c>
      <c r="B1327" t="s">
        <v>4964</v>
      </c>
      <c r="C1327" t="s">
        <v>4965</v>
      </c>
      <c r="E1327" t="s">
        <v>4966</v>
      </c>
      <c r="F1327" s="2">
        <v>525443702</v>
      </c>
      <c r="G1327" s="2">
        <v>134227312</v>
      </c>
      <c r="H1327" t="s">
        <v>277</v>
      </c>
      <c r="I1327" t="s">
        <v>17</v>
      </c>
      <c r="J1327" t="s">
        <v>25</v>
      </c>
      <c r="K1327" t="s">
        <v>4967</v>
      </c>
    </row>
    <row r="1328" spans="1:11" x14ac:dyDescent="0.2">
      <c r="A1328" t="s">
        <v>4968</v>
      </c>
      <c r="B1328" t="s">
        <v>4969</v>
      </c>
      <c r="E1328" t="s">
        <v>4970</v>
      </c>
      <c r="F1328" s="2">
        <v>525549982</v>
      </c>
      <c r="G1328" s="2">
        <v>133842298</v>
      </c>
      <c r="H1328" t="s">
        <v>34</v>
      </c>
      <c r="I1328" t="s">
        <v>17</v>
      </c>
      <c r="J1328" t="s">
        <v>25</v>
      </c>
    </row>
    <row r="1329" spans="1:11" x14ac:dyDescent="0.2">
      <c r="A1329" t="s">
        <v>4971</v>
      </c>
      <c r="B1329" t="s">
        <v>4972</v>
      </c>
      <c r="F1329" s="2">
        <v>525491969</v>
      </c>
      <c r="G1329" s="2">
        <v>134482471</v>
      </c>
      <c r="H1329" t="s">
        <v>28</v>
      </c>
      <c r="I1329" t="s">
        <v>17</v>
      </c>
      <c r="J1329" t="s">
        <v>25</v>
      </c>
    </row>
    <row r="1330" spans="1:11" x14ac:dyDescent="0.2">
      <c r="A1330" t="s">
        <v>4973</v>
      </c>
      <c r="F1330" s="2">
        <v>52491016</v>
      </c>
      <c r="G1330" s="2">
        <v>133940706</v>
      </c>
      <c r="H1330" t="s">
        <v>28</v>
      </c>
      <c r="I1330" t="s">
        <v>17</v>
      </c>
      <c r="J1330" t="s">
        <v>25</v>
      </c>
    </row>
    <row r="1331" spans="1:11" x14ac:dyDescent="0.2">
      <c r="A1331" t="s">
        <v>4974</v>
      </c>
      <c r="B1331" t="s">
        <v>4975</v>
      </c>
      <c r="C1331" t="s">
        <v>4976</v>
      </c>
      <c r="E1331" t="s">
        <v>4977</v>
      </c>
      <c r="F1331" s="2">
        <v>524912511</v>
      </c>
      <c r="G1331" s="2">
        <v>133941456</v>
      </c>
      <c r="H1331" t="s">
        <v>38</v>
      </c>
      <c r="I1331" t="s">
        <v>17</v>
      </c>
      <c r="J1331" t="s">
        <v>25</v>
      </c>
    </row>
    <row r="1332" spans="1:11" x14ac:dyDescent="0.2">
      <c r="A1332" t="s">
        <v>4978</v>
      </c>
      <c r="B1332" t="s">
        <v>4979</v>
      </c>
      <c r="F1332" s="2">
        <v>525280496</v>
      </c>
      <c r="G1332" s="2">
        <v>134099813</v>
      </c>
      <c r="H1332" t="s">
        <v>28</v>
      </c>
      <c r="I1332" t="s">
        <v>17</v>
      </c>
      <c r="J1332" t="s">
        <v>25</v>
      </c>
    </row>
    <row r="1333" spans="1:11" x14ac:dyDescent="0.2">
      <c r="A1333" t="s">
        <v>4980</v>
      </c>
      <c r="B1333" t="s">
        <v>4981</v>
      </c>
      <c r="C1333" t="s">
        <v>4982</v>
      </c>
      <c r="D1333" t="s">
        <v>4983</v>
      </c>
      <c r="E1333" t="s">
        <v>4984</v>
      </c>
      <c r="F1333" s="2">
        <v>524705427</v>
      </c>
      <c r="G1333" s="2">
        <v>134293921</v>
      </c>
      <c r="H1333" t="s">
        <v>51</v>
      </c>
      <c r="I1333" t="s">
        <v>17</v>
      </c>
      <c r="J1333" t="s">
        <v>25</v>
      </c>
      <c r="K1333" t="s">
        <v>4985</v>
      </c>
    </row>
    <row r="1334" spans="1:11" x14ac:dyDescent="0.2">
      <c r="A1334" t="s">
        <v>4986</v>
      </c>
      <c r="B1334" t="s">
        <v>4987</v>
      </c>
      <c r="C1334" t="s">
        <v>4988</v>
      </c>
      <c r="D1334" t="s">
        <v>4989</v>
      </c>
      <c r="E1334" t="s">
        <v>4990</v>
      </c>
      <c r="F1334" s="2">
        <v>525143727</v>
      </c>
      <c r="G1334" s="2">
        <v>133976164</v>
      </c>
      <c r="H1334" t="s">
        <v>24</v>
      </c>
      <c r="I1334" t="s">
        <v>17</v>
      </c>
      <c r="J1334" t="s">
        <v>25</v>
      </c>
    </row>
    <row r="1335" spans="1:11" x14ac:dyDescent="0.2">
      <c r="A1335" t="s">
        <v>4991</v>
      </c>
      <c r="B1335" t="s">
        <v>4992</v>
      </c>
      <c r="C1335" t="s">
        <v>4993</v>
      </c>
      <c r="F1335" s="2">
        <v>525304628</v>
      </c>
      <c r="G1335" s="2">
        <v>134016233</v>
      </c>
      <c r="H1335" t="s">
        <v>3120</v>
      </c>
      <c r="I1335" t="s">
        <v>17</v>
      </c>
      <c r="J1335" t="s">
        <v>25</v>
      </c>
      <c r="K1335" t="s">
        <v>4994</v>
      </c>
    </row>
    <row r="1336" spans="1:11" x14ac:dyDescent="0.2">
      <c r="A1336" t="s">
        <v>4995</v>
      </c>
      <c r="B1336" t="s">
        <v>4996</v>
      </c>
      <c r="C1336" t="s">
        <v>4997</v>
      </c>
      <c r="E1336" t="s">
        <v>4998</v>
      </c>
      <c r="F1336" s="2">
        <v>525646451</v>
      </c>
      <c r="G1336" s="2">
        <v>133540404</v>
      </c>
      <c r="H1336" t="s">
        <v>38</v>
      </c>
      <c r="I1336" t="s">
        <v>17</v>
      </c>
      <c r="J1336" t="s">
        <v>25</v>
      </c>
    </row>
    <row r="1337" spans="1:11" x14ac:dyDescent="0.2">
      <c r="A1337" t="s">
        <v>4999</v>
      </c>
      <c r="B1337" t="s">
        <v>5000</v>
      </c>
      <c r="C1337" t="s">
        <v>5001</v>
      </c>
      <c r="F1337" s="2">
        <v>524993569</v>
      </c>
      <c r="G1337" s="2">
        <v>133249974</v>
      </c>
      <c r="H1337" t="s">
        <v>255</v>
      </c>
      <c r="I1337" t="s">
        <v>17</v>
      </c>
      <c r="J1337" t="s">
        <v>25</v>
      </c>
    </row>
    <row r="1338" spans="1:11" x14ac:dyDescent="0.2">
      <c r="A1338" t="s">
        <v>5002</v>
      </c>
      <c r="B1338" t="s">
        <v>5003</v>
      </c>
      <c r="F1338" s="2">
        <v>525213602</v>
      </c>
      <c r="G1338" s="2">
        <v>13322471</v>
      </c>
      <c r="H1338" t="s">
        <v>28</v>
      </c>
      <c r="I1338" t="s">
        <v>17</v>
      </c>
      <c r="J1338" t="s">
        <v>25</v>
      </c>
    </row>
    <row r="1339" spans="1:11" x14ac:dyDescent="0.2">
      <c r="A1339" t="s">
        <v>5004</v>
      </c>
      <c r="B1339" t="s">
        <v>5005</v>
      </c>
      <c r="C1339" t="s">
        <v>5006</v>
      </c>
      <c r="E1339" t="s">
        <v>5007</v>
      </c>
      <c r="F1339" s="2">
        <v>524713497</v>
      </c>
      <c r="G1339" s="2">
        <v>133380687</v>
      </c>
      <c r="H1339" t="s">
        <v>38</v>
      </c>
      <c r="I1339" t="s">
        <v>17</v>
      </c>
      <c r="J1339" t="s">
        <v>25</v>
      </c>
    </row>
    <row r="1340" spans="1:11" x14ac:dyDescent="0.2">
      <c r="A1340" t="s">
        <v>5008</v>
      </c>
      <c r="B1340" t="s">
        <v>5009</v>
      </c>
      <c r="C1340" t="s">
        <v>5010</v>
      </c>
      <c r="E1340" t="s">
        <v>5011</v>
      </c>
      <c r="F1340" s="2">
        <v>524988559</v>
      </c>
      <c r="G1340" s="2">
        <v>13344132</v>
      </c>
      <c r="H1340" t="s">
        <v>38</v>
      </c>
      <c r="I1340" t="s">
        <v>17</v>
      </c>
      <c r="J1340" t="s">
        <v>25</v>
      </c>
    </row>
    <row r="1341" spans="1:11" x14ac:dyDescent="0.2">
      <c r="A1341" t="s">
        <v>5012</v>
      </c>
      <c r="B1341" t="s">
        <v>5013</v>
      </c>
      <c r="F1341" s="2">
        <v>524905819</v>
      </c>
      <c r="G1341" s="2">
        <v>134480821</v>
      </c>
      <c r="H1341" t="s">
        <v>28</v>
      </c>
      <c r="I1341" t="s">
        <v>17</v>
      </c>
      <c r="J1341" t="s">
        <v>25</v>
      </c>
    </row>
    <row r="1342" spans="1:11" x14ac:dyDescent="0.2">
      <c r="A1342" t="s">
        <v>5014</v>
      </c>
      <c r="B1342" t="s">
        <v>5015</v>
      </c>
      <c r="C1342" t="s">
        <v>5016</v>
      </c>
      <c r="D1342" t="s">
        <v>5017</v>
      </c>
      <c r="E1342" t="s">
        <v>5018</v>
      </c>
      <c r="F1342" s="2">
        <v>524424028</v>
      </c>
      <c r="G1342" s="2">
        <v>132834388</v>
      </c>
      <c r="H1342" t="s">
        <v>51</v>
      </c>
      <c r="I1342" t="s">
        <v>17</v>
      </c>
      <c r="J1342" t="s">
        <v>25</v>
      </c>
      <c r="K1342" t="s">
        <v>5019</v>
      </c>
    </row>
    <row r="1343" spans="1:11" x14ac:dyDescent="0.2">
      <c r="A1343" t="s">
        <v>5020</v>
      </c>
      <c r="F1343" s="2">
        <v>524816526</v>
      </c>
      <c r="G1343" s="2">
        <v>134310556</v>
      </c>
      <c r="H1343" t="s">
        <v>28</v>
      </c>
      <c r="I1343" t="s">
        <v>17</v>
      </c>
      <c r="J1343" t="s">
        <v>25</v>
      </c>
    </row>
    <row r="1344" spans="1:11" x14ac:dyDescent="0.2">
      <c r="A1344" t="s">
        <v>5021</v>
      </c>
      <c r="B1344" t="s">
        <v>5022</v>
      </c>
      <c r="F1344" s="2">
        <v>524672655</v>
      </c>
      <c r="G1344" s="2">
        <v>13331463</v>
      </c>
      <c r="H1344" t="s">
        <v>28</v>
      </c>
      <c r="I1344" t="s">
        <v>17</v>
      </c>
      <c r="J1344" t="s">
        <v>25</v>
      </c>
    </row>
    <row r="1345" spans="1:11" x14ac:dyDescent="0.2">
      <c r="A1345" t="s">
        <v>5023</v>
      </c>
      <c r="C1345" t="s">
        <v>5024</v>
      </c>
      <c r="F1345" s="2">
        <v>524326111</v>
      </c>
      <c r="G1345" s="2">
        <v>133000801</v>
      </c>
      <c r="H1345" t="s">
        <v>255</v>
      </c>
      <c r="I1345" t="s">
        <v>17</v>
      </c>
      <c r="J1345" t="s">
        <v>25</v>
      </c>
    </row>
    <row r="1346" spans="1:11" x14ac:dyDescent="0.2">
      <c r="A1346" t="s">
        <v>5025</v>
      </c>
      <c r="B1346" t="s">
        <v>5026</v>
      </c>
      <c r="C1346" t="s">
        <v>5027</v>
      </c>
      <c r="E1346" t="s">
        <v>5028</v>
      </c>
      <c r="F1346" s="2">
        <v>524261522</v>
      </c>
      <c r="G1346" s="2">
        <v>133276274</v>
      </c>
      <c r="H1346" t="s">
        <v>38</v>
      </c>
      <c r="I1346" t="s">
        <v>17</v>
      </c>
      <c r="J1346" t="s">
        <v>25</v>
      </c>
    </row>
    <row r="1347" spans="1:11" x14ac:dyDescent="0.2">
      <c r="A1347" t="s">
        <v>5029</v>
      </c>
      <c r="F1347" s="2">
        <v>524399118</v>
      </c>
      <c r="G1347" s="2">
        <v>133159022</v>
      </c>
      <c r="H1347" t="s">
        <v>28</v>
      </c>
      <c r="I1347" t="s">
        <v>17</v>
      </c>
      <c r="J1347" t="s">
        <v>25</v>
      </c>
    </row>
    <row r="1348" spans="1:11" x14ac:dyDescent="0.2">
      <c r="A1348" t="s">
        <v>5030</v>
      </c>
      <c r="B1348" t="s">
        <v>5031</v>
      </c>
      <c r="C1348" t="s">
        <v>5032</v>
      </c>
      <c r="D1348" t="s">
        <v>5033</v>
      </c>
      <c r="E1348" t="s">
        <v>5034</v>
      </c>
      <c r="F1348" s="2">
        <v>524304909</v>
      </c>
      <c r="G1348" s="2">
        <v>132669863</v>
      </c>
      <c r="H1348" t="s">
        <v>24</v>
      </c>
      <c r="I1348" t="s">
        <v>17</v>
      </c>
      <c r="J1348" t="s">
        <v>25</v>
      </c>
    </row>
    <row r="1349" spans="1:11" x14ac:dyDescent="0.2">
      <c r="A1349" t="s">
        <v>5035</v>
      </c>
      <c r="B1349" t="s">
        <v>5036</v>
      </c>
      <c r="C1349" t="s">
        <v>5037</v>
      </c>
      <c r="D1349" t="s">
        <v>5038</v>
      </c>
      <c r="E1349" t="s">
        <v>5039</v>
      </c>
      <c r="F1349" s="2">
        <v>525103361</v>
      </c>
      <c r="G1349" s="2">
        <v>134591198</v>
      </c>
      <c r="H1349" t="s">
        <v>51</v>
      </c>
      <c r="I1349" t="s">
        <v>17</v>
      </c>
      <c r="J1349" t="s">
        <v>25</v>
      </c>
      <c r="K1349" t="s">
        <v>5040</v>
      </c>
    </row>
    <row r="1350" spans="1:11" x14ac:dyDescent="0.2">
      <c r="A1350" t="s">
        <v>5041</v>
      </c>
      <c r="B1350" t="s">
        <v>5042</v>
      </c>
      <c r="C1350" t="s">
        <v>5043</v>
      </c>
      <c r="F1350" s="2">
        <v>524873221</v>
      </c>
      <c r="G1350" s="2">
        <v>134774679</v>
      </c>
      <c r="H1350" t="s">
        <v>255</v>
      </c>
      <c r="I1350" t="s">
        <v>17</v>
      </c>
      <c r="J1350" t="s">
        <v>25</v>
      </c>
    </row>
    <row r="1351" spans="1:11" x14ac:dyDescent="0.2">
      <c r="A1351" t="s">
        <v>5044</v>
      </c>
      <c r="B1351" t="s">
        <v>5045</v>
      </c>
      <c r="E1351" t="s">
        <v>5046</v>
      </c>
      <c r="F1351" s="2">
        <v>524699252</v>
      </c>
      <c r="G1351" s="2">
        <v>133253753</v>
      </c>
      <c r="H1351" t="s">
        <v>34</v>
      </c>
      <c r="I1351" t="s">
        <v>17</v>
      </c>
      <c r="J1351" t="s">
        <v>25</v>
      </c>
    </row>
    <row r="1352" spans="1:11" x14ac:dyDescent="0.2">
      <c r="A1352" t="s">
        <v>5047</v>
      </c>
      <c r="B1352" t="s">
        <v>5048</v>
      </c>
      <c r="C1352" t="s">
        <v>5049</v>
      </c>
      <c r="D1352" t="s">
        <v>5050</v>
      </c>
      <c r="E1352" t="s">
        <v>5051</v>
      </c>
      <c r="F1352" s="2">
        <v>524713263</v>
      </c>
      <c r="G1352" s="2">
        <v>133332245</v>
      </c>
      <c r="H1352" t="s">
        <v>24</v>
      </c>
      <c r="I1352" t="s">
        <v>17</v>
      </c>
      <c r="J1352" t="s">
        <v>25</v>
      </c>
    </row>
    <row r="1353" spans="1:11" x14ac:dyDescent="0.2">
      <c r="A1353" t="s">
        <v>5052</v>
      </c>
      <c r="B1353" t="s">
        <v>5053</v>
      </c>
      <c r="F1353" s="2">
        <v>524895882</v>
      </c>
      <c r="G1353" s="2">
        <v>134404319</v>
      </c>
      <c r="H1353" t="s">
        <v>28</v>
      </c>
      <c r="I1353" t="s">
        <v>17</v>
      </c>
      <c r="J1353" t="s">
        <v>25</v>
      </c>
    </row>
    <row r="1354" spans="1:11" x14ac:dyDescent="0.2">
      <c r="A1354" t="s">
        <v>5054</v>
      </c>
      <c r="B1354" t="s">
        <v>5055</v>
      </c>
      <c r="C1354" t="s">
        <v>5056</v>
      </c>
      <c r="D1354" t="s">
        <v>5057</v>
      </c>
      <c r="E1354" t="s">
        <v>5058</v>
      </c>
      <c r="F1354" s="2">
        <v>525315227</v>
      </c>
      <c r="G1354" s="2">
        <v>133953241</v>
      </c>
      <c r="H1354" t="s">
        <v>51</v>
      </c>
      <c r="I1354" t="s">
        <v>17</v>
      </c>
      <c r="J1354" t="s">
        <v>25</v>
      </c>
      <c r="K1354" t="s">
        <v>5059</v>
      </c>
    </row>
    <row r="1355" spans="1:11" x14ac:dyDescent="0.2">
      <c r="A1355" t="s">
        <v>5060</v>
      </c>
      <c r="B1355" t="s">
        <v>5061</v>
      </c>
      <c r="C1355" t="s">
        <v>5062</v>
      </c>
      <c r="D1355" t="s">
        <v>5063</v>
      </c>
      <c r="E1355" t="s">
        <v>5064</v>
      </c>
      <c r="F1355" s="2">
        <v>524593353</v>
      </c>
      <c r="G1355" s="2">
        <v>135857329</v>
      </c>
      <c r="H1355" t="s">
        <v>51</v>
      </c>
      <c r="I1355" t="s">
        <v>17</v>
      </c>
      <c r="J1355" t="s">
        <v>25</v>
      </c>
      <c r="K1355" t="s">
        <v>5065</v>
      </c>
    </row>
    <row r="1356" spans="1:11" x14ac:dyDescent="0.2">
      <c r="A1356" t="s">
        <v>5066</v>
      </c>
      <c r="B1356" t="s">
        <v>5067</v>
      </c>
      <c r="E1356" t="s">
        <v>5068</v>
      </c>
      <c r="F1356" s="2">
        <v>524813722</v>
      </c>
      <c r="G1356" s="2">
        <v>134378554</v>
      </c>
      <c r="H1356" t="s">
        <v>34</v>
      </c>
      <c r="I1356" t="s">
        <v>17</v>
      </c>
      <c r="J1356" t="s">
        <v>25</v>
      </c>
    </row>
    <row r="1357" spans="1:11" x14ac:dyDescent="0.2">
      <c r="A1357" t="s">
        <v>5069</v>
      </c>
      <c r="B1357" t="s">
        <v>5070</v>
      </c>
      <c r="C1357" t="s">
        <v>5071</v>
      </c>
      <c r="D1357" t="s">
        <v>5072</v>
      </c>
      <c r="E1357">
        <v>493055634454</v>
      </c>
      <c r="F1357" s="2">
        <v>524824853</v>
      </c>
      <c r="G1357" s="2">
        <v>134356166</v>
      </c>
      <c r="H1357" t="s">
        <v>51</v>
      </c>
      <c r="I1357" t="s">
        <v>17</v>
      </c>
      <c r="J1357" t="s">
        <v>25</v>
      </c>
      <c r="K1357" t="s">
        <v>5073</v>
      </c>
    </row>
    <row r="1358" spans="1:11" x14ac:dyDescent="0.2">
      <c r="A1358" t="s">
        <v>5074</v>
      </c>
      <c r="E1358" t="s">
        <v>5075</v>
      </c>
      <c r="F1358" s="2">
        <v>526192812</v>
      </c>
      <c r="G1358" s="2">
        <v>133045808</v>
      </c>
      <c r="H1358" t="s">
        <v>34</v>
      </c>
      <c r="I1358" t="s">
        <v>17</v>
      </c>
      <c r="J1358" t="s">
        <v>25</v>
      </c>
    </row>
    <row r="1359" spans="1:11" x14ac:dyDescent="0.2">
      <c r="A1359" t="s">
        <v>5076</v>
      </c>
      <c r="B1359" t="s">
        <v>2497</v>
      </c>
      <c r="F1359" s="2">
        <v>525235463</v>
      </c>
      <c r="G1359" s="2">
        <v>134051151</v>
      </c>
      <c r="H1359" t="s">
        <v>28</v>
      </c>
      <c r="I1359" t="s">
        <v>17</v>
      </c>
      <c r="J1359" t="s">
        <v>25</v>
      </c>
    </row>
    <row r="1360" spans="1:11" x14ac:dyDescent="0.2">
      <c r="A1360" t="s">
        <v>5077</v>
      </c>
      <c r="B1360" t="s">
        <v>5078</v>
      </c>
      <c r="C1360" t="s">
        <v>5079</v>
      </c>
      <c r="E1360" t="s">
        <v>5080</v>
      </c>
      <c r="F1360" s="2">
        <v>525136201</v>
      </c>
      <c r="G1360" s="2">
        <v>135548285</v>
      </c>
      <c r="H1360" t="s">
        <v>38</v>
      </c>
      <c r="I1360" t="s">
        <v>17</v>
      </c>
      <c r="J1360" t="s">
        <v>25</v>
      </c>
    </row>
    <row r="1361" spans="1:11" x14ac:dyDescent="0.2">
      <c r="A1361" t="s">
        <v>5081</v>
      </c>
      <c r="B1361" t="s">
        <v>5082</v>
      </c>
      <c r="C1361" t="s">
        <v>5083</v>
      </c>
      <c r="D1361" t="s">
        <v>5084</v>
      </c>
      <c r="F1361" s="2">
        <v>524869961</v>
      </c>
      <c r="G1361" s="2">
        <v>134291646</v>
      </c>
      <c r="H1361" t="s">
        <v>304</v>
      </c>
      <c r="I1361" t="s">
        <v>17</v>
      </c>
      <c r="J1361" t="s">
        <v>25</v>
      </c>
      <c r="K1361" t="s">
        <v>5085</v>
      </c>
    </row>
    <row r="1362" spans="1:11" x14ac:dyDescent="0.2">
      <c r="A1362" t="s">
        <v>5086</v>
      </c>
      <c r="B1362" t="s">
        <v>5087</v>
      </c>
      <c r="F1362" s="2">
        <v>52509468</v>
      </c>
      <c r="G1362" s="2">
        <v>134643063</v>
      </c>
      <c r="H1362" t="s">
        <v>28</v>
      </c>
      <c r="I1362" t="s">
        <v>17</v>
      </c>
      <c r="J1362" t="s">
        <v>25</v>
      </c>
    </row>
    <row r="1363" spans="1:11" x14ac:dyDescent="0.2">
      <c r="A1363" t="s">
        <v>5088</v>
      </c>
      <c r="B1363" t="s">
        <v>5089</v>
      </c>
      <c r="E1363" t="s">
        <v>5090</v>
      </c>
      <c r="F1363" s="2">
        <v>525472174</v>
      </c>
      <c r="G1363" s="2">
        <v>131849656</v>
      </c>
      <c r="H1363" t="s">
        <v>34</v>
      </c>
      <c r="I1363" t="s">
        <v>17</v>
      </c>
      <c r="J1363" t="s">
        <v>25</v>
      </c>
    </row>
    <row r="1364" spans="1:11" x14ac:dyDescent="0.2">
      <c r="A1364" t="s">
        <v>5091</v>
      </c>
      <c r="B1364" t="s">
        <v>5092</v>
      </c>
      <c r="C1364" t="s">
        <v>5093</v>
      </c>
      <c r="D1364" t="s">
        <v>5094</v>
      </c>
      <c r="E1364" t="s">
        <v>5095</v>
      </c>
      <c r="F1364" s="2">
        <v>525488631</v>
      </c>
      <c r="G1364" s="2">
        <v>133608179</v>
      </c>
      <c r="H1364" t="s">
        <v>304</v>
      </c>
      <c r="I1364" t="s">
        <v>17</v>
      </c>
      <c r="J1364" t="s">
        <v>25</v>
      </c>
      <c r="K1364" t="s">
        <v>5096</v>
      </c>
    </row>
    <row r="1365" spans="1:11" x14ac:dyDescent="0.2">
      <c r="A1365" t="s">
        <v>5097</v>
      </c>
      <c r="B1365" t="s">
        <v>5098</v>
      </c>
      <c r="C1365" t="s">
        <v>5099</v>
      </c>
      <c r="F1365" s="2">
        <v>525335662</v>
      </c>
      <c r="G1365" s="2">
        <v>13370967</v>
      </c>
      <c r="H1365" t="s">
        <v>255</v>
      </c>
      <c r="I1365" t="s">
        <v>17</v>
      </c>
      <c r="J1365" t="s">
        <v>25</v>
      </c>
    </row>
    <row r="1366" spans="1:11" x14ac:dyDescent="0.2">
      <c r="A1366" t="s">
        <v>5100</v>
      </c>
      <c r="B1366" t="s">
        <v>5101</v>
      </c>
      <c r="C1366" t="s">
        <v>5102</v>
      </c>
      <c r="D1366" t="s">
        <v>5103</v>
      </c>
      <c r="E1366" t="s">
        <v>5104</v>
      </c>
      <c r="F1366" s="2">
        <v>524841475</v>
      </c>
      <c r="G1366" s="2">
        <v>134365729</v>
      </c>
      <c r="H1366" t="s">
        <v>24</v>
      </c>
      <c r="I1366" t="s">
        <v>17</v>
      </c>
      <c r="J1366" t="s">
        <v>25</v>
      </c>
    </row>
    <row r="1367" spans="1:11" x14ac:dyDescent="0.2">
      <c r="A1367" t="s">
        <v>5105</v>
      </c>
      <c r="B1367" t="s">
        <v>5106</v>
      </c>
      <c r="F1367" s="2">
        <v>525350976</v>
      </c>
      <c r="G1367" s="2">
        <v>134170552</v>
      </c>
      <c r="H1367" t="s">
        <v>28</v>
      </c>
      <c r="I1367" t="s">
        <v>17</v>
      </c>
      <c r="J1367" t="s">
        <v>25</v>
      </c>
    </row>
    <row r="1368" spans="1:11" x14ac:dyDescent="0.2">
      <c r="A1368" t="s">
        <v>5107</v>
      </c>
      <c r="B1368" t="s">
        <v>5108</v>
      </c>
      <c r="E1368" t="s">
        <v>5109</v>
      </c>
      <c r="F1368" s="2">
        <v>524961535</v>
      </c>
      <c r="G1368" s="2">
        <v>134224306</v>
      </c>
      <c r="H1368" t="s">
        <v>34</v>
      </c>
      <c r="I1368" t="s">
        <v>17</v>
      </c>
      <c r="J1368" t="s">
        <v>25</v>
      </c>
    </row>
    <row r="1369" spans="1:11" x14ac:dyDescent="0.2">
      <c r="A1369" t="s">
        <v>5110</v>
      </c>
      <c r="B1369" t="s">
        <v>5111</v>
      </c>
      <c r="C1369" t="s">
        <v>5112</v>
      </c>
      <c r="D1369" t="s">
        <v>5113</v>
      </c>
      <c r="E1369" t="s">
        <v>5114</v>
      </c>
      <c r="F1369" s="2">
        <v>524150236</v>
      </c>
      <c r="G1369" s="2">
        <v>136572813</v>
      </c>
      <c r="H1369" t="s">
        <v>24</v>
      </c>
      <c r="I1369" t="s">
        <v>17</v>
      </c>
      <c r="J1369" t="s">
        <v>25</v>
      </c>
    </row>
    <row r="1370" spans="1:11" x14ac:dyDescent="0.2">
      <c r="A1370" t="s">
        <v>5115</v>
      </c>
      <c r="B1370" t="s">
        <v>5116</v>
      </c>
      <c r="C1370" t="s">
        <v>5117</v>
      </c>
      <c r="F1370" s="2">
        <v>524845636</v>
      </c>
      <c r="G1370" s="2">
        <v>13462721</v>
      </c>
      <c r="H1370" t="s">
        <v>255</v>
      </c>
      <c r="I1370" t="s">
        <v>17</v>
      </c>
      <c r="J1370" t="s">
        <v>25</v>
      </c>
    </row>
    <row r="1371" spans="1:11" x14ac:dyDescent="0.2">
      <c r="A1371" t="s">
        <v>5118</v>
      </c>
      <c r="B1371" t="s">
        <v>5119</v>
      </c>
      <c r="C1371" t="s">
        <v>5120</v>
      </c>
      <c r="D1371" t="s">
        <v>5121</v>
      </c>
      <c r="F1371" s="2">
        <v>52448514</v>
      </c>
      <c r="G1371" s="2">
        <v>136087638</v>
      </c>
      <c r="H1371" t="s">
        <v>24</v>
      </c>
      <c r="I1371" t="s">
        <v>17</v>
      </c>
      <c r="J1371" t="s">
        <v>25</v>
      </c>
    </row>
    <row r="1372" spans="1:11" x14ac:dyDescent="0.2">
      <c r="A1372" t="s">
        <v>5122</v>
      </c>
      <c r="B1372" t="s">
        <v>5123</v>
      </c>
      <c r="F1372" s="2">
        <v>524546344</v>
      </c>
      <c r="G1372" s="2">
        <v>135765736</v>
      </c>
      <c r="H1372" t="s">
        <v>28</v>
      </c>
      <c r="I1372" t="s">
        <v>17</v>
      </c>
      <c r="J1372" t="s">
        <v>25</v>
      </c>
    </row>
    <row r="1373" spans="1:11" x14ac:dyDescent="0.2">
      <c r="A1373" t="s">
        <v>5124</v>
      </c>
      <c r="B1373" t="s">
        <v>5125</v>
      </c>
      <c r="C1373" t="s">
        <v>5126</v>
      </c>
      <c r="D1373" t="s">
        <v>5127</v>
      </c>
      <c r="E1373" t="s">
        <v>5128</v>
      </c>
      <c r="F1373" s="2">
        <v>525087983</v>
      </c>
      <c r="G1373" s="2">
        <v>133919174</v>
      </c>
      <c r="H1373" t="s">
        <v>51</v>
      </c>
      <c r="I1373" t="s">
        <v>17</v>
      </c>
      <c r="J1373" t="s">
        <v>25</v>
      </c>
      <c r="K1373" t="s">
        <v>5129</v>
      </c>
    </row>
    <row r="1374" spans="1:11" x14ac:dyDescent="0.2">
      <c r="A1374" t="s">
        <v>5130</v>
      </c>
      <c r="B1374" t="s">
        <v>5131</v>
      </c>
      <c r="E1374" t="s">
        <v>5132</v>
      </c>
      <c r="F1374" s="2">
        <v>524634598</v>
      </c>
      <c r="G1374" s="2">
        <v>133387851</v>
      </c>
      <c r="H1374" t="s">
        <v>34</v>
      </c>
      <c r="I1374" t="s">
        <v>17</v>
      </c>
      <c r="J1374" t="s">
        <v>25</v>
      </c>
    </row>
    <row r="1375" spans="1:11" x14ac:dyDescent="0.2">
      <c r="A1375" t="s">
        <v>5133</v>
      </c>
      <c r="B1375" t="s">
        <v>5134</v>
      </c>
      <c r="E1375" t="s">
        <v>5135</v>
      </c>
      <c r="F1375" s="2">
        <v>524825544</v>
      </c>
      <c r="G1375" s="2">
        <v>134414936</v>
      </c>
      <c r="H1375" t="s">
        <v>34</v>
      </c>
      <c r="I1375" t="s">
        <v>17</v>
      </c>
      <c r="J1375" t="s">
        <v>25</v>
      </c>
    </row>
    <row r="1376" spans="1:11" x14ac:dyDescent="0.2">
      <c r="A1376" t="s">
        <v>5136</v>
      </c>
      <c r="B1376" t="s">
        <v>5137</v>
      </c>
      <c r="C1376" t="s">
        <v>5138</v>
      </c>
      <c r="D1376" t="s">
        <v>5139</v>
      </c>
      <c r="E1376" t="s">
        <v>5140</v>
      </c>
      <c r="F1376" s="2">
        <v>524691136</v>
      </c>
      <c r="G1376" s="2">
        <v>134349117</v>
      </c>
      <c r="H1376" t="s">
        <v>51</v>
      </c>
      <c r="I1376" t="s">
        <v>17</v>
      </c>
      <c r="J1376" t="s">
        <v>25</v>
      </c>
      <c r="K1376" t="s">
        <v>5141</v>
      </c>
    </row>
    <row r="1377" spans="1:11" x14ac:dyDescent="0.2">
      <c r="A1377" t="s">
        <v>5142</v>
      </c>
      <c r="B1377" t="s">
        <v>5143</v>
      </c>
      <c r="C1377" t="s">
        <v>5144</v>
      </c>
      <c r="D1377" t="s">
        <v>5145</v>
      </c>
      <c r="E1377" t="s">
        <v>5146</v>
      </c>
      <c r="F1377" s="2">
        <v>525633708</v>
      </c>
      <c r="G1377" s="2">
        <v>134194058</v>
      </c>
      <c r="H1377" t="s">
        <v>51</v>
      </c>
      <c r="I1377" t="s">
        <v>17</v>
      </c>
      <c r="J1377" t="s">
        <v>25</v>
      </c>
      <c r="K1377" t="s">
        <v>5147</v>
      </c>
    </row>
    <row r="1378" spans="1:11" x14ac:dyDescent="0.2">
      <c r="A1378" t="s">
        <v>5148</v>
      </c>
      <c r="B1378" t="s">
        <v>2434</v>
      </c>
      <c r="C1378" t="s">
        <v>5149</v>
      </c>
      <c r="D1378" t="s">
        <v>5150</v>
      </c>
      <c r="E1378" t="s">
        <v>5151</v>
      </c>
      <c r="F1378" s="2">
        <v>525141922</v>
      </c>
      <c r="G1378" s="2">
        <v>133919267</v>
      </c>
      <c r="H1378" t="s">
        <v>24</v>
      </c>
      <c r="I1378" t="s">
        <v>17</v>
      </c>
      <c r="J1378" t="s">
        <v>25</v>
      </c>
    </row>
    <row r="1379" spans="1:11" x14ac:dyDescent="0.2">
      <c r="A1379" t="s">
        <v>5152</v>
      </c>
      <c r="B1379" t="s">
        <v>5153</v>
      </c>
      <c r="E1379" t="s">
        <v>5154</v>
      </c>
      <c r="F1379" s="2">
        <v>524210614</v>
      </c>
      <c r="G1379" s="2">
        <v>134952702</v>
      </c>
      <c r="H1379" t="s">
        <v>34</v>
      </c>
      <c r="I1379" t="s">
        <v>17</v>
      </c>
      <c r="J1379" t="s">
        <v>25</v>
      </c>
    </row>
    <row r="1380" spans="1:11" x14ac:dyDescent="0.2">
      <c r="A1380" t="s">
        <v>5155</v>
      </c>
      <c r="B1380" t="s">
        <v>5156</v>
      </c>
      <c r="F1380" s="2">
        <v>525421216</v>
      </c>
      <c r="G1380" s="2">
        <v>133573329</v>
      </c>
      <c r="H1380" t="s">
        <v>28</v>
      </c>
      <c r="I1380" t="s">
        <v>17</v>
      </c>
      <c r="J1380" t="s">
        <v>25</v>
      </c>
    </row>
    <row r="1381" spans="1:11" x14ac:dyDescent="0.2">
      <c r="A1381" t="s">
        <v>5157</v>
      </c>
      <c r="B1381" t="s">
        <v>5158</v>
      </c>
      <c r="E1381" t="s">
        <v>5159</v>
      </c>
      <c r="F1381" s="2">
        <v>524889086</v>
      </c>
      <c r="G1381" s="2">
        <v>133593106</v>
      </c>
      <c r="H1381" t="s">
        <v>34</v>
      </c>
      <c r="I1381" t="s">
        <v>17</v>
      </c>
      <c r="J1381" t="s">
        <v>25</v>
      </c>
    </row>
    <row r="1382" spans="1:11" x14ac:dyDescent="0.2">
      <c r="A1382" t="s">
        <v>5160</v>
      </c>
      <c r="B1382" t="s">
        <v>5161</v>
      </c>
      <c r="E1382">
        <v>493053157897</v>
      </c>
      <c r="F1382" s="2">
        <v>524307238</v>
      </c>
      <c r="G1382" s="2">
        <v>131952115</v>
      </c>
      <c r="H1382" t="s">
        <v>34</v>
      </c>
      <c r="I1382" t="s">
        <v>17</v>
      </c>
      <c r="J1382" t="s">
        <v>25</v>
      </c>
    </row>
    <row r="1383" spans="1:11" x14ac:dyDescent="0.2">
      <c r="A1383" t="s">
        <v>5162</v>
      </c>
      <c r="B1383" t="s">
        <v>775</v>
      </c>
      <c r="F1383" s="2">
        <v>525223523</v>
      </c>
      <c r="G1383" s="2">
        <v>134499114</v>
      </c>
      <c r="H1383" t="s">
        <v>28</v>
      </c>
      <c r="I1383" t="s">
        <v>17</v>
      </c>
      <c r="J1383" t="s">
        <v>25</v>
      </c>
    </row>
    <row r="1384" spans="1:11" x14ac:dyDescent="0.2">
      <c r="A1384" t="s">
        <v>5163</v>
      </c>
      <c r="C1384" t="s">
        <v>5164</v>
      </c>
      <c r="D1384" t="s">
        <v>5165</v>
      </c>
      <c r="E1384" t="s">
        <v>5166</v>
      </c>
      <c r="F1384" s="2">
        <v>524478154</v>
      </c>
      <c r="G1384" s="2">
        <v>135783406</v>
      </c>
      <c r="H1384" t="s">
        <v>24</v>
      </c>
      <c r="I1384" t="s">
        <v>17</v>
      </c>
      <c r="J1384" t="s">
        <v>25</v>
      </c>
    </row>
    <row r="1385" spans="1:11" x14ac:dyDescent="0.2">
      <c r="A1385" t="s">
        <v>5167</v>
      </c>
      <c r="D1385" t="s">
        <v>5168</v>
      </c>
      <c r="E1385">
        <v>493095618035</v>
      </c>
      <c r="F1385" s="2">
        <v>524302506</v>
      </c>
      <c r="G1385" s="2">
        <v>131946579</v>
      </c>
      <c r="H1385" t="s">
        <v>1107</v>
      </c>
      <c r="I1385" t="s">
        <v>17</v>
      </c>
      <c r="J1385" t="s">
        <v>25</v>
      </c>
    </row>
    <row r="1386" spans="1:11" x14ac:dyDescent="0.2">
      <c r="A1386" t="s">
        <v>5169</v>
      </c>
      <c r="B1386" t="s">
        <v>5170</v>
      </c>
      <c r="E1386" t="s">
        <v>5171</v>
      </c>
      <c r="F1386" s="2">
        <v>524900931</v>
      </c>
      <c r="G1386" s="2">
        <v>133837738</v>
      </c>
      <c r="H1386" t="s">
        <v>34</v>
      </c>
      <c r="I1386" t="s">
        <v>17</v>
      </c>
      <c r="J1386" t="s">
        <v>25</v>
      </c>
    </row>
    <row r="1387" spans="1:11" x14ac:dyDescent="0.2">
      <c r="A1387" t="s">
        <v>5172</v>
      </c>
      <c r="B1387" t="s">
        <v>5173</v>
      </c>
      <c r="C1387" t="s">
        <v>5174</v>
      </c>
      <c r="D1387" t="s">
        <v>5175</v>
      </c>
      <c r="E1387" t="s">
        <v>5176</v>
      </c>
      <c r="F1387" s="2">
        <v>524842635</v>
      </c>
      <c r="G1387" s="2">
        <v>13432743</v>
      </c>
      <c r="H1387" t="s">
        <v>24</v>
      </c>
      <c r="I1387" t="s">
        <v>17</v>
      </c>
      <c r="J1387" t="s">
        <v>25</v>
      </c>
    </row>
    <row r="1388" spans="1:11" x14ac:dyDescent="0.2">
      <c r="A1388" t="s">
        <v>5177</v>
      </c>
      <c r="B1388" t="s">
        <v>5178</v>
      </c>
      <c r="C1388" t="s">
        <v>5179</v>
      </c>
      <c r="D1388" t="s">
        <v>5180</v>
      </c>
      <c r="E1388" t="s">
        <v>5181</v>
      </c>
      <c r="F1388" s="2">
        <v>524453424</v>
      </c>
      <c r="G1388" s="2">
        <v>136269699</v>
      </c>
      <c r="H1388" t="s">
        <v>51</v>
      </c>
      <c r="I1388" t="s">
        <v>17</v>
      </c>
      <c r="J1388" t="s">
        <v>25</v>
      </c>
      <c r="K1388" t="s">
        <v>5182</v>
      </c>
    </row>
    <row r="1389" spans="1:11" x14ac:dyDescent="0.2">
      <c r="A1389" t="s">
        <v>5183</v>
      </c>
      <c r="B1389" t="s">
        <v>5184</v>
      </c>
      <c r="C1389" t="s">
        <v>5185</v>
      </c>
      <c r="E1389" t="s">
        <v>5186</v>
      </c>
      <c r="F1389" s="2">
        <v>525019404</v>
      </c>
      <c r="G1389" s="2">
        <v>133910883</v>
      </c>
      <c r="H1389" t="s">
        <v>38</v>
      </c>
      <c r="I1389" t="s">
        <v>17</v>
      </c>
      <c r="J1389" t="s">
        <v>25</v>
      </c>
    </row>
    <row r="1390" spans="1:11" x14ac:dyDescent="0.2">
      <c r="A1390" t="s">
        <v>5187</v>
      </c>
      <c r="B1390" t="s">
        <v>5188</v>
      </c>
      <c r="C1390" t="s">
        <v>5189</v>
      </c>
      <c r="D1390" t="s">
        <v>5190</v>
      </c>
      <c r="E1390" t="s">
        <v>5191</v>
      </c>
      <c r="F1390" s="2">
        <v>524463238</v>
      </c>
      <c r="G1390" s="2">
        <v>134383018</v>
      </c>
      <c r="H1390" t="s">
        <v>51</v>
      </c>
      <c r="I1390" t="s">
        <v>17</v>
      </c>
      <c r="J1390" t="s">
        <v>25</v>
      </c>
      <c r="K1390" t="s">
        <v>5192</v>
      </c>
    </row>
    <row r="1391" spans="1:11" x14ac:dyDescent="0.2">
      <c r="A1391" t="s">
        <v>5193</v>
      </c>
      <c r="B1391" t="s">
        <v>5194</v>
      </c>
      <c r="C1391" t="s">
        <v>5195</v>
      </c>
      <c r="E1391" t="s">
        <v>5196</v>
      </c>
      <c r="F1391" s="2">
        <v>525205841</v>
      </c>
      <c r="G1391" s="2">
        <v>134474068</v>
      </c>
      <c r="H1391" t="s">
        <v>277</v>
      </c>
      <c r="I1391" t="s">
        <v>17</v>
      </c>
      <c r="J1391" t="s">
        <v>25</v>
      </c>
      <c r="K1391" t="s">
        <v>5197</v>
      </c>
    </row>
    <row r="1392" spans="1:11" x14ac:dyDescent="0.2">
      <c r="A1392" t="s">
        <v>5198</v>
      </c>
      <c r="B1392" t="s">
        <v>5199</v>
      </c>
      <c r="C1392" t="s">
        <v>5200</v>
      </c>
      <c r="D1392" t="s">
        <v>5201</v>
      </c>
      <c r="E1392" t="s">
        <v>5202</v>
      </c>
      <c r="F1392" s="2">
        <v>525334559</v>
      </c>
      <c r="G1392" s="2">
        <v>134204389</v>
      </c>
      <c r="H1392" t="s">
        <v>51</v>
      </c>
      <c r="I1392" t="s">
        <v>17</v>
      </c>
      <c r="J1392" t="s">
        <v>25</v>
      </c>
      <c r="K1392" t="s">
        <v>640</v>
      </c>
    </row>
    <row r="1393" spans="1:11" x14ac:dyDescent="0.2">
      <c r="A1393" t="s">
        <v>5203</v>
      </c>
      <c r="B1393" t="s">
        <v>5204</v>
      </c>
      <c r="C1393" t="s">
        <v>5205</v>
      </c>
      <c r="E1393" t="s">
        <v>5206</v>
      </c>
      <c r="F1393" s="2">
        <v>525839355</v>
      </c>
      <c r="G1393" s="2">
        <v>133911356</v>
      </c>
      <c r="H1393" t="s">
        <v>38</v>
      </c>
      <c r="I1393" t="s">
        <v>17</v>
      </c>
      <c r="J1393" t="s">
        <v>25</v>
      </c>
    </row>
    <row r="1394" spans="1:11" x14ac:dyDescent="0.2">
      <c r="A1394" t="s">
        <v>5207</v>
      </c>
      <c r="B1394" t="s">
        <v>5208</v>
      </c>
      <c r="F1394" s="2">
        <v>52507995</v>
      </c>
      <c r="G1394" s="2">
        <v>133079493</v>
      </c>
      <c r="H1394" t="s">
        <v>28</v>
      </c>
      <c r="I1394" t="s">
        <v>17</v>
      </c>
      <c r="J1394" t="s">
        <v>25</v>
      </c>
    </row>
    <row r="1395" spans="1:11" x14ac:dyDescent="0.2">
      <c r="A1395" t="s">
        <v>5209</v>
      </c>
      <c r="B1395" t="s">
        <v>5210</v>
      </c>
      <c r="F1395" s="2">
        <v>525079903</v>
      </c>
      <c r="G1395" s="2">
        <v>133085893</v>
      </c>
      <c r="H1395" t="s">
        <v>28</v>
      </c>
      <c r="I1395" t="s">
        <v>17</v>
      </c>
      <c r="J1395" t="s">
        <v>25</v>
      </c>
    </row>
    <row r="1396" spans="1:11" x14ac:dyDescent="0.2">
      <c r="A1396" t="s">
        <v>5211</v>
      </c>
      <c r="B1396" t="s">
        <v>5212</v>
      </c>
      <c r="F1396" s="2">
        <v>524991876</v>
      </c>
      <c r="G1396" s="2">
        <v>133436186</v>
      </c>
      <c r="H1396" t="s">
        <v>28</v>
      </c>
      <c r="I1396" t="s">
        <v>17</v>
      </c>
      <c r="J1396" t="s">
        <v>25</v>
      </c>
    </row>
    <row r="1397" spans="1:11" x14ac:dyDescent="0.2">
      <c r="A1397" t="s">
        <v>5213</v>
      </c>
      <c r="B1397" t="s">
        <v>5214</v>
      </c>
      <c r="F1397" s="2">
        <v>524990532</v>
      </c>
      <c r="G1397" s="2">
        <v>133449467</v>
      </c>
      <c r="H1397" t="s">
        <v>28</v>
      </c>
      <c r="I1397" t="s">
        <v>17</v>
      </c>
      <c r="J1397" t="s">
        <v>25</v>
      </c>
    </row>
    <row r="1398" spans="1:11" x14ac:dyDescent="0.2">
      <c r="A1398" t="s">
        <v>5215</v>
      </c>
      <c r="B1398" t="s">
        <v>1895</v>
      </c>
      <c r="C1398" t="s">
        <v>5216</v>
      </c>
      <c r="D1398" t="s">
        <v>5217</v>
      </c>
      <c r="E1398" t="s">
        <v>5218</v>
      </c>
      <c r="F1398" s="2">
        <v>525222784</v>
      </c>
      <c r="G1398" s="2">
        <v>133996752</v>
      </c>
      <c r="H1398" t="s">
        <v>51</v>
      </c>
      <c r="I1398" t="s">
        <v>17</v>
      </c>
      <c r="J1398" t="s">
        <v>25</v>
      </c>
      <c r="K1398" t="s">
        <v>5219</v>
      </c>
    </row>
    <row r="1399" spans="1:11" x14ac:dyDescent="0.2">
      <c r="A1399" t="s">
        <v>5220</v>
      </c>
      <c r="B1399">
        <v>10787</v>
      </c>
      <c r="F1399" s="2">
        <v>525036578</v>
      </c>
      <c r="G1399" s="2">
        <v>13346719</v>
      </c>
      <c r="H1399" t="s">
        <v>28</v>
      </c>
      <c r="I1399" t="s">
        <v>17</v>
      </c>
      <c r="J1399" t="s">
        <v>25</v>
      </c>
    </row>
    <row r="1400" spans="1:11" x14ac:dyDescent="0.2">
      <c r="A1400" t="s">
        <v>5221</v>
      </c>
      <c r="B1400" t="s">
        <v>5222</v>
      </c>
      <c r="C1400" t="s">
        <v>5223</v>
      </c>
      <c r="F1400" s="2">
        <v>525536186</v>
      </c>
      <c r="G1400" s="2">
        <v>134107657</v>
      </c>
      <c r="H1400" t="s">
        <v>38</v>
      </c>
      <c r="I1400" t="s">
        <v>17</v>
      </c>
      <c r="J1400" t="s">
        <v>25</v>
      </c>
    </row>
    <row r="1401" spans="1:11" x14ac:dyDescent="0.2">
      <c r="A1401" t="s">
        <v>5224</v>
      </c>
      <c r="B1401" t="s">
        <v>5225</v>
      </c>
      <c r="F1401" s="2">
        <v>525385147</v>
      </c>
      <c r="G1401" s="2">
        <v>134201146</v>
      </c>
      <c r="H1401" t="s">
        <v>28</v>
      </c>
      <c r="I1401" t="s">
        <v>17</v>
      </c>
      <c r="J1401" t="s">
        <v>25</v>
      </c>
    </row>
    <row r="1402" spans="1:11" x14ac:dyDescent="0.2">
      <c r="A1402" t="s">
        <v>5226</v>
      </c>
      <c r="B1402" t="s">
        <v>5227</v>
      </c>
      <c r="F1402" s="2">
        <v>524644936</v>
      </c>
      <c r="G1402" s="2">
        <v>135122495</v>
      </c>
      <c r="H1402" t="s">
        <v>28</v>
      </c>
      <c r="I1402" t="s">
        <v>17</v>
      </c>
      <c r="J1402" t="s">
        <v>25</v>
      </c>
    </row>
    <row r="1403" spans="1:11" x14ac:dyDescent="0.2">
      <c r="A1403" t="s">
        <v>5228</v>
      </c>
      <c r="B1403" t="s">
        <v>5229</v>
      </c>
      <c r="F1403" s="2">
        <v>524945009</v>
      </c>
      <c r="G1403" s="2">
        <v>133012585</v>
      </c>
      <c r="H1403" t="s">
        <v>28</v>
      </c>
      <c r="I1403" t="s">
        <v>17</v>
      </c>
      <c r="J1403" t="s">
        <v>25</v>
      </c>
    </row>
    <row r="1404" spans="1:11" x14ac:dyDescent="0.2">
      <c r="A1404" t="s">
        <v>5230</v>
      </c>
      <c r="B1404" t="s">
        <v>5231</v>
      </c>
      <c r="E1404" t="s">
        <v>5232</v>
      </c>
      <c r="F1404" s="2">
        <v>525226702</v>
      </c>
      <c r="G1404" s="2">
        <v>13389123</v>
      </c>
      <c r="H1404" t="s">
        <v>34</v>
      </c>
      <c r="I1404" t="s">
        <v>17</v>
      </c>
      <c r="J1404" t="s">
        <v>25</v>
      </c>
    </row>
    <row r="1405" spans="1:11" x14ac:dyDescent="0.2">
      <c r="A1405" t="s">
        <v>5233</v>
      </c>
      <c r="B1405" t="s">
        <v>5234</v>
      </c>
      <c r="C1405" t="s">
        <v>5235</v>
      </c>
      <c r="D1405" t="s">
        <v>5236</v>
      </c>
      <c r="E1405" t="s">
        <v>5237</v>
      </c>
      <c r="F1405" s="2">
        <v>524982991</v>
      </c>
      <c r="G1405" s="2">
        <v>134423102</v>
      </c>
      <c r="H1405" t="s">
        <v>304</v>
      </c>
      <c r="I1405" t="s">
        <v>17</v>
      </c>
      <c r="J1405" t="s">
        <v>25</v>
      </c>
      <c r="K1405" t="s">
        <v>5238</v>
      </c>
    </row>
    <row r="1406" spans="1:11" x14ac:dyDescent="0.2">
      <c r="A1406" t="s">
        <v>5239</v>
      </c>
      <c r="B1406" t="s">
        <v>5240</v>
      </c>
      <c r="C1406" t="s">
        <v>5241</v>
      </c>
      <c r="E1406" t="s">
        <v>5242</v>
      </c>
      <c r="F1406" s="2">
        <v>525437044</v>
      </c>
      <c r="G1406" s="2">
        <v>1341991</v>
      </c>
      <c r="H1406" t="s">
        <v>277</v>
      </c>
      <c r="I1406" t="s">
        <v>17</v>
      </c>
      <c r="J1406" t="s">
        <v>25</v>
      </c>
      <c r="K1406" t="s">
        <v>5243</v>
      </c>
    </row>
    <row r="1407" spans="1:11" x14ac:dyDescent="0.2">
      <c r="A1407" t="s">
        <v>5244</v>
      </c>
      <c r="B1407" t="s">
        <v>5245</v>
      </c>
      <c r="F1407" s="2">
        <v>525321364</v>
      </c>
      <c r="G1407" s="2">
        <v>133841353</v>
      </c>
      <c r="H1407" t="s">
        <v>28</v>
      </c>
      <c r="I1407" t="s">
        <v>17</v>
      </c>
      <c r="J1407" t="s">
        <v>25</v>
      </c>
    </row>
    <row r="1408" spans="1:11" x14ac:dyDescent="0.2">
      <c r="A1408" t="s">
        <v>5246</v>
      </c>
      <c r="B1408" t="s">
        <v>5247</v>
      </c>
      <c r="C1408" t="s">
        <v>5248</v>
      </c>
      <c r="E1408" t="s">
        <v>5249</v>
      </c>
      <c r="F1408" s="2">
        <v>524964895</v>
      </c>
      <c r="G1408" s="2">
        <v>13323895</v>
      </c>
      <c r="H1408" t="s">
        <v>38</v>
      </c>
      <c r="I1408" t="s">
        <v>17</v>
      </c>
      <c r="J1408" t="s">
        <v>25</v>
      </c>
    </row>
    <row r="1409" spans="1:11" x14ac:dyDescent="0.2">
      <c r="A1409" t="s">
        <v>5250</v>
      </c>
      <c r="B1409" t="s">
        <v>5251</v>
      </c>
      <c r="C1409" t="s">
        <v>5252</v>
      </c>
      <c r="D1409" t="s">
        <v>5253</v>
      </c>
      <c r="E1409" t="s">
        <v>5254</v>
      </c>
      <c r="F1409" s="2">
        <v>52496294</v>
      </c>
      <c r="G1409" s="2">
        <v>133238589</v>
      </c>
      <c r="H1409" t="s">
        <v>304</v>
      </c>
      <c r="I1409" t="s">
        <v>17</v>
      </c>
      <c r="J1409" t="s">
        <v>25</v>
      </c>
      <c r="K1409" t="s">
        <v>5255</v>
      </c>
    </row>
    <row r="1410" spans="1:11" x14ac:dyDescent="0.2">
      <c r="A1410" t="s">
        <v>5256</v>
      </c>
      <c r="E1410" t="s">
        <v>5257</v>
      </c>
      <c r="F1410" s="2">
        <v>525388492</v>
      </c>
      <c r="G1410" s="2">
        <v>134236433</v>
      </c>
      <c r="H1410" t="s">
        <v>34</v>
      </c>
      <c r="I1410" t="s">
        <v>17</v>
      </c>
      <c r="J1410" t="s">
        <v>25</v>
      </c>
    </row>
    <row r="1411" spans="1:11" x14ac:dyDescent="0.2">
      <c r="A1411" t="s">
        <v>5258</v>
      </c>
      <c r="B1411" t="s">
        <v>5259</v>
      </c>
      <c r="C1411" t="s">
        <v>5260</v>
      </c>
      <c r="D1411" t="s">
        <v>5261</v>
      </c>
      <c r="E1411" t="s">
        <v>5262</v>
      </c>
      <c r="F1411" s="2">
        <v>5242024</v>
      </c>
      <c r="G1411" s="2">
        <v>134917446</v>
      </c>
      <c r="H1411" t="s">
        <v>24</v>
      </c>
      <c r="I1411" t="s">
        <v>17</v>
      </c>
      <c r="J1411" t="s">
        <v>25</v>
      </c>
    </row>
    <row r="1412" spans="1:11" x14ac:dyDescent="0.2">
      <c r="A1412" t="s">
        <v>5263</v>
      </c>
      <c r="F1412" s="2">
        <v>524883039</v>
      </c>
      <c r="G1412" s="2">
        <v>132770793</v>
      </c>
      <c r="H1412" t="s">
        <v>28</v>
      </c>
      <c r="I1412" t="s">
        <v>17</v>
      </c>
      <c r="J1412" t="s">
        <v>25</v>
      </c>
    </row>
    <row r="1413" spans="1:11" x14ac:dyDescent="0.2">
      <c r="A1413" t="s">
        <v>5264</v>
      </c>
      <c r="B1413" t="s">
        <v>5265</v>
      </c>
      <c r="C1413" t="s">
        <v>5266</v>
      </c>
      <c r="D1413" t="s">
        <v>5267</v>
      </c>
      <c r="E1413" t="s">
        <v>5268</v>
      </c>
      <c r="F1413" s="2">
        <v>524926352</v>
      </c>
      <c r="G1413" s="2">
        <v>133966309</v>
      </c>
      <c r="H1413" t="s">
        <v>24</v>
      </c>
      <c r="I1413" t="s">
        <v>17</v>
      </c>
      <c r="J1413" t="s">
        <v>25</v>
      </c>
    </row>
    <row r="1414" spans="1:11" x14ac:dyDescent="0.2">
      <c r="A1414" t="s">
        <v>5269</v>
      </c>
      <c r="B1414" t="s">
        <v>5270</v>
      </c>
      <c r="C1414" t="s">
        <v>5271</v>
      </c>
      <c r="E1414" t="s">
        <v>5272</v>
      </c>
      <c r="F1414" s="2">
        <v>525085311</v>
      </c>
      <c r="G1414" s="2">
        <v>134053466</v>
      </c>
      <c r="H1414" t="s">
        <v>277</v>
      </c>
      <c r="I1414" t="s">
        <v>17</v>
      </c>
      <c r="J1414" t="s">
        <v>25</v>
      </c>
      <c r="K1414" t="s">
        <v>5273</v>
      </c>
    </row>
    <row r="1415" spans="1:11" x14ac:dyDescent="0.2">
      <c r="A1415" t="s">
        <v>5274</v>
      </c>
      <c r="F1415" s="2">
        <v>525104926</v>
      </c>
      <c r="G1415" s="2">
        <v>13402508</v>
      </c>
      <c r="H1415" t="s">
        <v>28</v>
      </c>
      <c r="I1415" t="s">
        <v>17</v>
      </c>
      <c r="J1415" t="s">
        <v>25</v>
      </c>
    </row>
    <row r="1416" spans="1:11" x14ac:dyDescent="0.2">
      <c r="A1416" t="s">
        <v>5275</v>
      </c>
      <c r="B1416" t="s">
        <v>5276</v>
      </c>
      <c r="C1416" t="s">
        <v>5277</v>
      </c>
      <c r="D1416" t="s">
        <v>5278</v>
      </c>
      <c r="E1416" t="s">
        <v>5279</v>
      </c>
      <c r="F1416" s="2">
        <v>524445221</v>
      </c>
      <c r="G1416" s="2">
        <v>13261344</v>
      </c>
      <c r="H1416" t="s">
        <v>51</v>
      </c>
      <c r="I1416" t="s">
        <v>17</v>
      </c>
      <c r="J1416" t="s">
        <v>25</v>
      </c>
      <c r="K1416" t="s">
        <v>5280</v>
      </c>
    </row>
    <row r="1417" spans="1:11" x14ac:dyDescent="0.2">
      <c r="A1417" t="s">
        <v>5281</v>
      </c>
      <c r="B1417" t="s">
        <v>5282</v>
      </c>
      <c r="C1417" t="s">
        <v>5283</v>
      </c>
      <c r="F1417" s="2">
        <v>524223579</v>
      </c>
      <c r="G1417" s="2">
        <v>135847616</v>
      </c>
      <c r="H1417" t="s">
        <v>255</v>
      </c>
      <c r="I1417" t="s">
        <v>17</v>
      </c>
      <c r="J1417" t="s">
        <v>25</v>
      </c>
    </row>
    <row r="1418" spans="1:11" x14ac:dyDescent="0.2">
      <c r="A1418" t="s">
        <v>5284</v>
      </c>
      <c r="B1418" t="s">
        <v>5285</v>
      </c>
      <c r="E1418" t="s">
        <v>5286</v>
      </c>
      <c r="F1418" s="2">
        <v>524970743</v>
      </c>
      <c r="G1418" s="2">
        <v>133557787</v>
      </c>
      <c r="H1418" t="s">
        <v>34</v>
      </c>
      <c r="I1418" t="s">
        <v>17</v>
      </c>
      <c r="J1418" t="s">
        <v>25</v>
      </c>
    </row>
    <row r="1419" spans="1:11" x14ac:dyDescent="0.2">
      <c r="A1419" t="s">
        <v>5287</v>
      </c>
      <c r="F1419" s="2">
        <v>524717993</v>
      </c>
      <c r="G1419" s="2">
        <v>132937689</v>
      </c>
      <c r="H1419" t="s">
        <v>28</v>
      </c>
      <c r="I1419" t="s">
        <v>17</v>
      </c>
      <c r="J1419" t="s">
        <v>25</v>
      </c>
    </row>
    <row r="1420" spans="1:11" x14ac:dyDescent="0.2">
      <c r="A1420" t="s">
        <v>5288</v>
      </c>
      <c r="B1420" t="s">
        <v>5289</v>
      </c>
      <c r="C1420" t="s">
        <v>5290</v>
      </c>
      <c r="D1420" t="s">
        <v>5291</v>
      </c>
      <c r="E1420" t="s">
        <v>5292</v>
      </c>
      <c r="F1420" s="2">
        <v>525172376</v>
      </c>
      <c r="G1420" s="2">
        <v>134073497</v>
      </c>
      <c r="H1420" t="s">
        <v>51</v>
      </c>
      <c r="I1420" t="s">
        <v>17</v>
      </c>
      <c r="J1420" t="s">
        <v>25</v>
      </c>
      <c r="K1420" t="s">
        <v>5293</v>
      </c>
    </row>
    <row r="1421" spans="1:11" x14ac:dyDescent="0.2">
      <c r="A1421" t="s">
        <v>5294</v>
      </c>
      <c r="B1421" t="s">
        <v>5295</v>
      </c>
      <c r="E1421" t="s">
        <v>5296</v>
      </c>
      <c r="F1421" s="2">
        <v>525171542</v>
      </c>
      <c r="G1421" s="2">
        <v>134071</v>
      </c>
      <c r="H1421" t="s">
        <v>34</v>
      </c>
      <c r="I1421" t="s">
        <v>17</v>
      </c>
      <c r="J1421" t="s">
        <v>25</v>
      </c>
    </row>
    <row r="1422" spans="1:11" x14ac:dyDescent="0.2">
      <c r="A1422" t="s">
        <v>5297</v>
      </c>
      <c r="B1422" t="s">
        <v>5298</v>
      </c>
      <c r="C1422" t="s">
        <v>5299</v>
      </c>
      <c r="D1422" t="s">
        <v>5300</v>
      </c>
      <c r="F1422" s="2">
        <v>525226336</v>
      </c>
      <c r="G1422" s="2">
        <v>134019011</v>
      </c>
      <c r="H1422" t="s">
        <v>51</v>
      </c>
      <c r="I1422" t="s">
        <v>17</v>
      </c>
      <c r="J1422" t="s">
        <v>25</v>
      </c>
      <c r="K1422" t="s">
        <v>5301</v>
      </c>
    </row>
    <row r="1423" spans="1:11" x14ac:dyDescent="0.2">
      <c r="A1423" t="s">
        <v>5302</v>
      </c>
      <c r="B1423" t="s">
        <v>5303</v>
      </c>
      <c r="C1423" t="s">
        <v>5304</v>
      </c>
      <c r="D1423" t="s">
        <v>5305</v>
      </c>
      <c r="E1423" t="s">
        <v>5306</v>
      </c>
      <c r="F1423" s="2">
        <v>52522783</v>
      </c>
      <c r="G1423" s="2">
        <v>134026273</v>
      </c>
      <c r="H1423" t="s">
        <v>51</v>
      </c>
      <c r="I1423" t="s">
        <v>17</v>
      </c>
      <c r="J1423" t="s">
        <v>25</v>
      </c>
      <c r="K1423" t="s">
        <v>5307</v>
      </c>
    </row>
    <row r="1424" spans="1:11" x14ac:dyDescent="0.2">
      <c r="A1424" t="s">
        <v>5308</v>
      </c>
      <c r="B1424" t="s">
        <v>5309</v>
      </c>
      <c r="C1424" t="s">
        <v>5310</v>
      </c>
      <c r="D1424" t="s">
        <v>5311</v>
      </c>
      <c r="E1424" t="s">
        <v>5312</v>
      </c>
      <c r="F1424" s="2">
        <v>525206683</v>
      </c>
      <c r="G1424" s="2">
        <v>133947157</v>
      </c>
      <c r="H1424" t="s">
        <v>24</v>
      </c>
      <c r="I1424" t="s">
        <v>17</v>
      </c>
      <c r="J1424" t="s">
        <v>25</v>
      </c>
    </row>
    <row r="1425" spans="1:11" x14ac:dyDescent="0.2">
      <c r="A1425" t="s">
        <v>5313</v>
      </c>
      <c r="B1425" t="s">
        <v>5314</v>
      </c>
      <c r="F1425" s="2">
        <v>525043215</v>
      </c>
      <c r="G1425" s="2">
        <v>133911115</v>
      </c>
      <c r="H1425" t="s">
        <v>28</v>
      </c>
      <c r="I1425" t="s">
        <v>17</v>
      </c>
      <c r="J1425" t="s">
        <v>25</v>
      </c>
    </row>
    <row r="1426" spans="1:11" x14ac:dyDescent="0.2">
      <c r="A1426" t="s">
        <v>5315</v>
      </c>
      <c r="B1426" t="s">
        <v>5316</v>
      </c>
      <c r="C1426" t="s">
        <v>5317</v>
      </c>
      <c r="E1426" t="s">
        <v>5318</v>
      </c>
      <c r="F1426" s="2">
        <v>525514935</v>
      </c>
      <c r="G1426" s="2">
        <v>131847836</v>
      </c>
      <c r="H1426" t="s">
        <v>38</v>
      </c>
      <c r="I1426" t="s">
        <v>17</v>
      </c>
      <c r="J1426" t="s">
        <v>25</v>
      </c>
    </row>
    <row r="1427" spans="1:11" x14ac:dyDescent="0.2">
      <c r="A1427" t="s">
        <v>5319</v>
      </c>
      <c r="B1427" t="s">
        <v>5320</v>
      </c>
      <c r="C1427" t="s">
        <v>5321</v>
      </c>
      <c r="D1427" t="s">
        <v>5322</v>
      </c>
      <c r="E1427" t="s">
        <v>5323</v>
      </c>
      <c r="F1427" s="2">
        <v>525074321</v>
      </c>
      <c r="G1427" s="2">
        <v>134547101</v>
      </c>
      <c r="H1427" t="s">
        <v>51</v>
      </c>
      <c r="I1427" t="s">
        <v>17</v>
      </c>
      <c r="J1427" t="s">
        <v>25</v>
      </c>
      <c r="K1427" t="s">
        <v>5324</v>
      </c>
    </row>
    <row r="1428" spans="1:11" x14ac:dyDescent="0.2">
      <c r="A1428" t="s">
        <v>5325</v>
      </c>
      <c r="B1428" t="s">
        <v>5326</v>
      </c>
      <c r="C1428" t="s">
        <v>5327</v>
      </c>
      <c r="F1428" s="2">
        <v>525229802</v>
      </c>
      <c r="G1428" s="2">
        <v>134091644</v>
      </c>
      <c r="H1428" t="s">
        <v>277</v>
      </c>
      <c r="I1428" t="s">
        <v>17</v>
      </c>
      <c r="J1428" t="s">
        <v>25</v>
      </c>
      <c r="K1428" t="s">
        <v>5328</v>
      </c>
    </row>
    <row r="1429" spans="1:11" x14ac:dyDescent="0.2">
      <c r="A1429" t="s">
        <v>5329</v>
      </c>
      <c r="B1429" t="s">
        <v>5330</v>
      </c>
      <c r="C1429" t="s">
        <v>5331</v>
      </c>
      <c r="F1429" s="2">
        <v>524960309</v>
      </c>
      <c r="G1429" s="2">
        <v>133375669</v>
      </c>
      <c r="H1429" t="s">
        <v>255</v>
      </c>
      <c r="I1429" t="s">
        <v>17</v>
      </c>
      <c r="J1429" t="s">
        <v>25</v>
      </c>
    </row>
    <row r="1430" spans="1:11" x14ac:dyDescent="0.2">
      <c r="A1430" t="s">
        <v>5332</v>
      </c>
      <c r="B1430" t="s">
        <v>5333</v>
      </c>
      <c r="C1430" t="s">
        <v>5334</v>
      </c>
      <c r="D1430" t="s">
        <v>5335</v>
      </c>
      <c r="F1430" s="2">
        <v>525713002</v>
      </c>
      <c r="G1430" s="2">
        <v>13410011</v>
      </c>
      <c r="H1430" t="s">
        <v>24</v>
      </c>
      <c r="I1430" t="s">
        <v>17</v>
      </c>
      <c r="J1430" t="s">
        <v>25</v>
      </c>
    </row>
    <row r="1431" spans="1:11" x14ac:dyDescent="0.2">
      <c r="A1431" t="s">
        <v>5336</v>
      </c>
      <c r="B1431" t="s">
        <v>5337</v>
      </c>
      <c r="E1431" t="s">
        <v>5338</v>
      </c>
      <c r="F1431" s="2">
        <v>525557531</v>
      </c>
      <c r="G1431" s="2">
        <v>134796223</v>
      </c>
      <c r="H1431" t="s">
        <v>34</v>
      </c>
      <c r="I1431" t="s">
        <v>17</v>
      </c>
      <c r="J1431" t="s">
        <v>25</v>
      </c>
    </row>
    <row r="1432" spans="1:11" x14ac:dyDescent="0.2">
      <c r="A1432" t="s">
        <v>5339</v>
      </c>
      <c r="B1432" t="s">
        <v>5340</v>
      </c>
      <c r="E1432" t="s">
        <v>5341</v>
      </c>
      <c r="F1432" s="2">
        <v>525559582</v>
      </c>
      <c r="G1432" s="2">
        <v>134778053</v>
      </c>
      <c r="H1432" t="s">
        <v>34</v>
      </c>
      <c r="I1432" t="s">
        <v>17</v>
      </c>
      <c r="J1432" t="s">
        <v>25</v>
      </c>
    </row>
    <row r="1433" spans="1:11" x14ac:dyDescent="0.2">
      <c r="A1433" t="s">
        <v>5342</v>
      </c>
      <c r="B1433" t="s">
        <v>5343</v>
      </c>
      <c r="F1433" s="2">
        <v>524398633</v>
      </c>
      <c r="G1433" s="2">
        <v>132751636</v>
      </c>
      <c r="H1433" t="s">
        <v>28</v>
      </c>
      <c r="I1433" t="s">
        <v>17</v>
      </c>
      <c r="J1433" t="s">
        <v>25</v>
      </c>
    </row>
    <row r="1434" spans="1:11" x14ac:dyDescent="0.2">
      <c r="A1434" t="s">
        <v>5344</v>
      </c>
      <c r="F1434" s="2">
        <v>5253766</v>
      </c>
      <c r="G1434" s="2">
        <v>134990288</v>
      </c>
      <c r="H1434" t="s">
        <v>28</v>
      </c>
      <c r="I1434" t="s">
        <v>17</v>
      </c>
      <c r="J1434" t="s">
        <v>25</v>
      </c>
    </row>
    <row r="1435" spans="1:11" x14ac:dyDescent="0.2">
      <c r="A1435" t="s">
        <v>5345</v>
      </c>
      <c r="B1435" t="s">
        <v>5346</v>
      </c>
      <c r="C1435" t="s">
        <v>5347</v>
      </c>
      <c r="E1435" t="s">
        <v>5348</v>
      </c>
      <c r="F1435" s="2">
        <v>524601223</v>
      </c>
      <c r="G1435" s="2">
        <v>133170781</v>
      </c>
      <c r="H1435" t="s">
        <v>38</v>
      </c>
      <c r="I1435" t="s">
        <v>17</v>
      </c>
      <c r="J1435" t="s">
        <v>25</v>
      </c>
    </row>
    <row r="1436" spans="1:11" x14ac:dyDescent="0.2">
      <c r="A1436" t="s">
        <v>5349</v>
      </c>
      <c r="C1436" t="s">
        <v>5350</v>
      </c>
      <c r="D1436" t="s">
        <v>5351</v>
      </c>
      <c r="E1436" t="s">
        <v>5352</v>
      </c>
      <c r="F1436" s="2">
        <v>524461616</v>
      </c>
      <c r="G1436" s="2">
        <v>132924947</v>
      </c>
      <c r="H1436" t="s">
        <v>16</v>
      </c>
      <c r="I1436" t="s">
        <v>17</v>
      </c>
      <c r="J1436" t="s">
        <v>25</v>
      </c>
    </row>
    <row r="1437" spans="1:11" x14ac:dyDescent="0.2">
      <c r="A1437" t="s">
        <v>5353</v>
      </c>
      <c r="B1437" t="s">
        <v>5354</v>
      </c>
      <c r="C1437" t="s">
        <v>2738</v>
      </c>
      <c r="E1437" t="s">
        <v>5355</v>
      </c>
      <c r="F1437" s="2">
        <v>525016407</v>
      </c>
      <c r="G1437" s="2">
        <v>133915274</v>
      </c>
      <c r="H1437" t="s">
        <v>38</v>
      </c>
      <c r="I1437" t="s">
        <v>17</v>
      </c>
      <c r="J1437" t="s">
        <v>25</v>
      </c>
    </row>
    <row r="1438" spans="1:11" x14ac:dyDescent="0.2">
      <c r="A1438" t="s">
        <v>5356</v>
      </c>
      <c r="B1438" t="s">
        <v>5357</v>
      </c>
      <c r="F1438" s="2">
        <v>525064646</v>
      </c>
      <c r="G1438" s="2">
        <v>134700069</v>
      </c>
      <c r="H1438" t="s">
        <v>28</v>
      </c>
      <c r="I1438" t="s">
        <v>17</v>
      </c>
      <c r="J1438" t="s">
        <v>25</v>
      </c>
    </row>
    <row r="1439" spans="1:11" x14ac:dyDescent="0.2">
      <c r="A1439" t="s">
        <v>5358</v>
      </c>
      <c r="B1439" t="s">
        <v>5359</v>
      </c>
      <c r="C1439" t="s">
        <v>5360</v>
      </c>
      <c r="D1439" t="s">
        <v>206</v>
      </c>
      <c r="E1439" t="s">
        <v>5361</v>
      </c>
      <c r="F1439" s="2">
        <v>524727451</v>
      </c>
      <c r="G1439" s="2">
        <v>133291806</v>
      </c>
      <c r="H1439" t="s">
        <v>51</v>
      </c>
      <c r="I1439" t="s">
        <v>17</v>
      </c>
      <c r="J1439" t="s">
        <v>25</v>
      </c>
      <c r="K1439" t="s">
        <v>5362</v>
      </c>
    </row>
    <row r="1440" spans="1:11" x14ac:dyDescent="0.2">
      <c r="A1440" t="s">
        <v>5363</v>
      </c>
      <c r="B1440" t="s">
        <v>5364</v>
      </c>
      <c r="C1440" t="s">
        <v>5365</v>
      </c>
      <c r="D1440" t="s">
        <v>5366</v>
      </c>
      <c r="E1440" t="s">
        <v>5367</v>
      </c>
      <c r="F1440" s="2">
        <v>525245121</v>
      </c>
      <c r="G1440" s="2">
        <v>133953134</v>
      </c>
      <c r="H1440" t="s">
        <v>51</v>
      </c>
      <c r="I1440" t="s">
        <v>17</v>
      </c>
      <c r="J1440" t="s">
        <v>25</v>
      </c>
      <c r="K1440" t="s">
        <v>5368</v>
      </c>
    </row>
    <row r="1441" spans="1:11" x14ac:dyDescent="0.2">
      <c r="A1441" t="s">
        <v>5369</v>
      </c>
      <c r="B1441" t="s">
        <v>5370</v>
      </c>
      <c r="C1441" t="s">
        <v>5371</v>
      </c>
      <c r="D1441" t="s">
        <v>5372</v>
      </c>
      <c r="E1441" t="s">
        <v>5373</v>
      </c>
      <c r="F1441" s="2">
        <v>52523965</v>
      </c>
      <c r="G1441" s="2">
        <v>133974459</v>
      </c>
      <c r="H1441" t="s">
        <v>51</v>
      </c>
      <c r="I1441" t="s">
        <v>17</v>
      </c>
      <c r="J1441" t="s">
        <v>25</v>
      </c>
      <c r="K1441" t="s">
        <v>5374</v>
      </c>
    </row>
    <row r="1442" spans="1:11" x14ac:dyDescent="0.2">
      <c r="A1442" t="s">
        <v>5375</v>
      </c>
      <c r="B1442" t="s">
        <v>5376</v>
      </c>
      <c r="F1442" s="2">
        <v>525253125</v>
      </c>
      <c r="G1442" s="2">
        <v>13398383</v>
      </c>
      <c r="H1442" t="s">
        <v>28</v>
      </c>
      <c r="I1442" t="s">
        <v>17</v>
      </c>
      <c r="J1442" t="s">
        <v>25</v>
      </c>
    </row>
    <row r="1443" spans="1:11" x14ac:dyDescent="0.2">
      <c r="A1443" t="s">
        <v>5377</v>
      </c>
      <c r="B1443" t="s">
        <v>5378</v>
      </c>
      <c r="C1443" t="s">
        <v>5379</v>
      </c>
      <c r="D1443" t="s">
        <v>5380</v>
      </c>
      <c r="F1443" s="2">
        <v>5252665</v>
      </c>
      <c r="G1443" s="2">
        <v>133985154</v>
      </c>
      <c r="H1443" t="s">
        <v>16</v>
      </c>
      <c r="I1443" t="s">
        <v>17</v>
      </c>
      <c r="J1443" t="s">
        <v>25</v>
      </c>
    </row>
    <row r="1444" spans="1:11" x14ac:dyDescent="0.2">
      <c r="A1444" t="s">
        <v>5381</v>
      </c>
      <c r="B1444" t="s">
        <v>5382</v>
      </c>
      <c r="F1444" s="2">
        <v>525270962</v>
      </c>
      <c r="G1444" s="2">
        <v>133983394</v>
      </c>
      <c r="H1444" t="s">
        <v>28</v>
      </c>
      <c r="I1444" t="s">
        <v>17</v>
      </c>
      <c r="J1444" t="s">
        <v>25</v>
      </c>
    </row>
    <row r="1445" spans="1:11" x14ac:dyDescent="0.2">
      <c r="A1445" t="s">
        <v>5383</v>
      </c>
      <c r="B1445" t="s">
        <v>5384</v>
      </c>
      <c r="C1445" t="s">
        <v>5385</v>
      </c>
      <c r="D1445" t="s">
        <v>5386</v>
      </c>
      <c r="F1445" s="2">
        <v>525235794</v>
      </c>
      <c r="G1445" s="2">
        <v>13399975</v>
      </c>
      <c r="H1445" t="s">
        <v>16</v>
      </c>
      <c r="I1445" t="s">
        <v>17</v>
      </c>
      <c r="J1445" t="s">
        <v>25</v>
      </c>
    </row>
    <row r="1446" spans="1:11" x14ac:dyDescent="0.2">
      <c r="A1446" t="s">
        <v>5387</v>
      </c>
      <c r="B1446" t="s">
        <v>5388</v>
      </c>
      <c r="E1446" t="s">
        <v>5389</v>
      </c>
      <c r="F1446" s="2">
        <v>525237141</v>
      </c>
      <c r="G1446" s="2">
        <v>134004769</v>
      </c>
      <c r="H1446" t="s">
        <v>34</v>
      </c>
      <c r="I1446" t="s">
        <v>17</v>
      </c>
      <c r="J1446" t="s">
        <v>25</v>
      </c>
    </row>
    <row r="1447" spans="1:11" x14ac:dyDescent="0.2">
      <c r="A1447" t="s">
        <v>5390</v>
      </c>
      <c r="B1447" t="s">
        <v>5391</v>
      </c>
      <c r="C1447" t="s">
        <v>5392</v>
      </c>
      <c r="E1447" t="s">
        <v>5393</v>
      </c>
      <c r="F1447" s="2">
        <v>524579728</v>
      </c>
      <c r="G1447" s="2">
        <v>133289151</v>
      </c>
      <c r="H1447" t="s">
        <v>38</v>
      </c>
      <c r="I1447" t="s">
        <v>17</v>
      </c>
      <c r="J1447" t="s">
        <v>25</v>
      </c>
    </row>
    <row r="1448" spans="1:11" x14ac:dyDescent="0.2">
      <c r="A1448" t="s">
        <v>5394</v>
      </c>
      <c r="B1448" t="s">
        <v>5395</v>
      </c>
      <c r="F1448" s="2">
        <v>525107534</v>
      </c>
      <c r="G1448" s="2">
        <v>134578148</v>
      </c>
      <c r="H1448" t="s">
        <v>28</v>
      </c>
      <c r="I1448" t="s">
        <v>17</v>
      </c>
      <c r="J1448" t="s">
        <v>25</v>
      </c>
    </row>
    <row r="1449" spans="1:11" x14ac:dyDescent="0.2">
      <c r="A1449" t="s">
        <v>5396</v>
      </c>
      <c r="B1449" t="s">
        <v>5397</v>
      </c>
      <c r="E1449" t="s">
        <v>5398</v>
      </c>
      <c r="F1449" s="2">
        <v>525317845</v>
      </c>
      <c r="G1449" s="2">
        <v>134345626</v>
      </c>
      <c r="H1449" t="s">
        <v>34</v>
      </c>
      <c r="I1449" t="s">
        <v>17</v>
      </c>
      <c r="J1449" t="s">
        <v>25</v>
      </c>
    </row>
    <row r="1450" spans="1:11" x14ac:dyDescent="0.2">
      <c r="A1450" t="s">
        <v>5399</v>
      </c>
      <c r="B1450" t="s">
        <v>5400</v>
      </c>
      <c r="C1450" t="s">
        <v>5401</v>
      </c>
      <c r="E1450" t="s">
        <v>5402</v>
      </c>
      <c r="F1450" s="2">
        <v>524978469</v>
      </c>
      <c r="G1450" s="2">
        <v>134136886</v>
      </c>
      <c r="H1450" t="s">
        <v>38</v>
      </c>
      <c r="I1450" t="s">
        <v>17</v>
      </c>
      <c r="J1450" t="s">
        <v>25</v>
      </c>
    </row>
    <row r="1451" spans="1:11" x14ac:dyDescent="0.2">
      <c r="A1451" t="s">
        <v>5403</v>
      </c>
      <c r="B1451" t="s">
        <v>5404</v>
      </c>
      <c r="C1451" t="s">
        <v>5405</v>
      </c>
      <c r="E1451" t="s">
        <v>5406</v>
      </c>
      <c r="F1451" s="2">
        <v>524649341</v>
      </c>
      <c r="G1451" s="2">
        <v>133858321</v>
      </c>
      <c r="H1451" t="s">
        <v>38</v>
      </c>
      <c r="I1451" t="s">
        <v>17</v>
      </c>
      <c r="J1451" t="s">
        <v>25</v>
      </c>
    </row>
    <row r="1452" spans="1:11" x14ac:dyDescent="0.2">
      <c r="A1452" t="s">
        <v>5407</v>
      </c>
      <c r="B1452" t="s">
        <v>5408</v>
      </c>
      <c r="C1452" t="s">
        <v>5409</v>
      </c>
      <c r="E1452" t="s">
        <v>5410</v>
      </c>
      <c r="F1452" s="2">
        <v>525245971</v>
      </c>
      <c r="G1452" s="2">
        <v>133271578</v>
      </c>
      <c r="H1452" t="s">
        <v>38</v>
      </c>
      <c r="I1452" t="s">
        <v>17</v>
      </c>
      <c r="J1452" t="s">
        <v>25</v>
      </c>
    </row>
    <row r="1453" spans="1:11" x14ac:dyDescent="0.2">
      <c r="A1453" t="s">
        <v>5411</v>
      </c>
      <c r="B1453" t="s">
        <v>5412</v>
      </c>
      <c r="C1453" t="s">
        <v>5413</v>
      </c>
      <c r="E1453" t="s">
        <v>5414</v>
      </c>
      <c r="F1453" s="2">
        <v>52496819</v>
      </c>
      <c r="G1453" s="2">
        <v>133513647</v>
      </c>
      <c r="H1453" t="s">
        <v>38</v>
      </c>
      <c r="I1453" t="s">
        <v>17</v>
      </c>
      <c r="J1453" t="s">
        <v>25</v>
      </c>
    </row>
    <row r="1454" spans="1:11" x14ac:dyDescent="0.2">
      <c r="A1454" t="s">
        <v>5415</v>
      </c>
      <c r="B1454" t="s">
        <v>5416</v>
      </c>
      <c r="F1454" s="2">
        <v>524939638</v>
      </c>
      <c r="G1454" s="2">
        <v>133539977</v>
      </c>
      <c r="H1454" t="s">
        <v>28</v>
      </c>
      <c r="I1454" t="s">
        <v>17</v>
      </c>
      <c r="J1454" t="s">
        <v>25</v>
      </c>
    </row>
    <row r="1455" spans="1:11" x14ac:dyDescent="0.2">
      <c r="A1455" t="s">
        <v>5417</v>
      </c>
      <c r="B1455" t="s">
        <v>5418</v>
      </c>
      <c r="C1455" t="s">
        <v>5419</v>
      </c>
      <c r="D1455" t="s">
        <v>5420</v>
      </c>
      <c r="E1455" t="s">
        <v>5421</v>
      </c>
      <c r="F1455" s="2">
        <v>524848294</v>
      </c>
      <c r="G1455" s="2">
        <v>133600402</v>
      </c>
      <c r="H1455" t="s">
        <v>51</v>
      </c>
      <c r="I1455" t="s">
        <v>17</v>
      </c>
      <c r="J1455" t="s">
        <v>25</v>
      </c>
      <c r="K1455" t="s">
        <v>5422</v>
      </c>
    </row>
    <row r="1456" spans="1:11" x14ac:dyDescent="0.2">
      <c r="A1456" t="s">
        <v>5423</v>
      </c>
      <c r="B1456" t="s">
        <v>5424</v>
      </c>
      <c r="C1456" t="s">
        <v>5425</v>
      </c>
      <c r="D1456" t="s">
        <v>5426</v>
      </c>
      <c r="E1456" t="s">
        <v>5427</v>
      </c>
      <c r="F1456" s="2">
        <v>525322771</v>
      </c>
      <c r="G1456" s="2">
        <v>133407403</v>
      </c>
      <c r="H1456" t="s">
        <v>304</v>
      </c>
      <c r="I1456" t="s">
        <v>17</v>
      </c>
      <c r="J1456" t="s">
        <v>25</v>
      </c>
      <c r="K1456" t="s">
        <v>5428</v>
      </c>
    </row>
    <row r="1457" spans="1:11" x14ac:dyDescent="0.2">
      <c r="A1457" t="s">
        <v>5429</v>
      </c>
      <c r="F1457" s="2">
        <v>525178327</v>
      </c>
      <c r="G1457" s="2">
        <v>132806206</v>
      </c>
      <c r="H1457" t="s">
        <v>28</v>
      </c>
      <c r="I1457" t="s">
        <v>17</v>
      </c>
      <c r="J1457" t="s">
        <v>25</v>
      </c>
    </row>
    <row r="1458" spans="1:11" x14ac:dyDescent="0.2">
      <c r="A1458" t="s">
        <v>5430</v>
      </c>
      <c r="F1458" s="2">
        <v>525217621</v>
      </c>
      <c r="G1458" s="2">
        <v>132645675</v>
      </c>
      <c r="H1458" t="s">
        <v>28</v>
      </c>
      <c r="I1458" t="s">
        <v>17</v>
      </c>
      <c r="J1458" t="s">
        <v>25</v>
      </c>
    </row>
    <row r="1459" spans="1:11" x14ac:dyDescent="0.2">
      <c r="A1459" t="s">
        <v>5431</v>
      </c>
      <c r="B1459" t="s">
        <v>5432</v>
      </c>
      <c r="C1459" t="s">
        <v>5433</v>
      </c>
      <c r="E1459" t="s">
        <v>5434</v>
      </c>
      <c r="F1459" s="2">
        <v>524998433</v>
      </c>
      <c r="G1459" s="2">
        <v>133146527</v>
      </c>
      <c r="H1459" t="s">
        <v>38</v>
      </c>
      <c r="I1459" t="s">
        <v>17</v>
      </c>
      <c r="J1459" t="s">
        <v>25</v>
      </c>
    </row>
    <row r="1460" spans="1:11" x14ac:dyDescent="0.2">
      <c r="A1460" t="s">
        <v>5435</v>
      </c>
      <c r="B1460" t="s">
        <v>5436</v>
      </c>
      <c r="F1460" s="2">
        <v>524999022</v>
      </c>
      <c r="G1460" s="2">
        <v>133140264</v>
      </c>
      <c r="H1460" t="s">
        <v>28</v>
      </c>
      <c r="I1460" t="s">
        <v>17</v>
      </c>
      <c r="J1460" t="s">
        <v>25</v>
      </c>
    </row>
    <row r="1461" spans="1:11" x14ac:dyDescent="0.2">
      <c r="A1461" t="s">
        <v>5437</v>
      </c>
      <c r="B1461" t="s">
        <v>5438</v>
      </c>
      <c r="C1461" t="s">
        <v>5439</v>
      </c>
      <c r="D1461" t="s">
        <v>5440</v>
      </c>
      <c r="E1461" t="s">
        <v>5441</v>
      </c>
      <c r="F1461" s="2">
        <v>525000577</v>
      </c>
      <c r="G1461" s="2">
        <v>133134952</v>
      </c>
      <c r="H1461" t="s">
        <v>51</v>
      </c>
      <c r="I1461" t="s">
        <v>17</v>
      </c>
      <c r="J1461" t="s">
        <v>25</v>
      </c>
      <c r="K1461" t="s">
        <v>5442</v>
      </c>
    </row>
    <row r="1462" spans="1:11" x14ac:dyDescent="0.2">
      <c r="A1462" t="s">
        <v>5443</v>
      </c>
      <c r="B1462" t="s">
        <v>5444</v>
      </c>
      <c r="F1462" s="2">
        <v>524998259</v>
      </c>
      <c r="G1462" s="2">
        <v>133193837</v>
      </c>
      <c r="H1462" t="s">
        <v>28</v>
      </c>
      <c r="I1462" t="s">
        <v>17</v>
      </c>
      <c r="J1462" t="s">
        <v>25</v>
      </c>
    </row>
    <row r="1463" spans="1:11" x14ac:dyDescent="0.2">
      <c r="A1463" t="s">
        <v>5445</v>
      </c>
      <c r="B1463" t="s">
        <v>5446</v>
      </c>
      <c r="C1463" t="s">
        <v>5447</v>
      </c>
      <c r="D1463" t="s">
        <v>5448</v>
      </c>
      <c r="E1463" t="s">
        <v>5449</v>
      </c>
      <c r="F1463" s="2">
        <v>525009724</v>
      </c>
      <c r="G1463" s="2">
        <v>133214132</v>
      </c>
      <c r="H1463" t="s">
        <v>51</v>
      </c>
      <c r="I1463" t="s">
        <v>17</v>
      </c>
      <c r="J1463" t="s">
        <v>25</v>
      </c>
      <c r="K1463" t="s">
        <v>5450</v>
      </c>
    </row>
    <row r="1464" spans="1:11" x14ac:dyDescent="0.2">
      <c r="A1464" t="s">
        <v>5451</v>
      </c>
      <c r="B1464" t="s">
        <v>5452</v>
      </c>
      <c r="C1464" t="s">
        <v>5453</v>
      </c>
      <c r="D1464" t="s">
        <v>5454</v>
      </c>
      <c r="E1464">
        <v>493088682800</v>
      </c>
      <c r="F1464" s="2">
        <v>525020713</v>
      </c>
      <c r="G1464" s="2">
        <v>133254262</v>
      </c>
      <c r="H1464" t="s">
        <v>24</v>
      </c>
      <c r="I1464" t="s">
        <v>17</v>
      </c>
      <c r="J1464" t="s">
        <v>25</v>
      </c>
    </row>
    <row r="1465" spans="1:11" x14ac:dyDescent="0.2">
      <c r="A1465" t="s">
        <v>5455</v>
      </c>
      <c r="B1465" t="s">
        <v>5452</v>
      </c>
      <c r="C1465" t="s">
        <v>5456</v>
      </c>
      <c r="D1465" t="s">
        <v>5457</v>
      </c>
      <c r="E1465" t="s">
        <v>5458</v>
      </c>
      <c r="F1465" s="2">
        <v>525018416</v>
      </c>
      <c r="G1465" s="2">
        <v>133253324</v>
      </c>
      <c r="H1465" t="s">
        <v>24</v>
      </c>
      <c r="I1465" t="s">
        <v>17</v>
      </c>
      <c r="J1465" t="s">
        <v>25</v>
      </c>
    </row>
    <row r="1466" spans="1:11" x14ac:dyDescent="0.2">
      <c r="A1466" t="s">
        <v>5459</v>
      </c>
      <c r="B1466" t="s">
        <v>5460</v>
      </c>
      <c r="C1466" t="s">
        <v>5461</v>
      </c>
      <c r="F1466" s="2">
        <v>52540161</v>
      </c>
      <c r="G1466" s="2">
        <v>13405964</v>
      </c>
      <c r="H1466" t="s">
        <v>255</v>
      </c>
      <c r="I1466" t="s">
        <v>17</v>
      </c>
      <c r="J1466" t="s">
        <v>25</v>
      </c>
    </row>
    <row r="1467" spans="1:11" x14ac:dyDescent="0.2">
      <c r="A1467" t="s">
        <v>5462</v>
      </c>
      <c r="F1467" s="2">
        <v>525025934</v>
      </c>
      <c r="G1467" s="2">
        <v>133281741</v>
      </c>
      <c r="H1467" t="s">
        <v>28</v>
      </c>
      <c r="I1467" t="s">
        <v>17</v>
      </c>
      <c r="J1467" t="s">
        <v>25</v>
      </c>
    </row>
    <row r="1468" spans="1:11" x14ac:dyDescent="0.2">
      <c r="A1468" t="s">
        <v>5463</v>
      </c>
      <c r="B1468" t="s">
        <v>5464</v>
      </c>
      <c r="C1468" t="s">
        <v>5465</v>
      </c>
      <c r="D1468" t="s">
        <v>5466</v>
      </c>
      <c r="E1468" t="s">
        <v>5467</v>
      </c>
      <c r="F1468" s="2">
        <v>525012284</v>
      </c>
      <c r="G1468" s="2">
        <v>133287328</v>
      </c>
      <c r="H1468" t="s">
        <v>51</v>
      </c>
      <c r="I1468" t="s">
        <v>17</v>
      </c>
      <c r="J1468" t="s">
        <v>25</v>
      </c>
      <c r="K1468" t="s">
        <v>5468</v>
      </c>
    </row>
    <row r="1469" spans="1:11" x14ac:dyDescent="0.2">
      <c r="A1469" t="s">
        <v>5469</v>
      </c>
      <c r="B1469" t="s">
        <v>5470</v>
      </c>
      <c r="C1469" t="s">
        <v>5471</v>
      </c>
      <c r="D1469" t="s">
        <v>5472</v>
      </c>
      <c r="E1469" t="s">
        <v>5473</v>
      </c>
      <c r="F1469" s="2">
        <v>525020658</v>
      </c>
      <c r="G1469" s="2">
        <v>13328875</v>
      </c>
      <c r="H1469" t="s">
        <v>24</v>
      </c>
      <c r="I1469" t="s">
        <v>17</v>
      </c>
      <c r="J1469" t="s">
        <v>25</v>
      </c>
    </row>
    <row r="1470" spans="1:11" x14ac:dyDescent="0.2">
      <c r="A1470" t="s">
        <v>5474</v>
      </c>
      <c r="B1470" t="s">
        <v>5475</v>
      </c>
      <c r="C1470" t="s">
        <v>5476</v>
      </c>
      <c r="E1470" t="s">
        <v>5477</v>
      </c>
      <c r="F1470" s="2">
        <v>525028689</v>
      </c>
      <c r="G1470" s="2">
        <v>133307134</v>
      </c>
      <c r="H1470" t="s">
        <v>38</v>
      </c>
      <c r="I1470" t="s">
        <v>17</v>
      </c>
      <c r="J1470" t="s">
        <v>25</v>
      </c>
    </row>
    <row r="1471" spans="1:11" x14ac:dyDescent="0.2">
      <c r="A1471" t="s">
        <v>5478</v>
      </c>
      <c r="B1471" t="s">
        <v>5479</v>
      </c>
      <c r="C1471" t="s">
        <v>5480</v>
      </c>
      <c r="D1471" t="s">
        <v>5481</v>
      </c>
      <c r="E1471" t="s">
        <v>5482</v>
      </c>
      <c r="F1471" s="2">
        <v>525390061</v>
      </c>
      <c r="G1471" s="2">
        <v>134090528</v>
      </c>
      <c r="H1471" t="s">
        <v>24</v>
      </c>
      <c r="I1471" t="s">
        <v>17</v>
      </c>
      <c r="J1471" t="s">
        <v>25</v>
      </c>
    </row>
    <row r="1472" spans="1:11" x14ac:dyDescent="0.2">
      <c r="A1472" t="s">
        <v>5483</v>
      </c>
      <c r="B1472" t="s">
        <v>5484</v>
      </c>
      <c r="C1472" t="s">
        <v>5485</v>
      </c>
      <c r="E1472" t="s">
        <v>5486</v>
      </c>
      <c r="F1472" s="2">
        <v>52535413</v>
      </c>
      <c r="G1472" s="2">
        <v>134230241</v>
      </c>
      <c r="H1472" t="s">
        <v>38</v>
      </c>
      <c r="I1472" t="s">
        <v>17</v>
      </c>
      <c r="J1472" t="s">
        <v>25</v>
      </c>
    </row>
    <row r="1473" spans="1:11" x14ac:dyDescent="0.2">
      <c r="A1473" t="s">
        <v>5487</v>
      </c>
      <c r="B1473" t="s">
        <v>5488</v>
      </c>
      <c r="C1473" t="s">
        <v>5489</v>
      </c>
      <c r="D1473" t="s">
        <v>5490</v>
      </c>
      <c r="E1473" t="s">
        <v>5491</v>
      </c>
      <c r="F1473" s="2">
        <v>526552764</v>
      </c>
      <c r="G1473" s="2">
        <v>132839508</v>
      </c>
      <c r="H1473" t="s">
        <v>51</v>
      </c>
      <c r="I1473" t="s">
        <v>17</v>
      </c>
      <c r="J1473" t="s">
        <v>25</v>
      </c>
      <c r="K1473" t="s">
        <v>5492</v>
      </c>
    </row>
    <row r="1474" spans="1:11" x14ac:dyDescent="0.2">
      <c r="A1474" t="s">
        <v>5493</v>
      </c>
      <c r="B1474" t="s">
        <v>5494</v>
      </c>
      <c r="C1474" t="s">
        <v>5495</v>
      </c>
      <c r="E1474">
        <v>49306412909</v>
      </c>
      <c r="F1474" s="2">
        <v>52448633</v>
      </c>
      <c r="G1474" s="2">
        <v>136241801</v>
      </c>
      <c r="H1474" t="s">
        <v>38</v>
      </c>
      <c r="I1474" t="s">
        <v>17</v>
      </c>
      <c r="J1474" t="s">
        <v>25</v>
      </c>
    </row>
    <row r="1475" spans="1:11" x14ac:dyDescent="0.2">
      <c r="A1475" t="s">
        <v>5496</v>
      </c>
      <c r="B1475" t="s">
        <v>5497</v>
      </c>
      <c r="C1475" t="s">
        <v>5498</v>
      </c>
      <c r="E1475" t="s">
        <v>5499</v>
      </c>
      <c r="F1475" s="2">
        <v>52505419</v>
      </c>
      <c r="G1475" s="2">
        <v>133198324</v>
      </c>
      <c r="H1475" t="s">
        <v>277</v>
      </c>
      <c r="I1475" t="s">
        <v>17</v>
      </c>
      <c r="J1475" t="s">
        <v>25</v>
      </c>
      <c r="K1475" t="s">
        <v>5500</v>
      </c>
    </row>
    <row r="1476" spans="1:11" x14ac:dyDescent="0.2">
      <c r="A1476" t="s">
        <v>5501</v>
      </c>
      <c r="B1476" t="s">
        <v>5502</v>
      </c>
      <c r="C1476" t="s">
        <v>5503</v>
      </c>
      <c r="D1476" t="s">
        <v>5504</v>
      </c>
      <c r="E1476" t="s">
        <v>5505</v>
      </c>
      <c r="F1476" s="2">
        <v>524987518</v>
      </c>
      <c r="G1476" s="2">
        <v>134427463</v>
      </c>
      <c r="H1476" t="s">
        <v>51</v>
      </c>
      <c r="I1476" t="s">
        <v>17</v>
      </c>
      <c r="J1476" t="s">
        <v>25</v>
      </c>
      <c r="K1476" t="s">
        <v>640</v>
      </c>
    </row>
    <row r="1477" spans="1:11" x14ac:dyDescent="0.2">
      <c r="A1477" t="s">
        <v>5506</v>
      </c>
      <c r="B1477" t="s">
        <v>5507</v>
      </c>
      <c r="E1477" t="s">
        <v>5508</v>
      </c>
      <c r="F1477" s="2">
        <v>525223779</v>
      </c>
      <c r="G1477" s="2">
        <v>133244337</v>
      </c>
      <c r="H1477" t="s">
        <v>34</v>
      </c>
      <c r="I1477" t="s">
        <v>17</v>
      </c>
      <c r="J1477" t="s">
        <v>25</v>
      </c>
    </row>
    <row r="1478" spans="1:11" x14ac:dyDescent="0.2">
      <c r="A1478" t="s">
        <v>5509</v>
      </c>
      <c r="B1478" t="s">
        <v>5510</v>
      </c>
      <c r="F1478" s="2">
        <v>52497705</v>
      </c>
      <c r="G1478" s="2">
        <v>133246154</v>
      </c>
      <c r="H1478" t="s">
        <v>28</v>
      </c>
      <c r="I1478" t="s">
        <v>17</v>
      </c>
      <c r="J1478" t="s">
        <v>25</v>
      </c>
    </row>
    <row r="1479" spans="1:11" x14ac:dyDescent="0.2">
      <c r="A1479" t="s">
        <v>5511</v>
      </c>
      <c r="B1479" t="s">
        <v>5512</v>
      </c>
      <c r="C1479" t="s">
        <v>5513</v>
      </c>
      <c r="D1479" t="s">
        <v>5514</v>
      </c>
      <c r="E1479" t="s">
        <v>5515</v>
      </c>
      <c r="F1479" s="2">
        <v>524976211</v>
      </c>
      <c r="G1479" s="2">
        <v>133245965</v>
      </c>
      <c r="H1479" t="s">
        <v>24</v>
      </c>
      <c r="I1479" t="s">
        <v>17</v>
      </c>
      <c r="J1479" t="s">
        <v>25</v>
      </c>
    </row>
    <row r="1480" spans="1:11" x14ac:dyDescent="0.2">
      <c r="A1480" t="s">
        <v>5516</v>
      </c>
      <c r="B1480" t="s">
        <v>5517</v>
      </c>
      <c r="C1480" t="s">
        <v>5518</v>
      </c>
      <c r="F1480" s="2">
        <v>524985931</v>
      </c>
      <c r="G1480" s="2">
        <v>133248226</v>
      </c>
      <c r="H1480" t="s">
        <v>277</v>
      </c>
      <c r="I1480" t="s">
        <v>17</v>
      </c>
      <c r="J1480" t="s">
        <v>25</v>
      </c>
      <c r="K1480" t="s">
        <v>5519</v>
      </c>
    </row>
    <row r="1481" spans="1:11" x14ac:dyDescent="0.2">
      <c r="A1481" t="s">
        <v>5520</v>
      </c>
      <c r="B1481" t="s">
        <v>5521</v>
      </c>
      <c r="C1481" t="s">
        <v>5522</v>
      </c>
      <c r="D1481" t="s">
        <v>5523</v>
      </c>
      <c r="E1481" t="s">
        <v>5524</v>
      </c>
      <c r="F1481" s="2">
        <v>525085069</v>
      </c>
      <c r="G1481" s="2">
        <v>134526828</v>
      </c>
      <c r="H1481" t="s">
        <v>24</v>
      </c>
      <c r="I1481" t="s">
        <v>17</v>
      </c>
      <c r="J1481" t="s">
        <v>25</v>
      </c>
    </row>
    <row r="1482" spans="1:11" x14ac:dyDescent="0.2">
      <c r="A1482" t="s">
        <v>5525</v>
      </c>
      <c r="B1482" t="s">
        <v>5526</v>
      </c>
      <c r="C1482" t="s">
        <v>5527</v>
      </c>
      <c r="F1482" s="2">
        <v>524963261</v>
      </c>
      <c r="G1482" s="2">
        <v>1332252</v>
      </c>
      <c r="H1482" t="s">
        <v>255</v>
      </c>
      <c r="I1482" t="s">
        <v>17</v>
      </c>
      <c r="J1482" t="s">
        <v>25</v>
      </c>
    </row>
    <row r="1483" spans="1:11" x14ac:dyDescent="0.2">
      <c r="A1483" t="s">
        <v>5528</v>
      </c>
      <c r="B1483" t="s">
        <v>5529</v>
      </c>
      <c r="C1483" t="s">
        <v>5530</v>
      </c>
      <c r="E1483" t="s">
        <v>5531</v>
      </c>
      <c r="F1483" s="2">
        <v>524988296</v>
      </c>
      <c r="G1483" s="2">
        <v>133230369</v>
      </c>
      <c r="H1483" t="s">
        <v>38</v>
      </c>
      <c r="I1483" t="s">
        <v>17</v>
      </c>
      <c r="J1483" t="s">
        <v>25</v>
      </c>
    </row>
    <row r="1484" spans="1:11" x14ac:dyDescent="0.2">
      <c r="A1484" t="s">
        <v>5532</v>
      </c>
      <c r="B1484" t="s">
        <v>5533</v>
      </c>
      <c r="C1484" t="s">
        <v>5534</v>
      </c>
      <c r="E1484" t="s">
        <v>5535</v>
      </c>
      <c r="F1484" s="2">
        <v>524977165</v>
      </c>
      <c r="G1484" s="2">
        <v>133198601</v>
      </c>
      <c r="H1484" t="s">
        <v>277</v>
      </c>
      <c r="I1484" t="s">
        <v>17</v>
      </c>
      <c r="J1484" t="s">
        <v>25</v>
      </c>
      <c r="K1484" t="s">
        <v>5536</v>
      </c>
    </row>
    <row r="1485" spans="1:11" x14ac:dyDescent="0.2">
      <c r="A1485" t="s">
        <v>5537</v>
      </c>
      <c r="C1485" t="s">
        <v>5538</v>
      </c>
      <c r="F1485" s="2">
        <v>524972923</v>
      </c>
      <c r="G1485" s="2">
        <v>133203817</v>
      </c>
      <c r="H1485" t="s">
        <v>255</v>
      </c>
      <c r="I1485" t="s">
        <v>17</v>
      </c>
      <c r="J1485" t="s">
        <v>25</v>
      </c>
    </row>
    <row r="1486" spans="1:11" x14ac:dyDescent="0.2">
      <c r="A1486" t="s">
        <v>5539</v>
      </c>
      <c r="B1486" t="s">
        <v>5540</v>
      </c>
      <c r="F1486" s="2">
        <v>524979823</v>
      </c>
      <c r="G1486" s="2">
        <v>13318873</v>
      </c>
      <c r="H1486" t="s">
        <v>28</v>
      </c>
      <c r="I1486" t="s">
        <v>17</v>
      </c>
      <c r="J1486" t="s">
        <v>25</v>
      </c>
    </row>
    <row r="1487" spans="1:11" x14ac:dyDescent="0.2">
      <c r="A1487" t="s">
        <v>5541</v>
      </c>
      <c r="B1487" t="s">
        <v>5542</v>
      </c>
      <c r="F1487" s="2">
        <v>524982146</v>
      </c>
      <c r="G1487" s="2">
        <v>1331917</v>
      </c>
      <c r="H1487" t="s">
        <v>28</v>
      </c>
      <c r="I1487" t="s">
        <v>17</v>
      </c>
      <c r="J1487" t="s">
        <v>25</v>
      </c>
    </row>
    <row r="1488" spans="1:11" x14ac:dyDescent="0.2">
      <c r="A1488" t="s">
        <v>5543</v>
      </c>
      <c r="B1488" t="s">
        <v>5544</v>
      </c>
      <c r="C1488" t="s">
        <v>5545</v>
      </c>
      <c r="D1488" t="s">
        <v>5546</v>
      </c>
      <c r="E1488" t="s">
        <v>5547</v>
      </c>
      <c r="F1488" s="2">
        <v>524979519</v>
      </c>
      <c r="G1488" s="2">
        <v>133224449</v>
      </c>
      <c r="H1488" t="s">
        <v>24</v>
      </c>
      <c r="I1488" t="s">
        <v>17</v>
      </c>
      <c r="J1488" t="s">
        <v>25</v>
      </c>
    </row>
    <row r="1489" spans="1:11" x14ac:dyDescent="0.2">
      <c r="A1489" t="s">
        <v>5548</v>
      </c>
      <c r="B1489" t="s">
        <v>5549</v>
      </c>
      <c r="C1489" t="s">
        <v>5550</v>
      </c>
      <c r="E1489" t="s">
        <v>5551</v>
      </c>
      <c r="F1489" s="2">
        <v>525027778</v>
      </c>
      <c r="G1489" s="2">
        <v>134546413</v>
      </c>
      <c r="H1489" t="s">
        <v>277</v>
      </c>
      <c r="I1489" t="s">
        <v>17</v>
      </c>
      <c r="J1489" t="s">
        <v>25</v>
      </c>
      <c r="K1489" t="s">
        <v>5552</v>
      </c>
    </row>
    <row r="1490" spans="1:11" x14ac:dyDescent="0.2">
      <c r="A1490" t="s">
        <v>5553</v>
      </c>
      <c r="F1490" s="2">
        <v>524847785</v>
      </c>
      <c r="G1490" s="2">
        <v>134334249</v>
      </c>
      <c r="H1490" t="s">
        <v>28</v>
      </c>
      <c r="I1490" t="s">
        <v>17</v>
      </c>
      <c r="J1490" t="s">
        <v>25</v>
      </c>
    </row>
    <row r="1491" spans="1:11" x14ac:dyDescent="0.2">
      <c r="A1491" t="s">
        <v>5554</v>
      </c>
      <c r="B1491" t="s">
        <v>5555</v>
      </c>
      <c r="F1491" s="2">
        <v>525023512</v>
      </c>
      <c r="G1491" s="2">
        <v>133515495</v>
      </c>
      <c r="H1491" t="s">
        <v>28</v>
      </c>
      <c r="I1491" t="s">
        <v>17</v>
      </c>
      <c r="J1491" t="s">
        <v>25</v>
      </c>
    </row>
    <row r="1492" spans="1:11" x14ac:dyDescent="0.2">
      <c r="A1492" t="s">
        <v>5556</v>
      </c>
      <c r="B1492" t="s">
        <v>5557</v>
      </c>
      <c r="C1492" t="s">
        <v>5558</v>
      </c>
      <c r="E1492" t="s">
        <v>5559</v>
      </c>
      <c r="F1492" s="2">
        <v>525023656</v>
      </c>
      <c r="G1492" s="2">
        <v>133511601</v>
      </c>
      <c r="H1492" t="s">
        <v>38</v>
      </c>
      <c r="I1492" t="s">
        <v>17</v>
      </c>
      <c r="J1492" t="s">
        <v>25</v>
      </c>
    </row>
    <row r="1493" spans="1:11" x14ac:dyDescent="0.2">
      <c r="A1493" t="s">
        <v>5560</v>
      </c>
      <c r="B1493" t="s">
        <v>5561</v>
      </c>
      <c r="C1493" t="s">
        <v>5562</v>
      </c>
      <c r="E1493">
        <v>493054771251</v>
      </c>
      <c r="F1493" s="2">
        <v>524980351</v>
      </c>
      <c r="G1493" s="2">
        <v>133265985</v>
      </c>
      <c r="H1493" t="s">
        <v>38</v>
      </c>
      <c r="I1493" t="s">
        <v>17</v>
      </c>
      <c r="J1493" t="s">
        <v>25</v>
      </c>
    </row>
    <row r="1494" spans="1:11" x14ac:dyDescent="0.2">
      <c r="A1494" t="s">
        <v>5563</v>
      </c>
      <c r="B1494" t="s">
        <v>5564</v>
      </c>
      <c r="C1494" t="s">
        <v>5565</v>
      </c>
      <c r="D1494" t="s">
        <v>5566</v>
      </c>
      <c r="E1494" t="s">
        <v>5567</v>
      </c>
      <c r="F1494" s="2">
        <v>524980094</v>
      </c>
      <c r="G1494" s="2">
        <v>133239742</v>
      </c>
      <c r="H1494" t="s">
        <v>51</v>
      </c>
      <c r="I1494" t="s">
        <v>17</v>
      </c>
      <c r="J1494" t="s">
        <v>25</v>
      </c>
      <c r="K1494" t="s">
        <v>5568</v>
      </c>
    </row>
    <row r="1495" spans="1:11" x14ac:dyDescent="0.2">
      <c r="A1495" t="s">
        <v>5569</v>
      </c>
      <c r="B1495" t="s">
        <v>5570</v>
      </c>
      <c r="E1495">
        <v>493028640526</v>
      </c>
      <c r="F1495" s="2">
        <v>524961319</v>
      </c>
      <c r="G1495" s="2">
        <v>133279906</v>
      </c>
      <c r="H1495" t="s">
        <v>34</v>
      </c>
      <c r="I1495" t="s">
        <v>17</v>
      </c>
      <c r="J1495" t="s">
        <v>25</v>
      </c>
    </row>
    <row r="1496" spans="1:11" x14ac:dyDescent="0.2">
      <c r="A1496" t="s">
        <v>5571</v>
      </c>
      <c r="C1496" t="s">
        <v>5572</v>
      </c>
      <c r="D1496" t="s">
        <v>5573</v>
      </c>
      <c r="E1496" t="s">
        <v>5574</v>
      </c>
      <c r="F1496" s="2">
        <v>524974146</v>
      </c>
      <c r="G1496" s="2">
        <v>133230549</v>
      </c>
      <c r="H1496" t="s">
        <v>51</v>
      </c>
      <c r="I1496" t="s">
        <v>17</v>
      </c>
      <c r="J1496" t="s">
        <v>25</v>
      </c>
      <c r="K1496" t="s">
        <v>5575</v>
      </c>
    </row>
    <row r="1497" spans="1:11" x14ac:dyDescent="0.2">
      <c r="A1497" t="s">
        <v>5576</v>
      </c>
      <c r="B1497" t="s">
        <v>5577</v>
      </c>
      <c r="C1497" t="s">
        <v>5578</v>
      </c>
      <c r="E1497">
        <v>493088709888</v>
      </c>
      <c r="F1497" s="2">
        <v>524987712</v>
      </c>
      <c r="G1497" s="2">
        <v>133152308</v>
      </c>
      <c r="H1497" t="s">
        <v>38</v>
      </c>
      <c r="I1497" t="s">
        <v>17</v>
      </c>
      <c r="J1497" t="s">
        <v>25</v>
      </c>
    </row>
    <row r="1498" spans="1:11" x14ac:dyDescent="0.2">
      <c r="A1498" t="s">
        <v>5579</v>
      </c>
      <c r="B1498" t="s">
        <v>5580</v>
      </c>
      <c r="C1498" t="s">
        <v>5581</v>
      </c>
      <c r="E1498" t="s">
        <v>5582</v>
      </c>
      <c r="F1498" s="2">
        <v>525215775</v>
      </c>
      <c r="G1498" s="2">
        <v>133224168</v>
      </c>
      <c r="H1498" t="s">
        <v>38</v>
      </c>
      <c r="I1498" t="s">
        <v>17</v>
      </c>
      <c r="J1498" t="s">
        <v>25</v>
      </c>
    </row>
    <row r="1499" spans="1:11" x14ac:dyDescent="0.2">
      <c r="A1499" t="s">
        <v>5583</v>
      </c>
      <c r="B1499" t="s">
        <v>5584</v>
      </c>
      <c r="C1499" t="s">
        <v>5585</v>
      </c>
      <c r="D1499" t="s">
        <v>495</v>
      </c>
      <c r="E1499" t="s">
        <v>5586</v>
      </c>
      <c r="F1499" s="2">
        <v>524976965</v>
      </c>
      <c r="G1499" s="2">
        <v>133540872</v>
      </c>
      <c r="H1499" t="s">
        <v>51</v>
      </c>
      <c r="I1499" t="s">
        <v>17</v>
      </c>
      <c r="J1499" t="s">
        <v>25</v>
      </c>
      <c r="K1499" t="s">
        <v>497</v>
      </c>
    </row>
    <row r="1500" spans="1:11" x14ac:dyDescent="0.2">
      <c r="A1500" t="s">
        <v>5587</v>
      </c>
      <c r="B1500" t="s">
        <v>5588</v>
      </c>
      <c r="F1500" s="2">
        <v>524975684</v>
      </c>
      <c r="G1500" s="2">
        <v>133541236</v>
      </c>
      <c r="H1500" t="s">
        <v>28</v>
      </c>
      <c r="I1500" t="s">
        <v>17</v>
      </c>
      <c r="J1500" t="s">
        <v>25</v>
      </c>
    </row>
    <row r="1501" spans="1:11" x14ac:dyDescent="0.2">
      <c r="A1501" t="s">
        <v>5589</v>
      </c>
      <c r="B1501" t="s">
        <v>5590</v>
      </c>
      <c r="C1501" t="s">
        <v>5591</v>
      </c>
      <c r="E1501" t="s">
        <v>5592</v>
      </c>
      <c r="F1501" s="2">
        <v>524976828</v>
      </c>
      <c r="G1501" s="2">
        <v>13354659</v>
      </c>
      <c r="H1501" t="s">
        <v>277</v>
      </c>
      <c r="I1501" t="s">
        <v>17</v>
      </c>
      <c r="J1501" t="s">
        <v>25</v>
      </c>
      <c r="K1501" t="s">
        <v>5593</v>
      </c>
    </row>
    <row r="1502" spans="1:11" x14ac:dyDescent="0.2">
      <c r="A1502" t="s">
        <v>5594</v>
      </c>
      <c r="B1502" t="s">
        <v>5595</v>
      </c>
      <c r="C1502" t="s">
        <v>5596</v>
      </c>
      <c r="E1502" t="s">
        <v>5597</v>
      </c>
      <c r="F1502" s="2">
        <v>524993449</v>
      </c>
      <c r="G1502" s="2">
        <v>133456981</v>
      </c>
      <c r="H1502" t="s">
        <v>38</v>
      </c>
      <c r="I1502" t="s">
        <v>17</v>
      </c>
      <c r="J1502" t="s">
        <v>25</v>
      </c>
    </row>
    <row r="1503" spans="1:11" x14ac:dyDescent="0.2">
      <c r="A1503" t="s">
        <v>5598</v>
      </c>
      <c r="B1503" t="s">
        <v>5599</v>
      </c>
      <c r="F1503" s="2">
        <v>525008658</v>
      </c>
      <c r="G1503" s="2">
        <v>133540945</v>
      </c>
      <c r="H1503" t="s">
        <v>28</v>
      </c>
      <c r="I1503" t="s">
        <v>17</v>
      </c>
      <c r="J1503" t="s">
        <v>25</v>
      </c>
    </row>
    <row r="1504" spans="1:11" x14ac:dyDescent="0.2">
      <c r="A1504" t="s">
        <v>5600</v>
      </c>
      <c r="B1504" t="s">
        <v>5601</v>
      </c>
      <c r="C1504" t="s">
        <v>5602</v>
      </c>
      <c r="D1504" t="s">
        <v>5603</v>
      </c>
      <c r="E1504" t="s">
        <v>5604</v>
      </c>
      <c r="F1504" s="2">
        <v>524986857</v>
      </c>
      <c r="G1504" s="2">
        <v>133135046</v>
      </c>
      <c r="H1504" t="s">
        <v>51</v>
      </c>
      <c r="I1504" t="s">
        <v>17</v>
      </c>
      <c r="J1504" t="s">
        <v>25</v>
      </c>
      <c r="K1504" t="s">
        <v>5605</v>
      </c>
    </row>
    <row r="1505" spans="1:11" x14ac:dyDescent="0.2">
      <c r="A1505" t="s">
        <v>5606</v>
      </c>
      <c r="B1505" t="s">
        <v>5607</v>
      </c>
      <c r="C1505" t="s">
        <v>5608</v>
      </c>
      <c r="E1505">
        <v>493023947830</v>
      </c>
      <c r="F1505" s="2">
        <v>524961754</v>
      </c>
      <c r="G1505" s="2">
        <v>133276415</v>
      </c>
      <c r="H1505" t="s">
        <v>38</v>
      </c>
      <c r="I1505" t="s">
        <v>17</v>
      </c>
      <c r="J1505" t="s">
        <v>25</v>
      </c>
    </row>
    <row r="1506" spans="1:11" x14ac:dyDescent="0.2">
      <c r="A1506" t="s">
        <v>5609</v>
      </c>
      <c r="D1506" t="s">
        <v>5610</v>
      </c>
      <c r="E1506" t="s">
        <v>5611</v>
      </c>
      <c r="F1506" s="2">
        <v>524148233</v>
      </c>
      <c r="G1506" s="2">
        <v>131285401</v>
      </c>
      <c r="H1506" t="s">
        <v>1107</v>
      </c>
      <c r="I1506" t="s">
        <v>17</v>
      </c>
      <c r="J1506" t="s">
        <v>25</v>
      </c>
    </row>
    <row r="1507" spans="1:11" x14ac:dyDescent="0.2">
      <c r="A1507" t="s">
        <v>5612</v>
      </c>
      <c r="B1507" t="s">
        <v>5613</v>
      </c>
      <c r="C1507" t="s">
        <v>5614</v>
      </c>
      <c r="D1507" t="s">
        <v>5615</v>
      </c>
      <c r="E1507" t="s">
        <v>5616</v>
      </c>
      <c r="F1507" s="2">
        <v>525044585</v>
      </c>
      <c r="G1507" s="2">
        <v>133200732</v>
      </c>
      <c r="H1507" t="s">
        <v>24</v>
      </c>
      <c r="I1507" t="s">
        <v>17</v>
      </c>
      <c r="J1507" t="s">
        <v>25</v>
      </c>
    </row>
    <row r="1508" spans="1:11" x14ac:dyDescent="0.2">
      <c r="A1508" t="s">
        <v>5617</v>
      </c>
      <c r="B1508" t="s">
        <v>5618</v>
      </c>
      <c r="C1508" t="s">
        <v>5619</v>
      </c>
      <c r="D1508" t="s">
        <v>5620</v>
      </c>
      <c r="E1508" t="s">
        <v>5621</v>
      </c>
      <c r="F1508" s="2">
        <v>525042773</v>
      </c>
      <c r="G1508" s="2">
        <v>133200411</v>
      </c>
      <c r="H1508" t="s">
        <v>24</v>
      </c>
      <c r="I1508" t="s">
        <v>17</v>
      </c>
      <c r="J1508" t="s">
        <v>25</v>
      </c>
    </row>
    <row r="1509" spans="1:11" x14ac:dyDescent="0.2">
      <c r="A1509" t="s">
        <v>5622</v>
      </c>
      <c r="B1509" t="s">
        <v>5623</v>
      </c>
      <c r="C1509" t="s">
        <v>5624</v>
      </c>
      <c r="D1509" t="s">
        <v>5625</v>
      </c>
      <c r="E1509" t="s">
        <v>5626</v>
      </c>
      <c r="F1509" s="2">
        <v>525050601</v>
      </c>
      <c r="G1509" s="2">
        <v>133213147</v>
      </c>
      <c r="H1509" t="s">
        <v>51</v>
      </c>
      <c r="I1509" t="s">
        <v>17</v>
      </c>
      <c r="J1509" t="s">
        <v>25</v>
      </c>
      <c r="K1509" t="s">
        <v>5627</v>
      </c>
    </row>
    <row r="1510" spans="1:11" x14ac:dyDescent="0.2">
      <c r="A1510" t="s">
        <v>5628</v>
      </c>
      <c r="B1510" t="s">
        <v>5629</v>
      </c>
      <c r="F1510" s="2">
        <v>525031358</v>
      </c>
      <c r="G1510" s="2">
        <v>133222716</v>
      </c>
      <c r="H1510" t="s">
        <v>28</v>
      </c>
      <c r="I1510" t="s">
        <v>17</v>
      </c>
      <c r="J1510" t="s">
        <v>25</v>
      </c>
    </row>
    <row r="1511" spans="1:11" x14ac:dyDescent="0.2">
      <c r="A1511" t="s">
        <v>5630</v>
      </c>
      <c r="B1511" t="s">
        <v>5631</v>
      </c>
      <c r="F1511" s="2">
        <v>525040127</v>
      </c>
      <c r="G1511" s="2">
        <v>133218515</v>
      </c>
      <c r="H1511" t="s">
        <v>28</v>
      </c>
      <c r="I1511" t="s">
        <v>17</v>
      </c>
      <c r="J1511" t="s">
        <v>25</v>
      </c>
    </row>
    <row r="1512" spans="1:11" x14ac:dyDescent="0.2">
      <c r="A1512" t="s">
        <v>5632</v>
      </c>
      <c r="B1512" t="s">
        <v>5633</v>
      </c>
      <c r="F1512" s="2">
        <v>525099225</v>
      </c>
      <c r="G1512" s="2">
        <v>133010314</v>
      </c>
      <c r="H1512" t="s">
        <v>28</v>
      </c>
      <c r="I1512" t="s">
        <v>17</v>
      </c>
      <c r="J1512" t="s">
        <v>25</v>
      </c>
    </row>
    <row r="1513" spans="1:11" x14ac:dyDescent="0.2">
      <c r="A1513" t="s">
        <v>5634</v>
      </c>
      <c r="B1513" t="s">
        <v>5633</v>
      </c>
      <c r="F1513" s="2">
        <v>52509916</v>
      </c>
      <c r="G1513" s="2">
        <v>133009303</v>
      </c>
      <c r="H1513" t="s">
        <v>28</v>
      </c>
      <c r="I1513" t="s">
        <v>17</v>
      </c>
      <c r="J1513" t="s">
        <v>25</v>
      </c>
    </row>
    <row r="1514" spans="1:11" x14ac:dyDescent="0.2">
      <c r="A1514" t="s">
        <v>5635</v>
      </c>
      <c r="B1514" t="s">
        <v>5636</v>
      </c>
      <c r="E1514" t="s">
        <v>5637</v>
      </c>
      <c r="F1514" s="2">
        <v>525678957</v>
      </c>
      <c r="G1514" s="2">
        <v>133786882</v>
      </c>
      <c r="H1514" t="s">
        <v>34</v>
      </c>
      <c r="I1514" t="s">
        <v>17</v>
      </c>
      <c r="J1514" t="s">
        <v>25</v>
      </c>
    </row>
    <row r="1515" spans="1:11" x14ac:dyDescent="0.2">
      <c r="A1515" t="s">
        <v>5638</v>
      </c>
      <c r="B1515" t="s">
        <v>5639</v>
      </c>
      <c r="F1515" s="2">
        <v>525102895</v>
      </c>
      <c r="G1515" s="2">
        <v>134535995</v>
      </c>
      <c r="H1515" t="s">
        <v>28</v>
      </c>
      <c r="I1515" t="s">
        <v>17</v>
      </c>
      <c r="J1515" t="s">
        <v>25</v>
      </c>
    </row>
    <row r="1516" spans="1:11" x14ac:dyDescent="0.2">
      <c r="A1516" t="s">
        <v>5640</v>
      </c>
      <c r="B1516" t="s">
        <v>5641</v>
      </c>
      <c r="C1516" t="s">
        <v>5642</v>
      </c>
      <c r="D1516" t="s">
        <v>5643</v>
      </c>
      <c r="E1516" t="s">
        <v>5644</v>
      </c>
      <c r="F1516" s="2">
        <v>525294048</v>
      </c>
      <c r="G1516" s="2">
        <v>134097146</v>
      </c>
      <c r="H1516" t="s">
        <v>24</v>
      </c>
      <c r="I1516" t="s">
        <v>17</v>
      </c>
      <c r="J1516" t="s">
        <v>25</v>
      </c>
    </row>
    <row r="1517" spans="1:11" x14ac:dyDescent="0.2">
      <c r="A1517" t="s">
        <v>5645</v>
      </c>
      <c r="B1517" t="s">
        <v>5646</v>
      </c>
      <c r="E1517" t="s">
        <v>5647</v>
      </c>
      <c r="F1517" s="2">
        <v>524430215</v>
      </c>
      <c r="G1517" s="2">
        <v>132973911</v>
      </c>
      <c r="H1517" t="s">
        <v>34</v>
      </c>
      <c r="I1517" t="s">
        <v>17</v>
      </c>
      <c r="J1517" t="s">
        <v>25</v>
      </c>
    </row>
    <row r="1518" spans="1:11" x14ac:dyDescent="0.2">
      <c r="A1518" t="s">
        <v>5648</v>
      </c>
      <c r="B1518" t="s">
        <v>5649</v>
      </c>
      <c r="F1518" s="2">
        <v>52520409</v>
      </c>
      <c r="G1518" s="2">
        <v>134038458</v>
      </c>
      <c r="H1518" t="s">
        <v>28</v>
      </c>
      <c r="I1518" t="s">
        <v>17</v>
      </c>
      <c r="J1518" t="s">
        <v>25</v>
      </c>
    </row>
    <row r="1519" spans="1:11" x14ac:dyDescent="0.2">
      <c r="A1519" t="s">
        <v>5650</v>
      </c>
      <c r="F1519" s="2">
        <v>525051752</v>
      </c>
      <c r="G1519" s="2">
        <v>133232994</v>
      </c>
      <c r="H1519" t="s">
        <v>28</v>
      </c>
      <c r="I1519" t="s">
        <v>17</v>
      </c>
      <c r="J1519" t="s">
        <v>25</v>
      </c>
    </row>
    <row r="1520" spans="1:11" x14ac:dyDescent="0.2">
      <c r="A1520" t="s">
        <v>5651</v>
      </c>
      <c r="B1520" t="s">
        <v>5652</v>
      </c>
      <c r="C1520" t="s">
        <v>5653</v>
      </c>
      <c r="D1520" t="s">
        <v>1982</v>
      </c>
      <c r="E1520" t="s">
        <v>5654</v>
      </c>
      <c r="F1520" s="2">
        <v>525053522</v>
      </c>
      <c r="G1520" s="2">
        <v>133232698</v>
      </c>
      <c r="H1520" t="s">
        <v>51</v>
      </c>
      <c r="I1520" t="s">
        <v>17</v>
      </c>
      <c r="J1520" t="s">
        <v>25</v>
      </c>
      <c r="K1520" t="s">
        <v>5655</v>
      </c>
    </row>
    <row r="1521" spans="1:11" x14ac:dyDescent="0.2">
      <c r="A1521" t="s">
        <v>5656</v>
      </c>
      <c r="F1521" s="2">
        <v>525259324</v>
      </c>
      <c r="G1521" s="2">
        <v>133121837</v>
      </c>
      <c r="H1521" t="s">
        <v>28</v>
      </c>
      <c r="I1521" t="s">
        <v>17</v>
      </c>
      <c r="J1521" t="s">
        <v>25</v>
      </c>
    </row>
    <row r="1522" spans="1:11" x14ac:dyDescent="0.2">
      <c r="A1522" t="s">
        <v>5657</v>
      </c>
      <c r="B1522" t="s">
        <v>5658</v>
      </c>
      <c r="E1522" t="s">
        <v>5659</v>
      </c>
      <c r="F1522" s="2">
        <v>525172004</v>
      </c>
      <c r="G1522" s="2">
        <v>133212849</v>
      </c>
      <c r="H1522" t="s">
        <v>34</v>
      </c>
      <c r="I1522" t="s">
        <v>17</v>
      </c>
      <c r="J1522" t="s">
        <v>25</v>
      </c>
    </row>
    <row r="1523" spans="1:11" x14ac:dyDescent="0.2">
      <c r="A1523" t="s">
        <v>5660</v>
      </c>
      <c r="B1523" t="s">
        <v>5661</v>
      </c>
      <c r="F1523" s="2">
        <v>525081959</v>
      </c>
      <c r="G1523" s="2">
        <v>133723575</v>
      </c>
      <c r="H1523" t="s">
        <v>28</v>
      </c>
      <c r="I1523" t="s">
        <v>17</v>
      </c>
      <c r="J1523" t="s">
        <v>25</v>
      </c>
    </row>
    <row r="1524" spans="1:11" x14ac:dyDescent="0.2">
      <c r="A1524" t="s">
        <v>5662</v>
      </c>
      <c r="B1524" t="s">
        <v>5663</v>
      </c>
      <c r="C1524" t="s">
        <v>5664</v>
      </c>
      <c r="D1524" t="s">
        <v>5665</v>
      </c>
      <c r="F1524" s="2">
        <v>524953737</v>
      </c>
      <c r="G1524" s="2">
        <v>134316446</v>
      </c>
      <c r="H1524" t="s">
        <v>16</v>
      </c>
      <c r="I1524" t="s">
        <v>17</v>
      </c>
      <c r="J1524" t="s">
        <v>25</v>
      </c>
    </row>
    <row r="1525" spans="1:11" x14ac:dyDescent="0.2">
      <c r="A1525" t="s">
        <v>5666</v>
      </c>
      <c r="B1525" t="s">
        <v>5667</v>
      </c>
      <c r="D1525" t="s">
        <v>5668</v>
      </c>
      <c r="F1525" s="2">
        <v>524701851</v>
      </c>
      <c r="G1525" s="2">
        <v>134368841</v>
      </c>
      <c r="H1525" t="s">
        <v>3120</v>
      </c>
      <c r="I1525" t="s">
        <v>17</v>
      </c>
      <c r="J1525" t="s">
        <v>25</v>
      </c>
    </row>
    <row r="1526" spans="1:11" x14ac:dyDescent="0.2">
      <c r="A1526" t="s">
        <v>5669</v>
      </c>
      <c r="B1526" t="s">
        <v>5670</v>
      </c>
      <c r="E1526">
        <v>493054710521</v>
      </c>
      <c r="F1526" s="2">
        <v>525043261</v>
      </c>
      <c r="G1526" s="2">
        <v>133138377</v>
      </c>
      <c r="H1526" t="s">
        <v>34</v>
      </c>
      <c r="I1526" t="s">
        <v>17</v>
      </c>
      <c r="J1526" t="s">
        <v>25</v>
      </c>
    </row>
    <row r="1527" spans="1:11" x14ac:dyDescent="0.2">
      <c r="A1527" t="s">
        <v>5671</v>
      </c>
      <c r="B1527" t="s">
        <v>5672</v>
      </c>
      <c r="C1527" t="s">
        <v>5673</v>
      </c>
      <c r="D1527" t="s">
        <v>5674</v>
      </c>
      <c r="E1527" t="s">
        <v>5675</v>
      </c>
      <c r="F1527" s="2">
        <v>525330328</v>
      </c>
      <c r="G1527" s="2">
        <v>134230503</v>
      </c>
      <c r="H1527" t="s">
        <v>24</v>
      </c>
      <c r="I1527" t="s">
        <v>17</v>
      </c>
      <c r="J1527" t="s">
        <v>25</v>
      </c>
    </row>
    <row r="1528" spans="1:11" x14ac:dyDescent="0.2">
      <c r="A1528" t="s">
        <v>5676</v>
      </c>
      <c r="B1528" t="s">
        <v>5677</v>
      </c>
      <c r="C1528" t="s">
        <v>5678</v>
      </c>
      <c r="E1528" t="s">
        <v>5679</v>
      </c>
      <c r="F1528" s="2">
        <v>525330021</v>
      </c>
      <c r="G1528" s="2">
        <v>134231682</v>
      </c>
      <c r="H1528" t="s">
        <v>38</v>
      </c>
      <c r="I1528" t="s">
        <v>17</v>
      </c>
      <c r="J1528" t="s">
        <v>25</v>
      </c>
    </row>
    <row r="1529" spans="1:11" x14ac:dyDescent="0.2">
      <c r="A1529" t="s">
        <v>5680</v>
      </c>
      <c r="B1529" t="s">
        <v>5681</v>
      </c>
      <c r="C1529" t="s">
        <v>5682</v>
      </c>
      <c r="E1529" t="s">
        <v>5683</v>
      </c>
      <c r="F1529" s="2">
        <v>525133633</v>
      </c>
      <c r="G1529" s="2">
        <v>133959964</v>
      </c>
      <c r="H1529" t="s">
        <v>38</v>
      </c>
      <c r="I1529" t="s">
        <v>17</v>
      </c>
      <c r="J1529" t="s">
        <v>25</v>
      </c>
    </row>
    <row r="1530" spans="1:11" x14ac:dyDescent="0.2">
      <c r="A1530" t="s">
        <v>5684</v>
      </c>
      <c r="F1530" s="2">
        <v>524845029</v>
      </c>
      <c r="G1530" s="2">
        <v>134279541</v>
      </c>
      <c r="H1530" t="s">
        <v>28</v>
      </c>
      <c r="I1530" t="s">
        <v>17</v>
      </c>
      <c r="J1530" t="s">
        <v>25</v>
      </c>
    </row>
    <row r="1531" spans="1:11" x14ac:dyDescent="0.2">
      <c r="A1531" t="s">
        <v>5685</v>
      </c>
      <c r="F1531" s="2">
        <v>524842984</v>
      </c>
      <c r="G1531" s="2">
        <v>134283979</v>
      </c>
      <c r="H1531" t="s">
        <v>28</v>
      </c>
      <c r="I1531" t="s">
        <v>17</v>
      </c>
      <c r="J1531" t="s">
        <v>25</v>
      </c>
    </row>
    <row r="1532" spans="1:11" x14ac:dyDescent="0.2">
      <c r="A1532" t="s">
        <v>5686</v>
      </c>
      <c r="B1532" t="s">
        <v>1648</v>
      </c>
      <c r="C1532" t="s">
        <v>2137</v>
      </c>
      <c r="E1532" t="s">
        <v>5687</v>
      </c>
      <c r="F1532" s="2">
        <v>525139972</v>
      </c>
      <c r="G1532" s="2">
        <v>133257064</v>
      </c>
      <c r="H1532" t="s">
        <v>38</v>
      </c>
      <c r="I1532" t="s">
        <v>17</v>
      </c>
      <c r="J1532" t="s">
        <v>25</v>
      </c>
    </row>
    <row r="1533" spans="1:11" x14ac:dyDescent="0.2">
      <c r="A1533" t="s">
        <v>5688</v>
      </c>
      <c r="F1533" s="2">
        <v>524687698</v>
      </c>
      <c r="G1533" s="2">
        <v>134549177</v>
      </c>
      <c r="H1533" t="s">
        <v>28</v>
      </c>
      <c r="I1533" t="s">
        <v>17</v>
      </c>
      <c r="J1533" t="s">
        <v>25</v>
      </c>
    </row>
    <row r="1534" spans="1:11" x14ac:dyDescent="0.2">
      <c r="A1534" t="s">
        <v>5689</v>
      </c>
      <c r="F1534" s="2">
        <v>524832239</v>
      </c>
      <c r="G1534" s="2">
        <v>133778739</v>
      </c>
      <c r="H1534" t="s">
        <v>28</v>
      </c>
      <c r="I1534" t="s">
        <v>17</v>
      </c>
      <c r="J1534" t="s">
        <v>25</v>
      </c>
    </row>
    <row r="1535" spans="1:11" x14ac:dyDescent="0.2">
      <c r="A1535" t="s">
        <v>5690</v>
      </c>
      <c r="B1535" t="s">
        <v>5691</v>
      </c>
      <c r="C1535" t="s">
        <v>5692</v>
      </c>
      <c r="E1535">
        <v>493049207242</v>
      </c>
      <c r="F1535" s="2">
        <v>525041682</v>
      </c>
      <c r="G1535" s="2">
        <v>13435185</v>
      </c>
      <c r="H1535" t="s">
        <v>38</v>
      </c>
      <c r="I1535" t="s">
        <v>17</v>
      </c>
      <c r="J1535" t="s">
        <v>25</v>
      </c>
    </row>
    <row r="1536" spans="1:11" x14ac:dyDescent="0.2">
      <c r="A1536" t="s">
        <v>5693</v>
      </c>
      <c r="B1536" t="s">
        <v>5694</v>
      </c>
      <c r="C1536" t="s">
        <v>5695</v>
      </c>
      <c r="D1536" t="s">
        <v>5696</v>
      </c>
      <c r="E1536" t="s">
        <v>5697</v>
      </c>
      <c r="F1536" s="2">
        <v>525327921</v>
      </c>
      <c r="G1536" s="2">
        <v>134237316</v>
      </c>
      <c r="H1536" t="s">
        <v>51</v>
      </c>
      <c r="I1536" t="s">
        <v>17</v>
      </c>
      <c r="J1536" t="s">
        <v>25</v>
      </c>
      <c r="K1536" t="s">
        <v>5698</v>
      </c>
    </row>
    <row r="1537" spans="1:11" x14ac:dyDescent="0.2">
      <c r="A1537" t="s">
        <v>5699</v>
      </c>
      <c r="F1537" s="2">
        <v>524839864</v>
      </c>
      <c r="G1537" s="2">
        <v>134359122</v>
      </c>
      <c r="H1537" t="s">
        <v>28</v>
      </c>
      <c r="I1537" t="s">
        <v>17</v>
      </c>
      <c r="J1537" t="s">
        <v>25</v>
      </c>
    </row>
    <row r="1538" spans="1:11" x14ac:dyDescent="0.2">
      <c r="A1538" t="s">
        <v>5700</v>
      </c>
      <c r="F1538" s="2">
        <v>524375801</v>
      </c>
      <c r="G1538" s="2">
        <v>135469076</v>
      </c>
      <c r="H1538" t="s">
        <v>28</v>
      </c>
      <c r="I1538" t="s">
        <v>17</v>
      </c>
      <c r="J1538" t="s">
        <v>25</v>
      </c>
    </row>
    <row r="1539" spans="1:11" x14ac:dyDescent="0.2">
      <c r="A1539" t="s">
        <v>5701</v>
      </c>
      <c r="C1539" t="s">
        <v>5702</v>
      </c>
      <c r="E1539" t="s">
        <v>5703</v>
      </c>
      <c r="F1539" s="2">
        <v>524905995</v>
      </c>
      <c r="G1539" s="2">
        <v>133249915</v>
      </c>
      <c r="H1539" t="s">
        <v>38</v>
      </c>
      <c r="I1539" t="s">
        <v>17</v>
      </c>
      <c r="J1539" t="s">
        <v>25</v>
      </c>
    </row>
    <row r="1540" spans="1:11" x14ac:dyDescent="0.2">
      <c r="A1540" t="s">
        <v>5704</v>
      </c>
      <c r="C1540" t="s">
        <v>5705</v>
      </c>
      <c r="F1540" s="2">
        <v>52490823</v>
      </c>
      <c r="G1540" s="2">
        <v>133249993</v>
      </c>
      <c r="H1540" t="s">
        <v>255</v>
      </c>
      <c r="I1540" t="s">
        <v>17</v>
      </c>
      <c r="J1540" t="s">
        <v>25</v>
      </c>
    </row>
    <row r="1541" spans="1:11" x14ac:dyDescent="0.2">
      <c r="A1541" t="s">
        <v>5706</v>
      </c>
      <c r="B1541" t="s">
        <v>5707</v>
      </c>
      <c r="C1541" t="s">
        <v>5708</v>
      </c>
      <c r="D1541" t="s">
        <v>5709</v>
      </c>
      <c r="F1541" s="2">
        <v>524878313</v>
      </c>
      <c r="G1541" s="2">
        <v>133946351</v>
      </c>
      <c r="H1541" t="s">
        <v>51</v>
      </c>
      <c r="I1541" t="s">
        <v>17</v>
      </c>
      <c r="J1541" t="s">
        <v>25</v>
      </c>
      <c r="K1541" t="s">
        <v>5710</v>
      </c>
    </row>
    <row r="1542" spans="1:11" x14ac:dyDescent="0.2">
      <c r="A1542" t="s">
        <v>5711</v>
      </c>
      <c r="B1542" t="s">
        <v>5712</v>
      </c>
      <c r="F1542" s="2">
        <v>524289303</v>
      </c>
      <c r="G1542" s="2">
        <v>136800597</v>
      </c>
      <c r="H1542" t="s">
        <v>28</v>
      </c>
      <c r="I1542" t="s">
        <v>17</v>
      </c>
      <c r="J1542" t="s">
        <v>25</v>
      </c>
    </row>
    <row r="1543" spans="1:11" x14ac:dyDescent="0.2">
      <c r="A1543" t="s">
        <v>5713</v>
      </c>
      <c r="E1543" t="s">
        <v>5714</v>
      </c>
      <c r="F1543" s="2">
        <v>524354153</v>
      </c>
      <c r="G1543" s="2">
        <v>135017092</v>
      </c>
      <c r="H1543" t="s">
        <v>34</v>
      </c>
      <c r="I1543" t="s">
        <v>17</v>
      </c>
      <c r="J1543" t="s">
        <v>25</v>
      </c>
    </row>
    <row r="1544" spans="1:11" x14ac:dyDescent="0.2">
      <c r="A1544" t="s">
        <v>5715</v>
      </c>
      <c r="B1544" t="s">
        <v>5716</v>
      </c>
      <c r="F1544" s="2">
        <v>524951583</v>
      </c>
      <c r="G1544" s="2">
        <v>134210174</v>
      </c>
      <c r="H1544" t="s">
        <v>28</v>
      </c>
      <c r="I1544" t="s">
        <v>17</v>
      </c>
      <c r="J1544" t="s">
        <v>25</v>
      </c>
    </row>
    <row r="1545" spans="1:11" x14ac:dyDescent="0.2">
      <c r="A1545" t="s">
        <v>5717</v>
      </c>
      <c r="F1545" s="2">
        <v>525321244</v>
      </c>
      <c r="G1545" s="2">
        <v>133850786</v>
      </c>
      <c r="H1545" t="s">
        <v>28</v>
      </c>
      <c r="I1545" t="s">
        <v>17</v>
      </c>
      <c r="J1545" t="s">
        <v>25</v>
      </c>
    </row>
    <row r="1546" spans="1:11" x14ac:dyDescent="0.2">
      <c r="A1546" t="s">
        <v>5718</v>
      </c>
      <c r="B1546" t="s">
        <v>5719</v>
      </c>
      <c r="C1546" t="s">
        <v>5720</v>
      </c>
      <c r="D1546" t="s">
        <v>5721</v>
      </c>
      <c r="F1546" s="2">
        <v>524938329</v>
      </c>
      <c r="G1546" s="2">
        <v>134218581</v>
      </c>
      <c r="H1546" t="s">
        <v>24</v>
      </c>
      <c r="I1546" t="s">
        <v>17</v>
      </c>
      <c r="J1546" t="s">
        <v>25</v>
      </c>
    </row>
    <row r="1547" spans="1:11" x14ac:dyDescent="0.2">
      <c r="A1547" t="s">
        <v>5722</v>
      </c>
      <c r="F1547" s="2">
        <v>524970275</v>
      </c>
      <c r="G1547" s="2">
        <v>133849034</v>
      </c>
      <c r="H1547" t="s">
        <v>28</v>
      </c>
      <c r="I1547" t="s">
        <v>17</v>
      </c>
      <c r="J1547" t="s">
        <v>25</v>
      </c>
    </row>
    <row r="1548" spans="1:11" x14ac:dyDescent="0.2">
      <c r="A1548" t="s">
        <v>5723</v>
      </c>
      <c r="B1548" t="s">
        <v>5724</v>
      </c>
      <c r="F1548" s="2">
        <v>524928419</v>
      </c>
      <c r="G1548" s="2">
        <v>133864776</v>
      </c>
      <c r="H1548" t="s">
        <v>28</v>
      </c>
      <c r="I1548" t="s">
        <v>17</v>
      </c>
      <c r="J1548" t="s">
        <v>25</v>
      </c>
    </row>
    <row r="1549" spans="1:11" x14ac:dyDescent="0.2">
      <c r="A1549" t="s">
        <v>5725</v>
      </c>
      <c r="B1549" t="s">
        <v>5726</v>
      </c>
      <c r="F1549" s="2">
        <v>524967107</v>
      </c>
      <c r="G1549" s="2">
        <v>133857781</v>
      </c>
      <c r="H1549" t="s">
        <v>28</v>
      </c>
      <c r="I1549" t="s">
        <v>17</v>
      </c>
      <c r="J1549" t="s">
        <v>25</v>
      </c>
    </row>
    <row r="1550" spans="1:11" x14ac:dyDescent="0.2">
      <c r="A1550" t="s">
        <v>5727</v>
      </c>
      <c r="B1550" t="s">
        <v>5728</v>
      </c>
      <c r="C1550" t="s">
        <v>5729</v>
      </c>
      <c r="E1550" t="s">
        <v>5730</v>
      </c>
      <c r="F1550" s="2">
        <v>525063208</v>
      </c>
      <c r="G1550" s="2">
        <v>13310227</v>
      </c>
      <c r="H1550" t="s">
        <v>277</v>
      </c>
      <c r="I1550" t="s">
        <v>17</v>
      </c>
      <c r="J1550" t="s">
        <v>25</v>
      </c>
      <c r="K1550" t="s">
        <v>5731</v>
      </c>
    </row>
    <row r="1551" spans="1:11" x14ac:dyDescent="0.2">
      <c r="A1551" t="s">
        <v>5732</v>
      </c>
      <c r="F1551" s="2">
        <v>524866567</v>
      </c>
      <c r="G1551" s="2">
        <v>133176273</v>
      </c>
      <c r="H1551" t="s">
        <v>28</v>
      </c>
      <c r="I1551" t="s">
        <v>17</v>
      </c>
      <c r="J1551" t="s">
        <v>25</v>
      </c>
    </row>
    <row r="1552" spans="1:11" x14ac:dyDescent="0.2">
      <c r="A1552" t="s">
        <v>5733</v>
      </c>
      <c r="B1552" t="s">
        <v>5734</v>
      </c>
      <c r="C1552" t="s">
        <v>5735</v>
      </c>
      <c r="D1552" t="s">
        <v>5736</v>
      </c>
      <c r="E1552" t="s">
        <v>5737</v>
      </c>
      <c r="F1552" s="2">
        <v>525068334</v>
      </c>
      <c r="G1552" s="2">
        <v>133983221</v>
      </c>
      <c r="H1552" t="s">
        <v>51</v>
      </c>
      <c r="I1552" t="s">
        <v>17</v>
      </c>
      <c r="J1552" t="s">
        <v>25</v>
      </c>
      <c r="K1552" t="s">
        <v>5738</v>
      </c>
    </row>
    <row r="1553" spans="1:11" x14ac:dyDescent="0.2">
      <c r="A1553" t="s">
        <v>5739</v>
      </c>
      <c r="B1553" t="s">
        <v>5740</v>
      </c>
      <c r="C1553" t="s">
        <v>5741</v>
      </c>
      <c r="D1553" t="s">
        <v>5742</v>
      </c>
      <c r="F1553" s="2">
        <v>524839994</v>
      </c>
      <c r="G1553" s="2">
        <v>133222878</v>
      </c>
      <c r="H1553" t="s">
        <v>51</v>
      </c>
      <c r="I1553" t="s">
        <v>17</v>
      </c>
      <c r="J1553" t="s">
        <v>25</v>
      </c>
      <c r="K1553" t="s">
        <v>5743</v>
      </c>
    </row>
    <row r="1554" spans="1:11" x14ac:dyDescent="0.2">
      <c r="A1554" t="s">
        <v>5744</v>
      </c>
      <c r="B1554" t="s">
        <v>5745</v>
      </c>
      <c r="C1554" t="s">
        <v>5746</v>
      </c>
      <c r="E1554" t="s">
        <v>5747</v>
      </c>
      <c r="F1554" s="2">
        <v>525031689</v>
      </c>
      <c r="G1554" s="2">
        <v>133178402</v>
      </c>
      <c r="H1554" t="s">
        <v>38</v>
      </c>
      <c r="I1554" t="s">
        <v>17</v>
      </c>
      <c r="J1554" t="s">
        <v>25</v>
      </c>
    </row>
    <row r="1555" spans="1:11" x14ac:dyDescent="0.2">
      <c r="A1555" t="s">
        <v>5748</v>
      </c>
      <c r="B1555" t="s">
        <v>5749</v>
      </c>
      <c r="C1555" t="s">
        <v>5750</v>
      </c>
      <c r="D1555" t="s">
        <v>5751</v>
      </c>
      <c r="E1555" t="s">
        <v>5752</v>
      </c>
      <c r="F1555" s="2">
        <v>52503292</v>
      </c>
      <c r="G1555" s="2">
        <v>133174039</v>
      </c>
      <c r="H1555" t="s">
        <v>51</v>
      </c>
      <c r="I1555" t="s">
        <v>17</v>
      </c>
      <c r="J1555" t="s">
        <v>25</v>
      </c>
      <c r="K1555" t="s">
        <v>5753</v>
      </c>
    </row>
    <row r="1556" spans="1:11" x14ac:dyDescent="0.2">
      <c r="A1556" t="s">
        <v>5754</v>
      </c>
      <c r="B1556" t="s">
        <v>5755</v>
      </c>
      <c r="C1556" t="s">
        <v>5756</v>
      </c>
      <c r="E1556">
        <v>4917643650203</v>
      </c>
      <c r="F1556" s="2">
        <v>525316773</v>
      </c>
      <c r="G1556" s="2">
        <v>134321318</v>
      </c>
      <c r="H1556" t="s">
        <v>277</v>
      </c>
      <c r="I1556" t="s">
        <v>17</v>
      </c>
      <c r="J1556" t="s">
        <v>25</v>
      </c>
      <c r="K1556" t="s">
        <v>5757</v>
      </c>
    </row>
    <row r="1557" spans="1:11" x14ac:dyDescent="0.2">
      <c r="A1557" t="s">
        <v>5758</v>
      </c>
      <c r="B1557" t="s">
        <v>5759</v>
      </c>
      <c r="F1557" s="2">
        <v>525395739</v>
      </c>
      <c r="G1557" s="2">
        <v>13406498</v>
      </c>
      <c r="H1557" t="s">
        <v>28</v>
      </c>
      <c r="I1557" t="s">
        <v>17</v>
      </c>
      <c r="J1557" t="s">
        <v>25</v>
      </c>
    </row>
    <row r="1558" spans="1:11" x14ac:dyDescent="0.2">
      <c r="A1558" t="s">
        <v>5760</v>
      </c>
      <c r="B1558" t="s">
        <v>5761</v>
      </c>
      <c r="C1558" t="s">
        <v>5762</v>
      </c>
      <c r="E1558" t="s">
        <v>5763</v>
      </c>
      <c r="F1558" s="2">
        <v>52444153</v>
      </c>
      <c r="G1558" s="2">
        <v>135795204</v>
      </c>
      <c r="H1558" t="s">
        <v>38</v>
      </c>
      <c r="I1558" t="s">
        <v>17</v>
      </c>
      <c r="J1558" t="s">
        <v>25</v>
      </c>
    </row>
    <row r="1559" spans="1:11" x14ac:dyDescent="0.2">
      <c r="A1559" t="s">
        <v>5764</v>
      </c>
      <c r="B1559" t="s">
        <v>5765</v>
      </c>
      <c r="F1559" s="2">
        <v>524985833</v>
      </c>
      <c r="G1559" s="2">
        <v>134469625</v>
      </c>
      <c r="H1559" t="s">
        <v>28</v>
      </c>
      <c r="I1559" t="s">
        <v>17</v>
      </c>
      <c r="J1559" t="s">
        <v>25</v>
      </c>
    </row>
    <row r="1560" spans="1:11" x14ac:dyDescent="0.2">
      <c r="A1560" t="s">
        <v>5766</v>
      </c>
      <c r="B1560" t="s">
        <v>5767</v>
      </c>
      <c r="F1560" s="2">
        <v>524984943</v>
      </c>
      <c r="G1560" s="2">
        <v>134471612</v>
      </c>
      <c r="H1560" t="s">
        <v>28</v>
      </c>
      <c r="I1560" t="s">
        <v>17</v>
      </c>
      <c r="J1560" t="s">
        <v>25</v>
      </c>
    </row>
    <row r="1561" spans="1:11" x14ac:dyDescent="0.2">
      <c r="A1561" t="s">
        <v>5768</v>
      </c>
      <c r="B1561" t="s">
        <v>5769</v>
      </c>
      <c r="E1561" t="s">
        <v>5770</v>
      </c>
      <c r="F1561" s="2">
        <v>52549529</v>
      </c>
      <c r="G1561" s="2">
        <v>134480508</v>
      </c>
      <c r="H1561" t="s">
        <v>34</v>
      </c>
      <c r="I1561" t="s">
        <v>17</v>
      </c>
      <c r="J1561" t="s">
        <v>25</v>
      </c>
    </row>
    <row r="1562" spans="1:11" x14ac:dyDescent="0.2">
      <c r="A1562" t="s">
        <v>5771</v>
      </c>
      <c r="B1562" t="s">
        <v>5772</v>
      </c>
      <c r="C1562" t="s">
        <v>5773</v>
      </c>
      <c r="D1562" t="s">
        <v>5774</v>
      </c>
      <c r="E1562" t="s">
        <v>5775</v>
      </c>
      <c r="F1562" s="2">
        <v>524492328</v>
      </c>
      <c r="G1562" s="2">
        <v>133387322</v>
      </c>
      <c r="H1562" t="s">
        <v>24</v>
      </c>
      <c r="I1562" t="s">
        <v>17</v>
      </c>
      <c r="J1562" t="s">
        <v>25</v>
      </c>
    </row>
    <row r="1563" spans="1:11" x14ac:dyDescent="0.2">
      <c r="A1563" t="s">
        <v>5776</v>
      </c>
      <c r="F1563" s="2">
        <v>524467908</v>
      </c>
      <c r="G1563" s="2">
        <v>133430905</v>
      </c>
      <c r="H1563" t="s">
        <v>28</v>
      </c>
      <c r="I1563" t="s">
        <v>17</v>
      </c>
      <c r="J1563" t="s">
        <v>25</v>
      </c>
    </row>
    <row r="1564" spans="1:11" x14ac:dyDescent="0.2">
      <c r="A1564" t="s">
        <v>5777</v>
      </c>
      <c r="B1564" t="s">
        <v>5778</v>
      </c>
      <c r="C1564" t="s">
        <v>5779</v>
      </c>
      <c r="F1564" s="2">
        <v>524322379</v>
      </c>
      <c r="G1564" s="2">
        <v>134682295</v>
      </c>
      <c r="H1564" t="s">
        <v>255</v>
      </c>
      <c r="I1564" t="s">
        <v>17</v>
      </c>
      <c r="J1564" t="s">
        <v>25</v>
      </c>
    </row>
    <row r="1565" spans="1:11" x14ac:dyDescent="0.2">
      <c r="A1565" t="s">
        <v>5780</v>
      </c>
      <c r="B1565" t="s">
        <v>5781</v>
      </c>
      <c r="C1565" t="s">
        <v>5782</v>
      </c>
      <c r="D1565" t="s">
        <v>5783</v>
      </c>
      <c r="E1565" t="s">
        <v>5784</v>
      </c>
      <c r="F1565" s="2">
        <v>524975164</v>
      </c>
      <c r="G1565" s="2">
        <v>133468297</v>
      </c>
      <c r="H1565" t="s">
        <v>51</v>
      </c>
      <c r="I1565" t="s">
        <v>17</v>
      </c>
      <c r="J1565" t="s">
        <v>25</v>
      </c>
      <c r="K1565" t="s">
        <v>5785</v>
      </c>
    </row>
    <row r="1566" spans="1:11" x14ac:dyDescent="0.2">
      <c r="A1566" t="s">
        <v>5786</v>
      </c>
      <c r="B1566" t="s">
        <v>5787</v>
      </c>
      <c r="C1566" t="s">
        <v>5788</v>
      </c>
      <c r="F1566" s="2">
        <v>525591681</v>
      </c>
      <c r="G1566" s="2">
        <v>132406746</v>
      </c>
      <c r="H1566" t="s">
        <v>255</v>
      </c>
      <c r="I1566" t="s">
        <v>17</v>
      </c>
      <c r="J1566" t="s">
        <v>25</v>
      </c>
    </row>
    <row r="1567" spans="1:11" x14ac:dyDescent="0.2">
      <c r="A1567" t="s">
        <v>5789</v>
      </c>
      <c r="B1567" t="s">
        <v>5790</v>
      </c>
      <c r="C1567" t="s">
        <v>5791</v>
      </c>
      <c r="E1567" t="s">
        <v>5792</v>
      </c>
      <c r="F1567" s="2">
        <v>525129136</v>
      </c>
      <c r="G1567" s="2">
        <v>133146541</v>
      </c>
      <c r="H1567" t="s">
        <v>38</v>
      </c>
      <c r="I1567" t="s">
        <v>17</v>
      </c>
      <c r="J1567" t="s">
        <v>25</v>
      </c>
    </row>
    <row r="1568" spans="1:11" x14ac:dyDescent="0.2">
      <c r="A1568" t="s">
        <v>5793</v>
      </c>
      <c r="C1568" t="s">
        <v>5794</v>
      </c>
      <c r="D1568" t="s">
        <v>5795</v>
      </c>
      <c r="F1568" s="2">
        <v>525158454</v>
      </c>
      <c r="G1568" s="2">
        <v>133901542</v>
      </c>
      <c r="H1568" t="s">
        <v>51</v>
      </c>
      <c r="I1568" t="s">
        <v>17</v>
      </c>
      <c r="J1568" t="s">
        <v>25</v>
      </c>
      <c r="K1568" t="s">
        <v>5796</v>
      </c>
    </row>
    <row r="1569" spans="1:11" x14ac:dyDescent="0.2">
      <c r="A1569" t="s">
        <v>5797</v>
      </c>
      <c r="B1569" t="s">
        <v>5798</v>
      </c>
      <c r="F1569" s="2">
        <v>525200705</v>
      </c>
      <c r="G1569" s="2">
        <v>133907181</v>
      </c>
      <c r="H1569" t="s">
        <v>28</v>
      </c>
      <c r="I1569" t="s">
        <v>17</v>
      </c>
      <c r="J1569" t="s">
        <v>25</v>
      </c>
    </row>
    <row r="1570" spans="1:11" x14ac:dyDescent="0.2">
      <c r="A1570" t="s">
        <v>5799</v>
      </c>
      <c r="B1570" t="s">
        <v>2096</v>
      </c>
      <c r="C1570" t="s">
        <v>5800</v>
      </c>
      <c r="E1570" t="s">
        <v>5801</v>
      </c>
      <c r="F1570" s="2">
        <v>525417849</v>
      </c>
      <c r="G1570" s="2">
        <v>134151593</v>
      </c>
      <c r="H1570" t="s">
        <v>38</v>
      </c>
      <c r="I1570" t="s">
        <v>17</v>
      </c>
      <c r="J1570" t="s">
        <v>25</v>
      </c>
    </row>
    <row r="1571" spans="1:11" x14ac:dyDescent="0.2">
      <c r="A1571" t="s">
        <v>5802</v>
      </c>
      <c r="B1571" t="s">
        <v>5803</v>
      </c>
      <c r="F1571" s="2">
        <v>525485196</v>
      </c>
      <c r="G1571" s="2">
        <v>134201111</v>
      </c>
      <c r="H1571" t="s">
        <v>28</v>
      </c>
      <c r="I1571" t="s">
        <v>17</v>
      </c>
      <c r="J1571" t="s">
        <v>25</v>
      </c>
    </row>
    <row r="1572" spans="1:11" x14ac:dyDescent="0.2">
      <c r="A1572" t="s">
        <v>5804</v>
      </c>
      <c r="B1572" t="s">
        <v>5805</v>
      </c>
      <c r="F1572" s="2">
        <v>524883754</v>
      </c>
      <c r="G1572" s="2">
        <v>134266378</v>
      </c>
      <c r="H1572" t="s">
        <v>28</v>
      </c>
      <c r="I1572" t="s">
        <v>17</v>
      </c>
      <c r="J1572" t="s">
        <v>25</v>
      </c>
    </row>
    <row r="1573" spans="1:11" x14ac:dyDescent="0.2">
      <c r="A1573" t="s">
        <v>5806</v>
      </c>
      <c r="C1573" t="s">
        <v>5807</v>
      </c>
      <c r="D1573" t="s">
        <v>5808</v>
      </c>
      <c r="E1573" t="s">
        <v>5809</v>
      </c>
      <c r="F1573" s="2">
        <v>524177077</v>
      </c>
      <c r="G1573" s="2">
        <v>135823337</v>
      </c>
      <c r="H1573" t="s">
        <v>24</v>
      </c>
      <c r="I1573" t="s">
        <v>17</v>
      </c>
      <c r="J1573" t="s">
        <v>25</v>
      </c>
    </row>
    <row r="1574" spans="1:11" x14ac:dyDescent="0.2">
      <c r="A1574" t="s">
        <v>5810</v>
      </c>
      <c r="B1574" t="s">
        <v>5811</v>
      </c>
      <c r="E1574">
        <v>493062845471</v>
      </c>
      <c r="F1574" s="2">
        <v>524859691</v>
      </c>
      <c r="G1574" s="2">
        <v>133942086</v>
      </c>
      <c r="H1574" t="s">
        <v>34</v>
      </c>
      <c r="I1574" t="s">
        <v>17</v>
      </c>
      <c r="J1574" t="s">
        <v>25</v>
      </c>
    </row>
    <row r="1575" spans="1:11" x14ac:dyDescent="0.2">
      <c r="A1575" t="s">
        <v>5812</v>
      </c>
      <c r="B1575" t="s">
        <v>5813</v>
      </c>
      <c r="F1575" s="2">
        <v>524444932</v>
      </c>
      <c r="G1575" s="2">
        <v>134337931</v>
      </c>
      <c r="H1575" t="s">
        <v>28</v>
      </c>
      <c r="I1575" t="s">
        <v>17</v>
      </c>
      <c r="J1575" t="s">
        <v>25</v>
      </c>
    </row>
    <row r="1576" spans="1:11" x14ac:dyDescent="0.2">
      <c r="A1576" t="s">
        <v>5814</v>
      </c>
      <c r="B1576" t="s">
        <v>5815</v>
      </c>
      <c r="F1576" s="2">
        <v>525038063</v>
      </c>
      <c r="G1576" s="2">
        <v>133478626</v>
      </c>
      <c r="H1576" t="s">
        <v>28</v>
      </c>
      <c r="I1576" t="s">
        <v>17</v>
      </c>
      <c r="J1576" t="s">
        <v>25</v>
      </c>
    </row>
    <row r="1577" spans="1:11" x14ac:dyDescent="0.2">
      <c r="A1577" t="s">
        <v>5816</v>
      </c>
      <c r="B1577" t="s">
        <v>5817</v>
      </c>
      <c r="C1577" t="s">
        <v>5818</v>
      </c>
      <c r="D1577" t="s">
        <v>5819</v>
      </c>
      <c r="E1577" t="s">
        <v>5820</v>
      </c>
      <c r="F1577" s="2">
        <v>525384963</v>
      </c>
      <c r="G1577" s="2">
        <v>134093473</v>
      </c>
      <c r="H1577" t="s">
        <v>51</v>
      </c>
      <c r="I1577" t="s">
        <v>17</v>
      </c>
      <c r="J1577" t="s">
        <v>25</v>
      </c>
      <c r="K1577" t="s">
        <v>5821</v>
      </c>
    </row>
    <row r="1578" spans="1:11" x14ac:dyDescent="0.2">
      <c r="A1578" t="s">
        <v>5822</v>
      </c>
      <c r="B1578" t="s">
        <v>5823</v>
      </c>
      <c r="C1578" t="s">
        <v>5824</v>
      </c>
      <c r="D1578" t="s">
        <v>5825</v>
      </c>
      <c r="F1578" s="2">
        <v>525496325</v>
      </c>
      <c r="G1578" s="2">
        <v>134186731</v>
      </c>
      <c r="H1578" t="s">
        <v>24</v>
      </c>
      <c r="I1578" t="s">
        <v>17</v>
      </c>
      <c r="J1578" t="s">
        <v>25</v>
      </c>
    </row>
    <row r="1579" spans="1:11" x14ac:dyDescent="0.2">
      <c r="A1579" t="s">
        <v>5826</v>
      </c>
      <c r="B1579" t="s">
        <v>5827</v>
      </c>
      <c r="F1579" s="2">
        <v>525026543</v>
      </c>
      <c r="G1579" s="2">
        <v>133369574</v>
      </c>
      <c r="H1579" t="s">
        <v>28</v>
      </c>
      <c r="I1579" t="s">
        <v>17</v>
      </c>
      <c r="J1579" t="s">
        <v>25</v>
      </c>
    </row>
    <row r="1580" spans="1:11" x14ac:dyDescent="0.2">
      <c r="A1580" t="s">
        <v>5828</v>
      </c>
      <c r="B1580" t="s">
        <v>5829</v>
      </c>
      <c r="C1580" t="s">
        <v>5830</v>
      </c>
      <c r="D1580" t="s">
        <v>5831</v>
      </c>
      <c r="E1580">
        <v>49302135585</v>
      </c>
      <c r="F1580" s="2">
        <v>525032948</v>
      </c>
      <c r="G1580" s="2">
        <v>13337074</v>
      </c>
      <c r="H1580" t="s">
        <v>51</v>
      </c>
      <c r="I1580" t="s">
        <v>17</v>
      </c>
      <c r="J1580" t="s">
        <v>25</v>
      </c>
      <c r="K1580" t="s">
        <v>5832</v>
      </c>
    </row>
    <row r="1581" spans="1:11" x14ac:dyDescent="0.2">
      <c r="A1581" t="s">
        <v>5833</v>
      </c>
      <c r="B1581" t="s">
        <v>5834</v>
      </c>
      <c r="C1581" t="s">
        <v>5835</v>
      </c>
      <c r="D1581" t="s">
        <v>5836</v>
      </c>
      <c r="E1581" t="s">
        <v>5837</v>
      </c>
      <c r="F1581" s="2">
        <v>525032596</v>
      </c>
      <c r="G1581" s="2">
        <v>133375593</v>
      </c>
      <c r="H1581" t="s">
        <v>51</v>
      </c>
      <c r="I1581" t="s">
        <v>17</v>
      </c>
      <c r="J1581" t="s">
        <v>25</v>
      </c>
      <c r="K1581" t="s">
        <v>5838</v>
      </c>
    </row>
    <row r="1582" spans="1:11" x14ac:dyDescent="0.2">
      <c r="A1582" t="s">
        <v>5839</v>
      </c>
      <c r="B1582" t="s">
        <v>5840</v>
      </c>
      <c r="C1582" t="s">
        <v>5841</v>
      </c>
      <c r="D1582" t="s">
        <v>5842</v>
      </c>
      <c r="E1582" t="s">
        <v>5843</v>
      </c>
      <c r="F1582" s="2">
        <v>525029805</v>
      </c>
      <c r="G1582" s="2">
        <v>133372852</v>
      </c>
      <c r="H1582" t="s">
        <v>51</v>
      </c>
      <c r="I1582" t="s">
        <v>17</v>
      </c>
      <c r="J1582" t="s">
        <v>25</v>
      </c>
      <c r="K1582" t="s">
        <v>5844</v>
      </c>
    </row>
    <row r="1583" spans="1:11" x14ac:dyDescent="0.2">
      <c r="A1583">
        <v>963</v>
      </c>
      <c r="B1583" t="s">
        <v>5845</v>
      </c>
      <c r="C1583" t="s">
        <v>5846</v>
      </c>
      <c r="D1583" t="s">
        <v>5847</v>
      </c>
      <c r="F1583" s="2">
        <v>525025596</v>
      </c>
      <c r="G1583" s="2">
        <v>133368618</v>
      </c>
      <c r="H1583" t="s">
        <v>24</v>
      </c>
      <c r="I1583" t="s">
        <v>17</v>
      </c>
      <c r="J1583" t="s">
        <v>25</v>
      </c>
    </row>
    <row r="1584" spans="1:11" x14ac:dyDescent="0.2">
      <c r="A1584" t="s">
        <v>5848</v>
      </c>
      <c r="B1584" t="s">
        <v>5829</v>
      </c>
      <c r="C1584" t="s">
        <v>5849</v>
      </c>
      <c r="E1584" t="s">
        <v>5850</v>
      </c>
      <c r="F1584" s="2">
        <v>525031866</v>
      </c>
      <c r="G1584" s="2">
        <v>133369581</v>
      </c>
      <c r="H1584" t="s">
        <v>38</v>
      </c>
      <c r="I1584" t="s">
        <v>17</v>
      </c>
      <c r="J1584" t="s">
        <v>25</v>
      </c>
    </row>
    <row r="1585" spans="1:11" x14ac:dyDescent="0.2">
      <c r="A1585" t="s">
        <v>5851</v>
      </c>
      <c r="B1585" t="s">
        <v>5852</v>
      </c>
      <c r="C1585" t="s">
        <v>5853</v>
      </c>
      <c r="D1585" t="s">
        <v>5854</v>
      </c>
      <c r="E1585" t="s">
        <v>5855</v>
      </c>
      <c r="F1585" s="2">
        <v>52490399</v>
      </c>
      <c r="G1585" s="2">
        <v>134017054</v>
      </c>
      <c r="H1585" t="s">
        <v>24</v>
      </c>
      <c r="I1585" t="s">
        <v>17</v>
      </c>
      <c r="J1585" t="s">
        <v>25</v>
      </c>
    </row>
    <row r="1586" spans="1:11" x14ac:dyDescent="0.2">
      <c r="A1586" t="s">
        <v>5856</v>
      </c>
      <c r="B1586" t="s">
        <v>5857</v>
      </c>
      <c r="E1586" t="s">
        <v>5858</v>
      </c>
      <c r="F1586" s="2">
        <v>524373718</v>
      </c>
      <c r="G1586" s="2">
        <v>135468957</v>
      </c>
      <c r="H1586" t="s">
        <v>34</v>
      </c>
      <c r="I1586" t="s">
        <v>17</v>
      </c>
      <c r="J1586" t="s">
        <v>25</v>
      </c>
    </row>
    <row r="1587" spans="1:11" x14ac:dyDescent="0.2">
      <c r="A1587" t="s">
        <v>5859</v>
      </c>
      <c r="B1587" t="s">
        <v>5860</v>
      </c>
      <c r="F1587" s="2">
        <v>525297682</v>
      </c>
      <c r="G1587" s="2">
        <v>134004807</v>
      </c>
      <c r="H1587" t="s">
        <v>28</v>
      </c>
      <c r="I1587" t="s">
        <v>17</v>
      </c>
      <c r="J1587" t="s">
        <v>25</v>
      </c>
    </row>
    <row r="1588" spans="1:11" x14ac:dyDescent="0.2">
      <c r="A1588" t="s">
        <v>5861</v>
      </c>
      <c r="B1588" t="s">
        <v>5862</v>
      </c>
      <c r="C1588" t="s">
        <v>5863</v>
      </c>
      <c r="E1588" t="s">
        <v>5864</v>
      </c>
      <c r="F1588" s="2">
        <v>524473846</v>
      </c>
      <c r="G1588" s="2">
        <v>133968823</v>
      </c>
      <c r="H1588" t="s">
        <v>277</v>
      </c>
      <c r="I1588" t="s">
        <v>17</v>
      </c>
      <c r="J1588" t="s">
        <v>25</v>
      </c>
      <c r="K1588" t="s">
        <v>5865</v>
      </c>
    </row>
    <row r="1589" spans="1:11" x14ac:dyDescent="0.2">
      <c r="A1589" t="s">
        <v>5866</v>
      </c>
      <c r="C1589" t="s">
        <v>5867</v>
      </c>
      <c r="E1589" t="s">
        <v>5868</v>
      </c>
      <c r="F1589" s="2">
        <v>525389689</v>
      </c>
      <c r="G1589" s="2">
        <v>132044518</v>
      </c>
      <c r="H1589" t="s">
        <v>38</v>
      </c>
      <c r="I1589" t="s">
        <v>17</v>
      </c>
      <c r="J1589" t="s">
        <v>25</v>
      </c>
    </row>
    <row r="1590" spans="1:11" x14ac:dyDescent="0.2">
      <c r="A1590" t="s">
        <v>5869</v>
      </c>
      <c r="B1590" t="s">
        <v>5870</v>
      </c>
      <c r="C1590" t="s">
        <v>5871</v>
      </c>
      <c r="F1590" s="2">
        <v>525075667</v>
      </c>
      <c r="G1590" s="2">
        <v>133212913</v>
      </c>
      <c r="H1590" t="s">
        <v>277</v>
      </c>
      <c r="I1590" t="s">
        <v>17</v>
      </c>
      <c r="J1590" t="s">
        <v>25</v>
      </c>
      <c r="K1590" t="s">
        <v>5872</v>
      </c>
    </row>
    <row r="1591" spans="1:11" x14ac:dyDescent="0.2">
      <c r="A1591" t="s">
        <v>5873</v>
      </c>
      <c r="B1591" t="s">
        <v>5874</v>
      </c>
      <c r="E1591" t="s">
        <v>5875</v>
      </c>
      <c r="F1591" s="2">
        <v>525521313</v>
      </c>
      <c r="G1591" s="2">
        <v>134148214</v>
      </c>
      <c r="H1591" t="s">
        <v>34</v>
      </c>
      <c r="I1591" t="s">
        <v>17</v>
      </c>
      <c r="J1591" t="s">
        <v>25</v>
      </c>
    </row>
    <row r="1592" spans="1:11" x14ac:dyDescent="0.2">
      <c r="A1592" t="s">
        <v>5876</v>
      </c>
      <c r="C1592" t="s">
        <v>5877</v>
      </c>
      <c r="E1592" t="s">
        <v>5878</v>
      </c>
      <c r="F1592" s="2">
        <v>525296845</v>
      </c>
      <c r="G1592" s="2">
        <v>131427335</v>
      </c>
      <c r="H1592" t="s">
        <v>38</v>
      </c>
      <c r="I1592" t="s">
        <v>17</v>
      </c>
      <c r="J1592" t="s">
        <v>25</v>
      </c>
    </row>
    <row r="1593" spans="1:11" x14ac:dyDescent="0.2">
      <c r="A1593" t="s">
        <v>5879</v>
      </c>
      <c r="B1593" t="s">
        <v>5880</v>
      </c>
      <c r="C1593" t="s">
        <v>5881</v>
      </c>
      <c r="E1593" t="s">
        <v>5882</v>
      </c>
      <c r="F1593" s="2">
        <v>525068611</v>
      </c>
      <c r="G1593" s="2">
        <v>13391003</v>
      </c>
      <c r="H1593" t="s">
        <v>38</v>
      </c>
      <c r="I1593" t="s">
        <v>17</v>
      </c>
      <c r="J1593" t="s">
        <v>25</v>
      </c>
    </row>
    <row r="1594" spans="1:11" x14ac:dyDescent="0.2">
      <c r="A1594" t="s">
        <v>5883</v>
      </c>
      <c r="B1594" t="s">
        <v>5884</v>
      </c>
      <c r="C1594" t="s">
        <v>5885</v>
      </c>
      <c r="D1594" t="s">
        <v>5886</v>
      </c>
      <c r="E1594" t="s">
        <v>5887</v>
      </c>
      <c r="F1594" s="2">
        <v>52506883</v>
      </c>
      <c r="G1594" s="2">
        <v>133913836</v>
      </c>
      <c r="H1594" t="s">
        <v>51</v>
      </c>
      <c r="I1594" t="s">
        <v>17</v>
      </c>
      <c r="J1594" t="s">
        <v>25</v>
      </c>
      <c r="K1594" t="s">
        <v>5888</v>
      </c>
    </row>
    <row r="1595" spans="1:11" x14ac:dyDescent="0.2">
      <c r="A1595" t="s">
        <v>5889</v>
      </c>
      <c r="B1595" t="s">
        <v>2832</v>
      </c>
      <c r="F1595" s="2">
        <v>525076013</v>
      </c>
      <c r="G1595" s="2">
        <v>132958046</v>
      </c>
      <c r="H1595" t="s">
        <v>28</v>
      </c>
      <c r="I1595" t="s">
        <v>17</v>
      </c>
      <c r="J1595" t="s">
        <v>25</v>
      </c>
    </row>
    <row r="1596" spans="1:11" x14ac:dyDescent="0.2">
      <c r="A1596" t="s">
        <v>5890</v>
      </c>
      <c r="B1596" t="s">
        <v>5891</v>
      </c>
      <c r="C1596" t="s">
        <v>5892</v>
      </c>
      <c r="E1596" t="s">
        <v>5893</v>
      </c>
      <c r="F1596" s="2">
        <v>524929045</v>
      </c>
      <c r="G1596" s="2">
        <v>133232191</v>
      </c>
      <c r="H1596" t="s">
        <v>38</v>
      </c>
      <c r="I1596" t="s">
        <v>17</v>
      </c>
      <c r="J1596" t="s">
        <v>25</v>
      </c>
    </row>
    <row r="1597" spans="1:11" x14ac:dyDescent="0.2">
      <c r="A1597" t="s">
        <v>5894</v>
      </c>
      <c r="B1597" t="s">
        <v>5895</v>
      </c>
      <c r="C1597" t="s">
        <v>5896</v>
      </c>
      <c r="D1597" t="s">
        <v>5897</v>
      </c>
      <c r="E1597" t="s">
        <v>5898</v>
      </c>
      <c r="F1597" s="2">
        <v>52463697</v>
      </c>
      <c r="G1597" s="2">
        <v>133345964</v>
      </c>
      <c r="H1597" t="s">
        <v>51</v>
      </c>
      <c r="I1597" t="s">
        <v>17</v>
      </c>
      <c r="J1597" t="s">
        <v>25</v>
      </c>
      <c r="K1597" t="s">
        <v>5899</v>
      </c>
    </row>
    <row r="1598" spans="1:11" x14ac:dyDescent="0.2">
      <c r="A1598" t="s">
        <v>5900</v>
      </c>
      <c r="B1598" t="s">
        <v>5901</v>
      </c>
      <c r="C1598" t="s">
        <v>5902</v>
      </c>
      <c r="E1598" t="s">
        <v>5903</v>
      </c>
      <c r="F1598" s="2">
        <v>525276643</v>
      </c>
      <c r="G1598" s="2">
        <v>134008352</v>
      </c>
      <c r="H1598" t="s">
        <v>277</v>
      </c>
      <c r="I1598" t="s">
        <v>17</v>
      </c>
      <c r="J1598" t="s">
        <v>25</v>
      </c>
      <c r="K1598" t="s">
        <v>5904</v>
      </c>
    </row>
    <row r="1599" spans="1:11" x14ac:dyDescent="0.2">
      <c r="A1599" t="s">
        <v>5905</v>
      </c>
      <c r="B1599" t="s">
        <v>5906</v>
      </c>
      <c r="C1599" t="s">
        <v>5907</v>
      </c>
      <c r="D1599" t="s">
        <v>5908</v>
      </c>
      <c r="F1599" s="2">
        <v>525277352</v>
      </c>
      <c r="G1599" s="2">
        <v>13401361</v>
      </c>
      <c r="H1599" t="s">
        <v>51</v>
      </c>
      <c r="I1599" t="s">
        <v>17</v>
      </c>
      <c r="J1599" t="s">
        <v>25</v>
      </c>
      <c r="K1599" t="s">
        <v>5909</v>
      </c>
    </row>
    <row r="1600" spans="1:11" x14ac:dyDescent="0.2">
      <c r="A1600" t="s">
        <v>5910</v>
      </c>
      <c r="C1600" t="s">
        <v>5911</v>
      </c>
      <c r="D1600" t="s">
        <v>5912</v>
      </c>
      <c r="E1600" t="s">
        <v>5913</v>
      </c>
      <c r="F1600" s="2">
        <v>524544822</v>
      </c>
      <c r="G1600" s="2">
        <v>133848564</v>
      </c>
      <c r="H1600" t="s">
        <v>51</v>
      </c>
      <c r="I1600" t="s">
        <v>17</v>
      </c>
      <c r="J1600" t="s">
        <v>25</v>
      </c>
      <c r="K1600" t="s">
        <v>5914</v>
      </c>
    </row>
    <row r="1601" spans="1:11" x14ac:dyDescent="0.2">
      <c r="A1601" t="s">
        <v>5915</v>
      </c>
      <c r="B1601" t="s">
        <v>5916</v>
      </c>
      <c r="C1601" t="s">
        <v>5917</v>
      </c>
      <c r="D1601" t="s">
        <v>5918</v>
      </c>
      <c r="E1601" t="s">
        <v>5919</v>
      </c>
      <c r="F1601" s="2">
        <v>524901678</v>
      </c>
      <c r="G1601" s="2">
        <v>133859053</v>
      </c>
      <c r="H1601" t="s">
        <v>51</v>
      </c>
      <c r="I1601" t="s">
        <v>17</v>
      </c>
      <c r="J1601" t="s">
        <v>25</v>
      </c>
      <c r="K1601" t="s">
        <v>5920</v>
      </c>
    </row>
    <row r="1602" spans="1:11" x14ac:dyDescent="0.2">
      <c r="A1602" t="s">
        <v>5921</v>
      </c>
      <c r="B1602" t="s">
        <v>5922</v>
      </c>
      <c r="C1602" t="s">
        <v>5923</v>
      </c>
      <c r="E1602" t="s">
        <v>5924</v>
      </c>
      <c r="F1602" s="2">
        <v>524908712</v>
      </c>
      <c r="G1602" s="2">
        <v>133864006</v>
      </c>
      <c r="H1602" t="s">
        <v>38</v>
      </c>
      <c r="I1602" t="s">
        <v>17</v>
      </c>
      <c r="J1602" t="s">
        <v>25</v>
      </c>
    </row>
    <row r="1603" spans="1:11" x14ac:dyDescent="0.2">
      <c r="A1603" t="s">
        <v>5925</v>
      </c>
      <c r="B1603" t="s">
        <v>5926</v>
      </c>
      <c r="C1603" t="s">
        <v>5927</v>
      </c>
      <c r="D1603" t="s">
        <v>5928</v>
      </c>
      <c r="E1603" t="s">
        <v>5929</v>
      </c>
      <c r="F1603" s="2">
        <v>525101993</v>
      </c>
      <c r="G1603" s="2">
        <v>134060565</v>
      </c>
      <c r="H1603" t="s">
        <v>24</v>
      </c>
      <c r="I1603" t="s">
        <v>17</v>
      </c>
      <c r="J1603" t="s">
        <v>25</v>
      </c>
    </row>
    <row r="1604" spans="1:11" x14ac:dyDescent="0.2">
      <c r="A1604" t="s">
        <v>5930</v>
      </c>
      <c r="F1604" s="2">
        <v>525289387</v>
      </c>
      <c r="G1604" s="2">
        <v>133193035</v>
      </c>
      <c r="H1604" t="s">
        <v>28</v>
      </c>
      <c r="I1604" t="s">
        <v>17</v>
      </c>
      <c r="J1604" t="s">
        <v>25</v>
      </c>
    </row>
    <row r="1605" spans="1:11" x14ac:dyDescent="0.2">
      <c r="A1605" t="s">
        <v>5931</v>
      </c>
      <c r="B1605" t="s">
        <v>5932</v>
      </c>
      <c r="C1605" t="s">
        <v>5933</v>
      </c>
      <c r="E1605" t="s">
        <v>5934</v>
      </c>
      <c r="F1605" s="2">
        <v>525420876</v>
      </c>
      <c r="G1605" s="2">
        <v>131660941</v>
      </c>
      <c r="H1605" t="s">
        <v>277</v>
      </c>
      <c r="I1605" t="s">
        <v>17</v>
      </c>
      <c r="J1605" t="s">
        <v>25</v>
      </c>
      <c r="K1605" t="s">
        <v>5935</v>
      </c>
    </row>
    <row r="1606" spans="1:11" x14ac:dyDescent="0.2">
      <c r="A1606" t="s">
        <v>5936</v>
      </c>
      <c r="C1606" t="s">
        <v>5937</v>
      </c>
      <c r="F1606" s="2">
        <v>525270946</v>
      </c>
      <c r="G1606" s="2">
        <v>133336373</v>
      </c>
      <c r="H1606" t="s">
        <v>255</v>
      </c>
      <c r="I1606" t="s">
        <v>17</v>
      </c>
      <c r="J1606" t="s">
        <v>25</v>
      </c>
    </row>
    <row r="1607" spans="1:11" x14ac:dyDescent="0.2">
      <c r="A1607" t="s">
        <v>5938</v>
      </c>
      <c r="B1607" t="s">
        <v>5939</v>
      </c>
      <c r="F1607" s="2">
        <v>525256767</v>
      </c>
      <c r="G1607" s="2">
        <v>134009335</v>
      </c>
      <c r="H1607" t="s">
        <v>28</v>
      </c>
      <c r="I1607" t="s">
        <v>17</v>
      </c>
      <c r="J1607" t="s">
        <v>25</v>
      </c>
    </row>
    <row r="1608" spans="1:11" x14ac:dyDescent="0.2">
      <c r="A1608" t="s">
        <v>5940</v>
      </c>
      <c r="B1608" t="s">
        <v>5941</v>
      </c>
      <c r="F1608" s="2">
        <v>525089965</v>
      </c>
      <c r="G1608" s="2">
        <v>133153497</v>
      </c>
      <c r="H1608" t="s">
        <v>28</v>
      </c>
      <c r="I1608" t="s">
        <v>17</v>
      </c>
      <c r="J1608" t="s">
        <v>25</v>
      </c>
    </row>
    <row r="1609" spans="1:11" x14ac:dyDescent="0.2">
      <c r="A1609" t="s">
        <v>5942</v>
      </c>
      <c r="B1609" t="s">
        <v>5943</v>
      </c>
      <c r="C1609" t="s">
        <v>5944</v>
      </c>
      <c r="D1609" t="s">
        <v>5945</v>
      </c>
      <c r="E1609" t="s">
        <v>5946</v>
      </c>
      <c r="F1609" s="2">
        <v>524149413</v>
      </c>
      <c r="G1609" s="2">
        <v>13497332</v>
      </c>
      <c r="H1609" t="s">
        <v>24</v>
      </c>
      <c r="I1609" t="s">
        <v>17</v>
      </c>
      <c r="J1609" t="s">
        <v>25</v>
      </c>
    </row>
    <row r="1610" spans="1:11" x14ac:dyDescent="0.2">
      <c r="A1610" t="s">
        <v>5947</v>
      </c>
      <c r="B1610" t="s">
        <v>5948</v>
      </c>
      <c r="F1610" s="2">
        <v>524927722</v>
      </c>
      <c r="G1610" s="2">
        <v>13282174</v>
      </c>
      <c r="H1610" t="s">
        <v>28</v>
      </c>
      <c r="I1610" t="s">
        <v>17</v>
      </c>
      <c r="J1610" t="s">
        <v>25</v>
      </c>
    </row>
    <row r="1611" spans="1:11" x14ac:dyDescent="0.2">
      <c r="A1611" t="s">
        <v>5949</v>
      </c>
      <c r="B1611" t="s">
        <v>5950</v>
      </c>
      <c r="C1611" t="s">
        <v>5951</v>
      </c>
      <c r="E1611" t="s">
        <v>5952</v>
      </c>
      <c r="F1611" s="2">
        <v>525103334</v>
      </c>
      <c r="G1611" s="2">
        <v>133759853</v>
      </c>
      <c r="H1611" t="s">
        <v>277</v>
      </c>
      <c r="I1611" t="s">
        <v>17</v>
      </c>
      <c r="J1611" t="s">
        <v>25</v>
      </c>
      <c r="K1611" t="s">
        <v>5953</v>
      </c>
    </row>
    <row r="1612" spans="1:11" x14ac:dyDescent="0.2">
      <c r="A1612" t="s">
        <v>5954</v>
      </c>
      <c r="B1612" t="s">
        <v>5955</v>
      </c>
      <c r="C1612" t="s">
        <v>5956</v>
      </c>
      <c r="D1612" t="s">
        <v>5957</v>
      </c>
      <c r="E1612" t="s">
        <v>5958</v>
      </c>
      <c r="F1612" s="2">
        <v>524723227</v>
      </c>
      <c r="G1612" s="2">
        <v>134427795</v>
      </c>
      <c r="H1612" t="s">
        <v>24</v>
      </c>
      <c r="I1612" t="s">
        <v>17</v>
      </c>
      <c r="J1612" t="s">
        <v>25</v>
      </c>
    </row>
    <row r="1613" spans="1:11" x14ac:dyDescent="0.2">
      <c r="A1613" t="s">
        <v>5959</v>
      </c>
      <c r="B1613" t="s">
        <v>5960</v>
      </c>
      <c r="C1613" t="s">
        <v>5961</v>
      </c>
      <c r="D1613" t="s">
        <v>5962</v>
      </c>
      <c r="E1613" t="s">
        <v>5963</v>
      </c>
      <c r="F1613" s="2">
        <v>525285151</v>
      </c>
      <c r="G1613" s="2">
        <v>134573709</v>
      </c>
      <c r="H1613" t="s">
        <v>51</v>
      </c>
      <c r="I1613" t="s">
        <v>17</v>
      </c>
      <c r="J1613" t="s">
        <v>25</v>
      </c>
      <c r="K1613" t="s">
        <v>5964</v>
      </c>
    </row>
    <row r="1614" spans="1:11" x14ac:dyDescent="0.2">
      <c r="A1614" t="s">
        <v>5965</v>
      </c>
      <c r="B1614" t="s">
        <v>5966</v>
      </c>
      <c r="F1614" s="2">
        <v>524863028</v>
      </c>
      <c r="G1614" s="2">
        <v>133201176</v>
      </c>
      <c r="H1614" t="s">
        <v>28</v>
      </c>
      <c r="I1614" t="s">
        <v>17</v>
      </c>
      <c r="J1614" t="s">
        <v>25</v>
      </c>
    </row>
    <row r="1615" spans="1:11" x14ac:dyDescent="0.2">
      <c r="A1615" t="s">
        <v>5967</v>
      </c>
      <c r="B1615" t="s">
        <v>5968</v>
      </c>
      <c r="C1615" t="s">
        <v>5969</v>
      </c>
      <c r="D1615" t="s">
        <v>5970</v>
      </c>
      <c r="E1615" t="s">
        <v>5971</v>
      </c>
      <c r="F1615" s="2">
        <v>524862372</v>
      </c>
      <c r="G1615" s="2">
        <v>133212817</v>
      </c>
      <c r="H1615" t="s">
        <v>51</v>
      </c>
      <c r="I1615" t="s">
        <v>17</v>
      </c>
      <c r="J1615" t="s">
        <v>25</v>
      </c>
      <c r="K1615" t="s">
        <v>5972</v>
      </c>
    </row>
    <row r="1616" spans="1:11" x14ac:dyDescent="0.2">
      <c r="A1616" t="s">
        <v>5973</v>
      </c>
      <c r="B1616" t="s">
        <v>5974</v>
      </c>
      <c r="E1616" t="s">
        <v>5975</v>
      </c>
      <c r="F1616" s="2">
        <v>524922322</v>
      </c>
      <c r="G1616" s="2">
        <v>133944295</v>
      </c>
      <c r="H1616" t="s">
        <v>34</v>
      </c>
      <c r="I1616" t="s">
        <v>17</v>
      </c>
      <c r="J1616" t="s">
        <v>25</v>
      </c>
    </row>
    <row r="1617" spans="1:11" x14ac:dyDescent="0.2">
      <c r="A1617" t="s">
        <v>5976</v>
      </c>
      <c r="B1617" t="s">
        <v>5977</v>
      </c>
      <c r="F1617" s="2">
        <v>525141429</v>
      </c>
      <c r="G1617" s="2">
        <v>133815125</v>
      </c>
      <c r="H1617" t="s">
        <v>28</v>
      </c>
      <c r="I1617" t="s">
        <v>17</v>
      </c>
      <c r="J1617" t="s">
        <v>25</v>
      </c>
    </row>
    <row r="1618" spans="1:11" x14ac:dyDescent="0.2">
      <c r="A1618" t="s">
        <v>5978</v>
      </c>
      <c r="B1618" t="s">
        <v>5979</v>
      </c>
      <c r="F1618" s="2">
        <v>524232644</v>
      </c>
      <c r="G1618" s="2">
        <v>134748672</v>
      </c>
      <c r="H1618" t="s">
        <v>28</v>
      </c>
      <c r="I1618" t="s">
        <v>17</v>
      </c>
      <c r="J1618" t="s">
        <v>25</v>
      </c>
    </row>
    <row r="1619" spans="1:11" x14ac:dyDescent="0.2">
      <c r="A1619" t="s">
        <v>5980</v>
      </c>
      <c r="B1619" t="s">
        <v>5981</v>
      </c>
      <c r="F1619" s="2">
        <v>524800244</v>
      </c>
      <c r="G1619" s="2">
        <v>134429725</v>
      </c>
      <c r="H1619" t="s">
        <v>28</v>
      </c>
      <c r="I1619" t="s">
        <v>17</v>
      </c>
      <c r="J1619" t="s">
        <v>25</v>
      </c>
    </row>
    <row r="1620" spans="1:11" x14ac:dyDescent="0.2">
      <c r="A1620" t="s">
        <v>5982</v>
      </c>
      <c r="B1620" t="s">
        <v>5983</v>
      </c>
      <c r="E1620" t="s">
        <v>5984</v>
      </c>
      <c r="F1620" s="2">
        <v>524590953</v>
      </c>
      <c r="G1620" s="2">
        <v>133042982</v>
      </c>
      <c r="H1620" t="s">
        <v>34</v>
      </c>
      <c r="I1620" t="s">
        <v>17</v>
      </c>
      <c r="J1620" t="s">
        <v>25</v>
      </c>
    </row>
    <row r="1621" spans="1:11" x14ac:dyDescent="0.2">
      <c r="A1621" t="s">
        <v>5985</v>
      </c>
      <c r="B1621" t="s">
        <v>5986</v>
      </c>
      <c r="F1621" s="2">
        <v>523798404</v>
      </c>
      <c r="G1621" s="2">
        <v>134147136</v>
      </c>
      <c r="H1621" t="s">
        <v>28</v>
      </c>
      <c r="I1621" t="s">
        <v>17</v>
      </c>
      <c r="J1621" t="s">
        <v>25</v>
      </c>
    </row>
    <row r="1622" spans="1:11" x14ac:dyDescent="0.2">
      <c r="A1622" t="s">
        <v>5987</v>
      </c>
      <c r="B1622" t="s">
        <v>5988</v>
      </c>
      <c r="C1622" t="s">
        <v>5989</v>
      </c>
      <c r="D1622" t="s">
        <v>5990</v>
      </c>
      <c r="E1622" t="s">
        <v>5991</v>
      </c>
      <c r="F1622" s="2">
        <v>524525902</v>
      </c>
      <c r="G1622" s="2">
        <v>131394496</v>
      </c>
      <c r="H1622" t="s">
        <v>51</v>
      </c>
      <c r="I1622" t="s">
        <v>17</v>
      </c>
      <c r="J1622" t="s">
        <v>25</v>
      </c>
      <c r="K1622" t="s">
        <v>5992</v>
      </c>
    </row>
    <row r="1623" spans="1:11" x14ac:dyDescent="0.2">
      <c r="A1623" t="s">
        <v>5993</v>
      </c>
      <c r="B1623" t="s">
        <v>5994</v>
      </c>
      <c r="F1623" s="2">
        <v>525145329</v>
      </c>
      <c r="G1623" s="2">
        <v>133046911</v>
      </c>
      <c r="H1623" t="s">
        <v>28</v>
      </c>
      <c r="I1623" t="s">
        <v>17</v>
      </c>
      <c r="J1623" t="s">
        <v>25</v>
      </c>
    </row>
    <row r="1624" spans="1:11" x14ac:dyDescent="0.2">
      <c r="A1624" t="s">
        <v>5995</v>
      </c>
      <c r="B1624" t="s">
        <v>5996</v>
      </c>
      <c r="F1624" s="2">
        <v>525242535</v>
      </c>
      <c r="G1624" s="2">
        <v>133501479</v>
      </c>
      <c r="H1624" t="s">
        <v>28</v>
      </c>
      <c r="I1624" t="s">
        <v>17</v>
      </c>
      <c r="J1624" t="s">
        <v>25</v>
      </c>
    </row>
    <row r="1625" spans="1:11" x14ac:dyDescent="0.2">
      <c r="A1625" t="s">
        <v>5997</v>
      </c>
      <c r="F1625" s="2">
        <v>525618684</v>
      </c>
      <c r="G1625" s="2">
        <v>135501435</v>
      </c>
      <c r="H1625" t="s">
        <v>28</v>
      </c>
      <c r="I1625" t="s">
        <v>17</v>
      </c>
      <c r="J1625" t="s">
        <v>25</v>
      </c>
    </row>
    <row r="1626" spans="1:11" x14ac:dyDescent="0.2">
      <c r="A1626" t="s">
        <v>5998</v>
      </c>
      <c r="B1626" t="s">
        <v>5999</v>
      </c>
      <c r="C1626" t="s">
        <v>6000</v>
      </c>
      <c r="E1626" t="s">
        <v>6001</v>
      </c>
      <c r="F1626" s="2">
        <v>525694494</v>
      </c>
      <c r="G1626" s="2">
        <v>13398717</v>
      </c>
      <c r="H1626" t="s">
        <v>38</v>
      </c>
      <c r="I1626" t="s">
        <v>17</v>
      </c>
      <c r="J1626" t="s">
        <v>25</v>
      </c>
    </row>
    <row r="1627" spans="1:11" x14ac:dyDescent="0.2">
      <c r="A1627" t="s">
        <v>6002</v>
      </c>
      <c r="B1627" t="s">
        <v>6003</v>
      </c>
      <c r="C1627" t="s">
        <v>6004</v>
      </c>
      <c r="D1627" t="s">
        <v>6005</v>
      </c>
      <c r="E1627" t="s">
        <v>6006</v>
      </c>
      <c r="F1627" s="2">
        <v>525229318</v>
      </c>
      <c r="G1627" s="2">
        <v>133460154</v>
      </c>
      <c r="H1627" t="s">
        <v>51</v>
      </c>
      <c r="I1627" t="s">
        <v>17</v>
      </c>
      <c r="J1627" t="s">
        <v>25</v>
      </c>
      <c r="K1627" t="s">
        <v>6007</v>
      </c>
    </row>
    <row r="1628" spans="1:11" x14ac:dyDescent="0.2">
      <c r="A1628" t="s">
        <v>6008</v>
      </c>
      <c r="B1628" t="s">
        <v>6009</v>
      </c>
      <c r="C1628" t="s">
        <v>6010</v>
      </c>
      <c r="D1628" t="s">
        <v>6011</v>
      </c>
      <c r="E1628" t="s">
        <v>6012</v>
      </c>
      <c r="F1628" s="2">
        <v>525062984</v>
      </c>
      <c r="G1628" s="2">
        <v>134171876</v>
      </c>
      <c r="H1628" t="s">
        <v>304</v>
      </c>
      <c r="I1628" t="s">
        <v>17</v>
      </c>
      <c r="J1628" t="s">
        <v>25</v>
      </c>
      <c r="K1628" t="s">
        <v>6013</v>
      </c>
    </row>
    <row r="1629" spans="1:11" x14ac:dyDescent="0.2">
      <c r="A1629" t="s">
        <v>6014</v>
      </c>
      <c r="B1629" t="s">
        <v>6015</v>
      </c>
      <c r="C1629" t="s">
        <v>6016</v>
      </c>
      <c r="F1629" s="2">
        <v>525064781</v>
      </c>
      <c r="G1629" s="2">
        <v>13416557</v>
      </c>
      <c r="H1629" t="s">
        <v>255</v>
      </c>
      <c r="I1629" t="s">
        <v>17</v>
      </c>
      <c r="J1629" t="s">
        <v>25</v>
      </c>
    </row>
    <row r="1630" spans="1:11" x14ac:dyDescent="0.2">
      <c r="A1630" t="s">
        <v>6017</v>
      </c>
      <c r="B1630" t="s">
        <v>6018</v>
      </c>
      <c r="C1630" t="s">
        <v>6019</v>
      </c>
      <c r="D1630" t="s">
        <v>6020</v>
      </c>
      <c r="E1630" t="s">
        <v>6021</v>
      </c>
      <c r="F1630" s="2">
        <v>524322044</v>
      </c>
      <c r="G1630" s="2">
        <v>132583854</v>
      </c>
      <c r="H1630" t="s">
        <v>304</v>
      </c>
      <c r="I1630" t="s">
        <v>17</v>
      </c>
      <c r="J1630" t="s">
        <v>25</v>
      </c>
      <c r="K1630" t="s">
        <v>6022</v>
      </c>
    </row>
    <row r="1631" spans="1:11" x14ac:dyDescent="0.2">
      <c r="A1631" t="s">
        <v>6023</v>
      </c>
      <c r="B1631" t="s">
        <v>6024</v>
      </c>
      <c r="F1631" s="2">
        <v>52573336</v>
      </c>
      <c r="G1631" s="2">
        <v>134123735</v>
      </c>
      <c r="H1631" t="s">
        <v>28</v>
      </c>
      <c r="I1631" t="s">
        <v>17</v>
      </c>
      <c r="J1631" t="s">
        <v>25</v>
      </c>
    </row>
    <row r="1632" spans="1:11" x14ac:dyDescent="0.2">
      <c r="A1632" t="s">
        <v>6025</v>
      </c>
      <c r="B1632" t="s">
        <v>6026</v>
      </c>
      <c r="F1632" s="2">
        <v>525475361</v>
      </c>
      <c r="G1632" s="2">
        <v>133689039</v>
      </c>
      <c r="H1632" t="s">
        <v>28</v>
      </c>
      <c r="I1632" t="s">
        <v>17</v>
      </c>
      <c r="J1632" t="s">
        <v>25</v>
      </c>
    </row>
    <row r="1633" spans="1:10" x14ac:dyDescent="0.2">
      <c r="A1633" t="s">
        <v>6027</v>
      </c>
      <c r="F1633" s="2">
        <v>525505667</v>
      </c>
      <c r="G1633" s="2">
        <v>133663141</v>
      </c>
      <c r="H1633" t="s">
        <v>28</v>
      </c>
      <c r="I1633" t="s">
        <v>17</v>
      </c>
      <c r="J1633" t="s">
        <v>25</v>
      </c>
    </row>
    <row r="1634" spans="1:10" x14ac:dyDescent="0.2">
      <c r="A1634" t="s">
        <v>6028</v>
      </c>
      <c r="B1634" t="s">
        <v>6029</v>
      </c>
      <c r="F1634" s="2">
        <v>525499784</v>
      </c>
      <c r="G1634" s="2">
        <v>13365265</v>
      </c>
      <c r="H1634" t="s">
        <v>28</v>
      </c>
      <c r="I1634" t="s">
        <v>17</v>
      </c>
      <c r="J1634" t="s">
        <v>25</v>
      </c>
    </row>
    <row r="1635" spans="1:10" x14ac:dyDescent="0.2">
      <c r="A1635" t="s">
        <v>6030</v>
      </c>
      <c r="B1635" t="s">
        <v>6031</v>
      </c>
      <c r="F1635" s="2">
        <v>525504564</v>
      </c>
      <c r="G1635" s="2">
        <v>133660794</v>
      </c>
      <c r="H1635" t="s">
        <v>28</v>
      </c>
      <c r="I1635" t="s">
        <v>17</v>
      </c>
      <c r="J1635" t="s">
        <v>25</v>
      </c>
    </row>
    <row r="1636" spans="1:10" x14ac:dyDescent="0.2">
      <c r="A1636" t="s">
        <v>6032</v>
      </c>
      <c r="B1636" t="s">
        <v>6033</v>
      </c>
      <c r="C1636" t="s">
        <v>6034</v>
      </c>
      <c r="D1636" t="s">
        <v>6035</v>
      </c>
      <c r="E1636" t="s">
        <v>6036</v>
      </c>
      <c r="F1636" s="2">
        <v>525030502</v>
      </c>
      <c r="G1636" s="2">
        <v>133075562</v>
      </c>
      <c r="H1636" t="s">
        <v>16</v>
      </c>
      <c r="I1636" t="s">
        <v>17</v>
      </c>
      <c r="J1636" t="s">
        <v>25</v>
      </c>
    </row>
    <row r="1637" spans="1:10" x14ac:dyDescent="0.2">
      <c r="A1637" t="s">
        <v>6037</v>
      </c>
      <c r="B1637" t="s">
        <v>6038</v>
      </c>
      <c r="E1637" t="s">
        <v>6039</v>
      </c>
      <c r="F1637" s="2">
        <v>525023267</v>
      </c>
      <c r="G1637" s="2">
        <v>13307671</v>
      </c>
      <c r="H1637" t="s">
        <v>34</v>
      </c>
      <c r="I1637" t="s">
        <v>17</v>
      </c>
      <c r="J1637" t="s">
        <v>25</v>
      </c>
    </row>
    <row r="1638" spans="1:10" x14ac:dyDescent="0.2">
      <c r="A1638" t="s">
        <v>6040</v>
      </c>
      <c r="B1638" t="s">
        <v>6041</v>
      </c>
      <c r="F1638" s="2">
        <v>524701992</v>
      </c>
      <c r="G1638" s="2">
        <v>134271699</v>
      </c>
      <c r="H1638" t="s">
        <v>28</v>
      </c>
      <c r="I1638" t="s">
        <v>17</v>
      </c>
      <c r="J1638" t="s">
        <v>25</v>
      </c>
    </row>
    <row r="1639" spans="1:10" x14ac:dyDescent="0.2">
      <c r="A1639" t="s">
        <v>6042</v>
      </c>
      <c r="F1639" s="2">
        <v>525216546</v>
      </c>
      <c r="G1639" s="2">
        <v>136185389</v>
      </c>
      <c r="H1639" t="s">
        <v>28</v>
      </c>
      <c r="I1639" t="s">
        <v>17</v>
      </c>
      <c r="J1639" t="s">
        <v>25</v>
      </c>
    </row>
    <row r="1640" spans="1:10" x14ac:dyDescent="0.2">
      <c r="A1640" t="s">
        <v>6043</v>
      </c>
      <c r="B1640" t="s">
        <v>6044</v>
      </c>
      <c r="C1640" t="s">
        <v>6045</v>
      </c>
      <c r="E1640">
        <v>493089006878</v>
      </c>
      <c r="F1640" s="2">
        <v>524992174</v>
      </c>
      <c r="G1640" s="2">
        <v>133056796</v>
      </c>
      <c r="H1640" t="s">
        <v>38</v>
      </c>
      <c r="I1640" t="s">
        <v>17</v>
      </c>
      <c r="J1640" t="s">
        <v>25</v>
      </c>
    </row>
    <row r="1641" spans="1:10" x14ac:dyDescent="0.2">
      <c r="A1641" t="s">
        <v>6046</v>
      </c>
      <c r="B1641" t="s">
        <v>6047</v>
      </c>
      <c r="E1641" t="s">
        <v>6048</v>
      </c>
      <c r="F1641" s="2">
        <v>524996078</v>
      </c>
      <c r="G1641" s="2">
        <v>133017208</v>
      </c>
      <c r="H1641" t="s">
        <v>34</v>
      </c>
      <c r="I1641" t="s">
        <v>17</v>
      </c>
      <c r="J1641" t="s">
        <v>25</v>
      </c>
    </row>
    <row r="1642" spans="1:10" x14ac:dyDescent="0.2">
      <c r="A1642" t="s">
        <v>6049</v>
      </c>
      <c r="B1642" t="s">
        <v>6050</v>
      </c>
      <c r="C1642" t="s">
        <v>6051</v>
      </c>
      <c r="E1642" t="s">
        <v>6052</v>
      </c>
      <c r="F1642" s="2">
        <v>524967062</v>
      </c>
      <c r="G1642" s="2">
        <v>133053461</v>
      </c>
      <c r="H1642" t="s">
        <v>38</v>
      </c>
      <c r="I1642" t="s">
        <v>17</v>
      </c>
      <c r="J1642" t="s">
        <v>25</v>
      </c>
    </row>
    <row r="1643" spans="1:10" x14ac:dyDescent="0.2">
      <c r="A1643" t="s">
        <v>6053</v>
      </c>
      <c r="B1643" t="s">
        <v>6054</v>
      </c>
      <c r="C1643" t="s">
        <v>6055</v>
      </c>
      <c r="D1643" t="s">
        <v>6056</v>
      </c>
      <c r="E1643" t="s">
        <v>6057</v>
      </c>
      <c r="F1643" s="2">
        <v>525135597</v>
      </c>
      <c r="G1643" s="2">
        <v>134582934</v>
      </c>
      <c r="H1643" t="s">
        <v>24</v>
      </c>
      <c r="I1643" t="s">
        <v>17</v>
      </c>
      <c r="J1643" t="s">
        <v>25</v>
      </c>
    </row>
    <row r="1644" spans="1:10" x14ac:dyDescent="0.2">
      <c r="A1644" t="s">
        <v>6058</v>
      </c>
      <c r="B1644" t="s">
        <v>6059</v>
      </c>
      <c r="F1644" s="2">
        <v>525140328</v>
      </c>
      <c r="G1644" s="2">
        <v>134587814</v>
      </c>
      <c r="H1644" t="s">
        <v>28</v>
      </c>
      <c r="I1644" t="s">
        <v>17</v>
      </c>
      <c r="J1644" t="s">
        <v>25</v>
      </c>
    </row>
    <row r="1645" spans="1:10" x14ac:dyDescent="0.2">
      <c r="A1645" t="s">
        <v>6060</v>
      </c>
      <c r="B1645" t="s">
        <v>6061</v>
      </c>
      <c r="E1645" t="s">
        <v>6062</v>
      </c>
      <c r="F1645" s="2">
        <v>525145853</v>
      </c>
      <c r="G1645" s="2">
        <v>134599048</v>
      </c>
      <c r="H1645" t="s">
        <v>34</v>
      </c>
      <c r="I1645" t="s">
        <v>17</v>
      </c>
      <c r="J1645" t="s">
        <v>25</v>
      </c>
    </row>
    <row r="1646" spans="1:10" x14ac:dyDescent="0.2">
      <c r="A1646" t="s">
        <v>6063</v>
      </c>
      <c r="B1646" t="s">
        <v>5395</v>
      </c>
      <c r="F1646" s="2">
        <v>525107836</v>
      </c>
      <c r="G1646" s="2">
        <v>134576377</v>
      </c>
      <c r="H1646" t="s">
        <v>28</v>
      </c>
      <c r="I1646" t="s">
        <v>17</v>
      </c>
      <c r="J1646" t="s">
        <v>25</v>
      </c>
    </row>
    <row r="1647" spans="1:10" x14ac:dyDescent="0.2">
      <c r="A1647" t="s">
        <v>6064</v>
      </c>
      <c r="B1647" t="s">
        <v>6065</v>
      </c>
      <c r="F1647" s="2">
        <v>525106657</v>
      </c>
      <c r="G1647" s="2">
        <v>1345706</v>
      </c>
      <c r="H1647" t="s">
        <v>28</v>
      </c>
      <c r="I1647" t="s">
        <v>17</v>
      </c>
      <c r="J1647" t="s">
        <v>25</v>
      </c>
    </row>
    <row r="1648" spans="1:10" x14ac:dyDescent="0.2">
      <c r="A1648" t="s">
        <v>6066</v>
      </c>
      <c r="B1648" t="s">
        <v>2882</v>
      </c>
      <c r="F1648" s="2">
        <v>525106986</v>
      </c>
      <c r="G1648" s="2">
        <v>134563373</v>
      </c>
      <c r="H1648" t="s">
        <v>28</v>
      </c>
      <c r="I1648" t="s">
        <v>17</v>
      </c>
      <c r="J1648" t="s">
        <v>25</v>
      </c>
    </row>
    <row r="1649" spans="1:11" x14ac:dyDescent="0.2">
      <c r="A1649" t="s">
        <v>6067</v>
      </c>
      <c r="B1649" t="s">
        <v>6068</v>
      </c>
      <c r="F1649" s="2">
        <v>525105634</v>
      </c>
      <c r="G1649" s="2">
        <v>134562641</v>
      </c>
      <c r="H1649" t="s">
        <v>28</v>
      </c>
      <c r="I1649" t="s">
        <v>17</v>
      </c>
      <c r="J1649" t="s">
        <v>25</v>
      </c>
    </row>
    <row r="1650" spans="1:11" x14ac:dyDescent="0.2">
      <c r="A1650" t="s">
        <v>6069</v>
      </c>
      <c r="B1650" t="s">
        <v>6070</v>
      </c>
      <c r="C1650" t="s">
        <v>6071</v>
      </c>
      <c r="E1650" t="s">
        <v>6072</v>
      </c>
      <c r="F1650" s="2">
        <v>525092313</v>
      </c>
      <c r="G1650" s="2">
        <v>134560804</v>
      </c>
      <c r="H1650" t="s">
        <v>38</v>
      </c>
      <c r="I1650" t="s">
        <v>17</v>
      </c>
      <c r="J1650" t="s">
        <v>25</v>
      </c>
    </row>
    <row r="1651" spans="1:11" x14ac:dyDescent="0.2">
      <c r="A1651" t="s">
        <v>6073</v>
      </c>
      <c r="F1651" s="2">
        <v>525248335</v>
      </c>
      <c r="G1651" s="2">
        <v>131965949</v>
      </c>
      <c r="H1651" t="s">
        <v>28</v>
      </c>
      <c r="I1651" t="s">
        <v>17</v>
      </c>
      <c r="J1651" t="s">
        <v>25</v>
      </c>
    </row>
    <row r="1652" spans="1:11" x14ac:dyDescent="0.2">
      <c r="A1652" t="s">
        <v>6074</v>
      </c>
      <c r="B1652" t="s">
        <v>6075</v>
      </c>
      <c r="E1652" t="s">
        <v>6076</v>
      </c>
      <c r="F1652" s="2">
        <v>525248354</v>
      </c>
      <c r="G1652" s="2">
        <v>131970782</v>
      </c>
      <c r="H1652" t="s">
        <v>34</v>
      </c>
      <c r="I1652" t="s">
        <v>17</v>
      </c>
      <c r="J1652" t="s">
        <v>25</v>
      </c>
    </row>
    <row r="1653" spans="1:11" x14ac:dyDescent="0.2">
      <c r="A1653" t="s">
        <v>6077</v>
      </c>
      <c r="B1653" t="s">
        <v>6078</v>
      </c>
      <c r="C1653" t="s">
        <v>6079</v>
      </c>
      <c r="D1653" t="s">
        <v>6080</v>
      </c>
      <c r="E1653">
        <v>493096600331</v>
      </c>
      <c r="F1653" s="2">
        <v>525264141</v>
      </c>
      <c r="G1653" s="2">
        <v>133491742</v>
      </c>
      <c r="H1653" t="s">
        <v>24</v>
      </c>
      <c r="I1653" t="s">
        <v>17</v>
      </c>
      <c r="J1653" t="s">
        <v>25</v>
      </c>
    </row>
    <row r="1654" spans="1:11" x14ac:dyDescent="0.2">
      <c r="A1654" t="s">
        <v>6081</v>
      </c>
      <c r="B1654" t="s">
        <v>6082</v>
      </c>
      <c r="C1654" t="s">
        <v>6083</v>
      </c>
      <c r="E1654" t="s">
        <v>6084</v>
      </c>
      <c r="F1654" s="2">
        <v>525264409</v>
      </c>
      <c r="G1654" s="2">
        <v>13349538</v>
      </c>
      <c r="H1654" t="s">
        <v>38</v>
      </c>
      <c r="I1654" t="s">
        <v>17</v>
      </c>
      <c r="J1654" t="s">
        <v>25</v>
      </c>
    </row>
    <row r="1655" spans="1:11" x14ac:dyDescent="0.2">
      <c r="A1655" t="s">
        <v>6085</v>
      </c>
      <c r="B1655" t="s">
        <v>6086</v>
      </c>
      <c r="C1655" t="s">
        <v>6087</v>
      </c>
      <c r="E1655" t="s">
        <v>6088</v>
      </c>
      <c r="F1655" s="2">
        <v>524819601</v>
      </c>
      <c r="G1655" s="2">
        <v>133226217</v>
      </c>
      <c r="H1655" t="s">
        <v>38</v>
      </c>
      <c r="I1655" t="s">
        <v>17</v>
      </c>
      <c r="J1655" t="s">
        <v>25</v>
      </c>
    </row>
    <row r="1656" spans="1:11" x14ac:dyDescent="0.2">
      <c r="A1656" t="s">
        <v>6089</v>
      </c>
      <c r="B1656" t="s">
        <v>6090</v>
      </c>
      <c r="C1656" t="s">
        <v>6091</v>
      </c>
      <c r="D1656" t="s">
        <v>6092</v>
      </c>
      <c r="F1656" s="2">
        <v>524533015</v>
      </c>
      <c r="G1656" s="2">
        <v>131446473</v>
      </c>
      <c r="H1656" t="s">
        <v>304</v>
      </c>
      <c r="I1656" t="s">
        <v>17</v>
      </c>
      <c r="J1656" t="s">
        <v>25</v>
      </c>
      <c r="K1656" t="s">
        <v>6093</v>
      </c>
    </row>
    <row r="1657" spans="1:11" x14ac:dyDescent="0.2">
      <c r="A1657" t="s">
        <v>6094</v>
      </c>
      <c r="B1657" t="s">
        <v>6095</v>
      </c>
      <c r="F1657" s="2">
        <v>525031007</v>
      </c>
      <c r="G1657" s="2">
        <v>134532543</v>
      </c>
      <c r="H1657" t="s">
        <v>28</v>
      </c>
      <c r="I1657" t="s">
        <v>17</v>
      </c>
      <c r="J1657" t="s">
        <v>25</v>
      </c>
    </row>
    <row r="1658" spans="1:11" x14ac:dyDescent="0.2">
      <c r="A1658" t="s">
        <v>6096</v>
      </c>
      <c r="B1658" t="s">
        <v>6097</v>
      </c>
      <c r="C1658" t="s">
        <v>6098</v>
      </c>
      <c r="D1658" t="s">
        <v>6099</v>
      </c>
      <c r="E1658">
        <v>49302425247</v>
      </c>
      <c r="F1658" s="2">
        <v>525160831</v>
      </c>
      <c r="G1658" s="2">
        <v>134058398</v>
      </c>
      <c r="H1658" t="s">
        <v>24</v>
      </c>
      <c r="I1658" t="s">
        <v>17</v>
      </c>
      <c r="J1658" t="s">
        <v>25</v>
      </c>
    </row>
    <row r="1659" spans="1:11" x14ac:dyDescent="0.2">
      <c r="A1659" t="s">
        <v>6100</v>
      </c>
      <c r="B1659" t="s">
        <v>6101</v>
      </c>
      <c r="F1659" s="2">
        <v>525017419</v>
      </c>
      <c r="G1659" s="2">
        <v>13330788</v>
      </c>
      <c r="H1659" t="s">
        <v>28</v>
      </c>
      <c r="I1659" t="s">
        <v>17</v>
      </c>
      <c r="J1659" t="s">
        <v>25</v>
      </c>
    </row>
    <row r="1660" spans="1:11" x14ac:dyDescent="0.2">
      <c r="A1660" t="s">
        <v>6102</v>
      </c>
      <c r="F1660" s="2">
        <v>525057715</v>
      </c>
      <c r="G1660" s="2">
        <v>133202368</v>
      </c>
      <c r="H1660" t="s">
        <v>28</v>
      </c>
      <c r="I1660" t="s">
        <v>17</v>
      </c>
      <c r="J1660" t="s">
        <v>25</v>
      </c>
    </row>
    <row r="1661" spans="1:11" x14ac:dyDescent="0.2">
      <c r="A1661" t="s">
        <v>6103</v>
      </c>
      <c r="B1661" t="s">
        <v>6104</v>
      </c>
      <c r="C1661" t="s">
        <v>6105</v>
      </c>
      <c r="D1661" t="s">
        <v>6106</v>
      </c>
      <c r="E1661" t="s">
        <v>6107</v>
      </c>
      <c r="F1661" s="2">
        <v>525067939</v>
      </c>
      <c r="G1661" s="2">
        <v>133219167</v>
      </c>
      <c r="H1661" t="s">
        <v>24</v>
      </c>
      <c r="I1661" t="s">
        <v>17</v>
      </c>
      <c r="J1661" t="s">
        <v>25</v>
      </c>
    </row>
    <row r="1662" spans="1:11" x14ac:dyDescent="0.2">
      <c r="A1662" t="s">
        <v>6108</v>
      </c>
      <c r="B1662" t="s">
        <v>6109</v>
      </c>
      <c r="C1662" t="s">
        <v>6110</v>
      </c>
      <c r="D1662" t="s">
        <v>6111</v>
      </c>
      <c r="E1662" t="s">
        <v>6112</v>
      </c>
      <c r="F1662" s="2">
        <v>525051798</v>
      </c>
      <c r="G1662" s="2">
        <v>133213814</v>
      </c>
      <c r="H1662" t="s">
        <v>51</v>
      </c>
      <c r="I1662" t="s">
        <v>17</v>
      </c>
      <c r="J1662" t="s">
        <v>25</v>
      </c>
      <c r="K1662" t="s">
        <v>6113</v>
      </c>
    </row>
    <row r="1663" spans="1:11" x14ac:dyDescent="0.2">
      <c r="A1663" t="s">
        <v>6114</v>
      </c>
      <c r="B1663" t="s">
        <v>6115</v>
      </c>
      <c r="F1663" s="2">
        <v>525060694</v>
      </c>
      <c r="G1663" s="2">
        <v>133208622</v>
      </c>
      <c r="H1663" t="s">
        <v>28</v>
      </c>
      <c r="I1663" t="s">
        <v>17</v>
      </c>
      <c r="J1663" t="s">
        <v>25</v>
      </c>
    </row>
    <row r="1664" spans="1:11" x14ac:dyDescent="0.2">
      <c r="A1664" t="s">
        <v>6116</v>
      </c>
      <c r="B1664" t="s">
        <v>6117</v>
      </c>
      <c r="E1664" t="s">
        <v>6118</v>
      </c>
      <c r="F1664" s="2">
        <v>525053698</v>
      </c>
      <c r="G1664" s="2">
        <v>133213997</v>
      </c>
      <c r="H1664" t="s">
        <v>34</v>
      </c>
      <c r="I1664" t="s">
        <v>17</v>
      </c>
      <c r="J1664" t="s">
        <v>25</v>
      </c>
    </row>
    <row r="1665" spans="1:11" x14ac:dyDescent="0.2">
      <c r="A1665" t="s">
        <v>6119</v>
      </c>
      <c r="B1665" t="s">
        <v>6120</v>
      </c>
      <c r="C1665" t="s">
        <v>6121</v>
      </c>
      <c r="D1665" t="s">
        <v>6122</v>
      </c>
      <c r="E1665" t="s">
        <v>6123</v>
      </c>
      <c r="F1665" s="2">
        <v>525060639</v>
      </c>
      <c r="G1665" s="2">
        <v>133209744</v>
      </c>
      <c r="H1665" t="s">
        <v>304</v>
      </c>
      <c r="I1665" t="s">
        <v>17</v>
      </c>
      <c r="J1665" t="s">
        <v>25</v>
      </c>
      <c r="K1665" t="s">
        <v>6124</v>
      </c>
    </row>
    <row r="1666" spans="1:11" x14ac:dyDescent="0.2">
      <c r="A1666" t="s">
        <v>6125</v>
      </c>
      <c r="B1666" t="s">
        <v>6126</v>
      </c>
      <c r="E1666" t="s">
        <v>6127</v>
      </c>
      <c r="F1666" s="2">
        <v>525065862</v>
      </c>
      <c r="G1666" s="2">
        <v>133216144</v>
      </c>
      <c r="H1666" t="s">
        <v>34</v>
      </c>
      <c r="I1666" t="s">
        <v>17</v>
      </c>
      <c r="J1666" t="s">
        <v>25</v>
      </c>
    </row>
    <row r="1667" spans="1:11" x14ac:dyDescent="0.2">
      <c r="A1667" t="s">
        <v>6128</v>
      </c>
      <c r="B1667" t="s">
        <v>6129</v>
      </c>
      <c r="C1667" t="s">
        <v>6130</v>
      </c>
      <c r="D1667" t="s">
        <v>6131</v>
      </c>
      <c r="E1667" t="s">
        <v>6132</v>
      </c>
      <c r="F1667" s="2">
        <v>525052364</v>
      </c>
      <c r="G1667" s="2">
        <v>133205897</v>
      </c>
      <c r="H1667" t="s">
        <v>51</v>
      </c>
      <c r="I1667" t="s">
        <v>17</v>
      </c>
      <c r="J1667" t="s">
        <v>25</v>
      </c>
      <c r="K1667" t="s">
        <v>6133</v>
      </c>
    </row>
    <row r="1668" spans="1:11" x14ac:dyDescent="0.2">
      <c r="A1668" t="s">
        <v>6134</v>
      </c>
      <c r="B1668" t="s">
        <v>6135</v>
      </c>
      <c r="C1668" t="s">
        <v>6136</v>
      </c>
      <c r="F1668" s="2">
        <v>525079851</v>
      </c>
      <c r="G1668" s="2">
        <v>133782577</v>
      </c>
      <c r="H1668" t="s">
        <v>3120</v>
      </c>
      <c r="I1668" t="s">
        <v>17</v>
      </c>
      <c r="J1668" t="s">
        <v>25</v>
      </c>
      <c r="K1668" t="s">
        <v>6137</v>
      </c>
    </row>
    <row r="1669" spans="1:11" x14ac:dyDescent="0.2">
      <c r="A1669" t="s">
        <v>6138</v>
      </c>
      <c r="B1669" t="s">
        <v>6139</v>
      </c>
      <c r="C1669" t="s">
        <v>6140</v>
      </c>
      <c r="F1669" s="2">
        <v>524885454</v>
      </c>
      <c r="G1669" s="2">
        <v>133906115</v>
      </c>
      <c r="H1669" t="s">
        <v>255</v>
      </c>
      <c r="I1669" t="s">
        <v>17</v>
      </c>
      <c r="J1669" t="s">
        <v>25</v>
      </c>
    </row>
    <row r="1670" spans="1:11" x14ac:dyDescent="0.2">
      <c r="A1670" t="s">
        <v>6141</v>
      </c>
      <c r="B1670" t="s">
        <v>6142</v>
      </c>
      <c r="C1670" t="s">
        <v>6143</v>
      </c>
      <c r="D1670" t="s">
        <v>6144</v>
      </c>
      <c r="E1670" t="s">
        <v>6145</v>
      </c>
      <c r="F1670" s="2">
        <v>525057781</v>
      </c>
      <c r="G1670" s="2">
        <v>133155728</v>
      </c>
      <c r="H1670" t="s">
        <v>51</v>
      </c>
      <c r="I1670" t="s">
        <v>17</v>
      </c>
      <c r="J1670" t="s">
        <v>25</v>
      </c>
      <c r="K1670" t="s">
        <v>6146</v>
      </c>
    </row>
    <row r="1671" spans="1:11" x14ac:dyDescent="0.2">
      <c r="A1671" t="s">
        <v>6147</v>
      </c>
      <c r="B1671" t="s">
        <v>20</v>
      </c>
      <c r="C1671" t="s">
        <v>6148</v>
      </c>
      <c r="D1671" t="s">
        <v>6149</v>
      </c>
      <c r="E1671" t="s">
        <v>6150</v>
      </c>
      <c r="F1671" s="2">
        <v>525062361</v>
      </c>
      <c r="G1671" s="2">
        <v>133178317</v>
      </c>
      <c r="H1671" t="s">
        <v>24</v>
      </c>
      <c r="I1671" t="s">
        <v>17</v>
      </c>
      <c r="J1671" t="s">
        <v>25</v>
      </c>
    </row>
    <row r="1672" spans="1:11" x14ac:dyDescent="0.2">
      <c r="A1672" t="s">
        <v>6151</v>
      </c>
      <c r="B1672" t="s">
        <v>6152</v>
      </c>
      <c r="F1672" s="2">
        <v>52506013</v>
      </c>
      <c r="G1672" s="2">
        <v>133155955</v>
      </c>
      <c r="H1672" t="s">
        <v>28</v>
      </c>
      <c r="I1672" t="s">
        <v>17</v>
      </c>
      <c r="J1672" t="s">
        <v>25</v>
      </c>
    </row>
    <row r="1673" spans="1:11" x14ac:dyDescent="0.2">
      <c r="A1673" t="s">
        <v>6153</v>
      </c>
      <c r="B1673" t="s">
        <v>6154</v>
      </c>
      <c r="C1673" t="s">
        <v>6155</v>
      </c>
      <c r="E1673" t="s">
        <v>6156</v>
      </c>
      <c r="F1673" s="2">
        <v>52484188</v>
      </c>
      <c r="G1673" s="2">
        <v>133840442</v>
      </c>
      <c r="H1673" t="s">
        <v>277</v>
      </c>
      <c r="I1673" t="s">
        <v>17</v>
      </c>
      <c r="J1673" t="s">
        <v>25</v>
      </c>
      <c r="K1673" t="s">
        <v>640</v>
      </c>
    </row>
    <row r="1674" spans="1:11" x14ac:dyDescent="0.2">
      <c r="A1674" t="s">
        <v>6157</v>
      </c>
      <c r="B1674" t="s">
        <v>6158</v>
      </c>
      <c r="C1674" t="s">
        <v>6159</v>
      </c>
      <c r="D1674" t="s">
        <v>6160</v>
      </c>
      <c r="E1674" t="s">
        <v>6161</v>
      </c>
      <c r="F1674" s="2">
        <v>524742122</v>
      </c>
      <c r="G1674" s="2">
        <v>133225369</v>
      </c>
      <c r="H1674" t="s">
        <v>24</v>
      </c>
      <c r="I1674" t="s">
        <v>17</v>
      </c>
      <c r="J1674" t="s">
        <v>25</v>
      </c>
    </row>
    <row r="1675" spans="1:11" x14ac:dyDescent="0.2">
      <c r="A1675" t="s">
        <v>6162</v>
      </c>
      <c r="F1675" s="2">
        <v>524476551</v>
      </c>
      <c r="G1675" s="2">
        <v>133055326</v>
      </c>
      <c r="H1675" t="s">
        <v>28</v>
      </c>
      <c r="I1675" t="s">
        <v>17</v>
      </c>
      <c r="J1675" t="s">
        <v>25</v>
      </c>
    </row>
    <row r="1676" spans="1:11" x14ac:dyDescent="0.2">
      <c r="A1676" t="s">
        <v>6163</v>
      </c>
      <c r="B1676" t="s">
        <v>6164</v>
      </c>
      <c r="C1676" t="s">
        <v>6165</v>
      </c>
      <c r="D1676" t="s">
        <v>6166</v>
      </c>
      <c r="E1676" t="s">
        <v>6167</v>
      </c>
      <c r="F1676" s="2">
        <v>524484397</v>
      </c>
      <c r="G1676" s="2">
        <v>133052539</v>
      </c>
      <c r="H1676" t="s">
        <v>16</v>
      </c>
      <c r="I1676" t="s">
        <v>17</v>
      </c>
      <c r="J1676" t="s">
        <v>25</v>
      </c>
    </row>
    <row r="1677" spans="1:11" x14ac:dyDescent="0.2">
      <c r="A1677" t="s">
        <v>6168</v>
      </c>
      <c r="B1677" t="s">
        <v>6169</v>
      </c>
      <c r="E1677" t="s">
        <v>6170</v>
      </c>
      <c r="F1677" s="2">
        <v>524831206</v>
      </c>
      <c r="G1677" s="2">
        <v>133817459</v>
      </c>
      <c r="H1677" t="s">
        <v>34</v>
      </c>
      <c r="I1677" t="s">
        <v>17</v>
      </c>
      <c r="J1677" t="s">
        <v>25</v>
      </c>
    </row>
    <row r="1678" spans="1:11" x14ac:dyDescent="0.2">
      <c r="A1678" t="s">
        <v>6171</v>
      </c>
      <c r="B1678" t="s">
        <v>6172</v>
      </c>
      <c r="C1678" t="s">
        <v>6173</v>
      </c>
      <c r="E1678" t="s">
        <v>6174</v>
      </c>
      <c r="F1678" s="2">
        <v>524971931</v>
      </c>
      <c r="G1678" s="2">
        <v>133457531</v>
      </c>
      <c r="H1678" t="s">
        <v>38</v>
      </c>
      <c r="I1678" t="s">
        <v>17</v>
      </c>
      <c r="J1678" t="s">
        <v>25</v>
      </c>
    </row>
    <row r="1679" spans="1:11" x14ac:dyDescent="0.2">
      <c r="A1679" t="s">
        <v>6175</v>
      </c>
      <c r="B1679" t="s">
        <v>6176</v>
      </c>
      <c r="E1679" t="s">
        <v>6177</v>
      </c>
      <c r="F1679" s="2">
        <v>524967601</v>
      </c>
      <c r="G1679" s="2">
        <v>132927713</v>
      </c>
      <c r="H1679" t="s">
        <v>34</v>
      </c>
      <c r="I1679" t="s">
        <v>17</v>
      </c>
      <c r="J1679" t="s">
        <v>25</v>
      </c>
    </row>
    <row r="1680" spans="1:11" x14ac:dyDescent="0.2">
      <c r="A1680" t="s">
        <v>6178</v>
      </c>
      <c r="C1680" t="s">
        <v>6179</v>
      </c>
      <c r="E1680" t="s">
        <v>6180</v>
      </c>
      <c r="F1680" s="2">
        <v>524964841</v>
      </c>
      <c r="G1680" s="2">
        <v>132925338</v>
      </c>
      <c r="H1680" t="s">
        <v>38</v>
      </c>
      <c r="I1680" t="s">
        <v>17</v>
      </c>
      <c r="J1680" t="s">
        <v>25</v>
      </c>
    </row>
    <row r="1681" spans="1:11" x14ac:dyDescent="0.2">
      <c r="A1681" t="s">
        <v>6181</v>
      </c>
      <c r="B1681" t="s">
        <v>6182</v>
      </c>
      <c r="C1681" t="s">
        <v>6183</v>
      </c>
      <c r="E1681" t="s">
        <v>6184</v>
      </c>
      <c r="F1681" s="2">
        <v>525086916</v>
      </c>
      <c r="G1681" s="2">
        <v>13314013</v>
      </c>
      <c r="H1681" t="s">
        <v>38</v>
      </c>
      <c r="I1681" t="s">
        <v>17</v>
      </c>
      <c r="J1681" t="s">
        <v>25</v>
      </c>
    </row>
    <row r="1682" spans="1:11" x14ac:dyDescent="0.2">
      <c r="A1682" t="s">
        <v>6185</v>
      </c>
      <c r="C1682" t="s">
        <v>6186</v>
      </c>
      <c r="D1682" t="s">
        <v>6187</v>
      </c>
      <c r="F1682" s="2">
        <v>526256874</v>
      </c>
      <c r="G1682" s="2">
        <v>132292245</v>
      </c>
      <c r="H1682" t="s">
        <v>24</v>
      </c>
      <c r="I1682" t="s">
        <v>17</v>
      </c>
      <c r="J1682" t="s">
        <v>25</v>
      </c>
    </row>
    <row r="1683" spans="1:11" x14ac:dyDescent="0.2">
      <c r="A1683" t="s">
        <v>6188</v>
      </c>
      <c r="B1683" t="s">
        <v>6189</v>
      </c>
      <c r="C1683" t="s">
        <v>6190</v>
      </c>
      <c r="D1683" t="s">
        <v>6191</v>
      </c>
      <c r="E1683" t="s">
        <v>6192</v>
      </c>
      <c r="F1683" s="2">
        <v>525245841</v>
      </c>
      <c r="G1683" s="2">
        <v>134651602</v>
      </c>
      <c r="H1683" t="s">
        <v>24</v>
      </c>
      <c r="I1683" t="s">
        <v>17</v>
      </c>
      <c r="J1683" t="s">
        <v>25</v>
      </c>
    </row>
    <row r="1684" spans="1:11" x14ac:dyDescent="0.2">
      <c r="A1684" t="s">
        <v>6193</v>
      </c>
      <c r="B1684" t="s">
        <v>6194</v>
      </c>
      <c r="C1684" t="s">
        <v>6195</v>
      </c>
      <c r="D1684" t="s">
        <v>6196</v>
      </c>
      <c r="F1684" s="2">
        <v>525066104</v>
      </c>
      <c r="G1684" s="2">
        <v>133236513</v>
      </c>
      <c r="H1684" t="s">
        <v>51</v>
      </c>
      <c r="I1684" t="s">
        <v>17</v>
      </c>
      <c r="J1684" t="s">
        <v>25</v>
      </c>
      <c r="K1684" t="s">
        <v>6197</v>
      </c>
    </row>
    <row r="1685" spans="1:11" x14ac:dyDescent="0.2">
      <c r="A1685" t="s">
        <v>6198</v>
      </c>
      <c r="B1685" t="s">
        <v>6199</v>
      </c>
      <c r="C1685" t="s">
        <v>6200</v>
      </c>
      <c r="F1685" s="2">
        <v>525497017</v>
      </c>
      <c r="G1685" s="2">
        <v>133513439</v>
      </c>
      <c r="H1685" t="s">
        <v>255</v>
      </c>
      <c r="I1685" t="s">
        <v>17</v>
      </c>
      <c r="J1685" t="s">
        <v>25</v>
      </c>
    </row>
    <row r="1686" spans="1:11" x14ac:dyDescent="0.2">
      <c r="A1686" t="s">
        <v>6201</v>
      </c>
      <c r="B1686" t="s">
        <v>6202</v>
      </c>
      <c r="C1686" t="s">
        <v>6203</v>
      </c>
      <c r="D1686" t="s">
        <v>6204</v>
      </c>
      <c r="E1686" t="s">
        <v>6205</v>
      </c>
      <c r="F1686" s="2">
        <v>525121747</v>
      </c>
      <c r="G1686" s="2">
        <v>134708348</v>
      </c>
      <c r="H1686" t="s">
        <v>51</v>
      </c>
      <c r="I1686" t="s">
        <v>17</v>
      </c>
      <c r="J1686" t="s">
        <v>25</v>
      </c>
      <c r="K1686" t="s">
        <v>6206</v>
      </c>
    </row>
    <row r="1687" spans="1:11" x14ac:dyDescent="0.2">
      <c r="A1687" t="s">
        <v>6207</v>
      </c>
      <c r="E1687" t="s">
        <v>6208</v>
      </c>
      <c r="F1687" s="2">
        <v>525298528</v>
      </c>
      <c r="G1687" s="2">
        <v>133415141</v>
      </c>
      <c r="H1687" t="s">
        <v>34</v>
      </c>
      <c r="I1687" t="s">
        <v>17</v>
      </c>
      <c r="J1687" t="s">
        <v>25</v>
      </c>
    </row>
    <row r="1688" spans="1:11" x14ac:dyDescent="0.2">
      <c r="A1688" t="s">
        <v>6209</v>
      </c>
      <c r="B1688" t="s">
        <v>6210</v>
      </c>
      <c r="C1688" t="s">
        <v>6211</v>
      </c>
      <c r="E1688" t="s">
        <v>6212</v>
      </c>
      <c r="F1688" s="2">
        <v>525025949</v>
      </c>
      <c r="G1688" s="2">
        <v>133592244</v>
      </c>
      <c r="H1688" t="s">
        <v>38</v>
      </c>
      <c r="I1688" t="s">
        <v>17</v>
      </c>
      <c r="J1688" t="s">
        <v>25</v>
      </c>
    </row>
    <row r="1689" spans="1:11" x14ac:dyDescent="0.2">
      <c r="A1689" t="s">
        <v>6213</v>
      </c>
      <c r="B1689" t="s">
        <v>6214</v>
      </c>
      <c r="C1689" t="s">
        <v>6215</v>
      </c>
      <c r="F1689" s="2">
        <v>525066682</v>
      </c>
      <c r="G1689" s="2">
        <v>133654092</v>
      </c>
      <c r="H1689" t="s">
        <v>255</v>
      </c>
      <c r="I1689" t="s">
        <v>17</v>
      </c>
      <c r="J1689" t="s">
        <v>25</v>
      </c>
    </row>
    <row r="1690" spans="1:11" x14ac:dyDescent="0.2">
      <c r="A1690" t="s">
        <v>6216</v>
      </c>
      <c r="F1690" s="2">
        <v>525080542</v>
      </c>
      <c r="G1690" s="2">
        <v>133619572</v>
      </c>
      <c r="H1690" t="s">
        <v>28</v>
      </c>
      <c r="I1690" t="s">
        <v>17</v>
      </c>
      <c r="J1690" t="s">
        <v>25</v>
      </c>
    </row>
    <row r="1691" spans="1:11" x14ac:dyDescent="0.2">
      <c r="A1691" t="s">
        <v>6217</v>
      </c>
      <c r="C1691" t="s">
        <v>6218</v>
      </c>
      <c r="D1691" t="s">
        <v>6219</v>
      </c>
      <c r="E1691" t="s">
        <v>6220</v>
      </c>
      <c r="F1691" s="2">
        <v>525680482</v>
      </c>
      <c r="G1691" s="2">
        <v>133297133</v>
      </c>
      <c r="H1691" t="s">
        <v>16</v>
      </c>
      <c r="I1691" t="s">
        <v>17</v>
      </c>
      <c r="J1691" t="s">
        <v>25</v>
      </c>
    </row>
    <row r="1692" spans="1:11" x14ac:dyDescent="0.2">
      <c r="A1692" t="s">
        <v>6221</v>
      </c>
      <c r="F1692" s="2">
        <v>525989092</v>
      </c>
      <c r="G1692" s="2">
        <v>133246202</v>
      </c>
      <c r="H1692" t="s">
        <v>28</v>
      </c>
      <c r="I1692" t="s">
        <v>17</v>
      </c>
      <c r="J1692" t="s">
        <v>25</v>
      </c>
    </row>
    <row r="1693" spans="1:11" x14ac:dyDescent="0.2">
      <c r="A1693" t="s">
        <v>6222</v>
      </c>
      <c r="F1693" s="2">
        <v>525578798</v>
      </c>
      <c r="G1693" s="2">
        <v>132192443</v>
      </c>
      <c r="H1693" t="s">
        <v>28</v>
      </c>
      <c r="I1693" t="s">
        <v>17</v>
      </c>
      <c r="J1693" t="s">
        <v>25</v>
      </c>
    </row>
    <row r="1694" spans="1:11" x14ac:dyDescent="0.2">
      <c r="A1694" t="s">
        <v>6223</v>
      </c>
      <c r="B1694" t="s">
        <v>6224</v>
      </c>
      <c r="C1694" t="s">
        <v>6225</v>
      </c>
      <c r="E1694" t="s">
        <v>6226</v>
      </c>
      <c r="F1694" s="2">
        <v>524516808</v>
      </c>
      <c r="G1694" s="2">
        <v>136245174</v>
      </c>
      <c r="H1694" t="s">
        <v>38</v>
      </c>
      <c r="I1694" t="s">
        <v>17</v>
      </c>
      <c r="J1694" t="s">
        <v>25</v>
      </c>
    </row>
    <row r="1695" spans="1:11" x14ac:dyDescent="0.2">
      <c r="A1695" t="s">
        <v>6227</v>
      </c>
      <c r="B1695" t="s">
        <v>6228</v>
      </c>
      <c r="C1695" t="s">
        <v>6229</v>
      </c>
      <c r="F1695" s="2">
        <v>525099415</v>
      </c>
      <c r="G1695" s="2">
        <v>13273803</v>
      </c>
      <c r="H1695" t="s">
        <v>3120</v>
      </c>
      <c r="I1695" t="s">
        <v>17</v>
      </c>
      <c r="J1695" t="s">
        <v>25</v>
      </c>
      <c r="K1695" t="s">
        <v>6230</v>
      </c>
    </row>
    <row r="1696" spans="1:11" x14ac:dyDescent="0.2">
      <c r="A1696" t="s">
        <v>6231</v>
      </c>
      <c r="B1696" t="s">
        <v>6232</v>
      </c>
      <c r="C1696" t="s">
        <v>6233</v>
      </c>
      <c r="D1696" t="s">
        <v>6234</v>
      </c>
      <c r="E1696" t="s">
        <v>6235</v>
      </c>
      <c r="F1696" s="2">
        <v>525058141</v>
      </c>
      <c r="G1696" s="2">
        <v>134347954</v>
      </c>
      <c r="H1696" t="s">
        <v>51</v>
      </c>
      <c r="I1696" t="s">
        <v>17</v>
      </c>
      <c r="J1696" t="s">
        <v>25</v>
      </c>
      <c r="K1696" t="s">
        <v>6236</v>
      </c>
    </row>
    <row r="1697" spans="1:11" x14ac:dyDescent="0.2">
      <c r="A1697" t="s">
        <v>6237</v>
      </c>
      <c r="B1697" t="s">
        <v>6238</v>
      </c>
      <c r="C1697" t="s">
        <v>6239</v>
      </c>
      <c r="D1697" t="s">
        <v>6240</v>
      </c>
      <c r="E1697" t="s">
        <v>6241</v>
      </c>
      <c r="F1697" s="2">
        <v>52569811</v>
      </c>
      <c r="G1697" s="2">
        <v>13402408</v>
      </c>
      <c r="H1697" t="s">
        <v>16</v>
      </c>
      <c r="I1697" t="s">
        <v>17</v>
      </c>
      <c r="J1697" t="s">
        <v>25</v>
      </c>
    </row>
    <row r="1698" spans="1:11" x14ac:dyDescent="0.2">
      <c r="A1698" t="s">
        <v>6242</v>
      </c>
      <c r="B1698" t="s">
        <v>6243</v>
      </c>
      <c r="E1698" t="s">
        <v>6244</v>
      </c>
      <c r="F1698" s="2">
        <v>525179931</v>
      </c>
      <c r="G1698" s="2">
        <v>131689736</v>
      </c>
      <c r="H1698" t="s">
        <v>34</v>
      </c>
      <c r="I1698" t="s">
        <v>17</v>
      </c>
      <c r="J1698" t="s">
        <v>25</v>
      </c>
    </row>
    <row r="1699" spans="1:11" x14ac:dyDescent="0.2">
      <c r="A1699" t="s">
        <v>6245</v>
      </c>
      <c r="B1699" t="s">
        <v>6246</v>
      </c>
      <c r="F1699" s="2">
        <v>524802394</v>
      </c>
      <c r="G1699" s="2">
        <v>133474886</v>
      </c>
      <c r="H1699" t="s">
        <v>28</v>
      </c>
      <c r="I1699" t="s">
        <v>17</v>
      </c>
      <c r="J1699" t="s">
        <v>25</v>
      </c>
    </row>
    <row r="1700" spans="1:11" x14ac:dyDescent="0.2">
      <c r="A1700" t="s">
        <v>6247</v>
      </c>
      <c r="F1700" s="2">
        <v>525955942</v>
      </c>
      <c r="G1700" s="2">
        <v>13433058</v>
      </c>
      <c r="H1700" t="s">
        <v>28</v>
      </c>
      <c r="I1700" t="s">
        <v>17</v>
      </c>
      <c r="J1700" t="s">
        <v>25</v>
      </c>
    </row>
    <row r="1701" spans="1:11" x14ac:dyDescent="0.2">
      <c r="A1701" t="s">
        <v>6248</v>
      </c>
      <c r="F1701" s="2">
        <v>524980455</v>
      </c>
      <c r="G1701" s="2">
        <v>133082488</v>
      </c>
      <c r="H1701" t="s">
        <v>28</v>
      </c>
      <c r="I1701" t="s">
        <v>17</v>
      </c>
      <c r="J1701" t="s">
        <v>25</v>
      </c>
    </row>
    <row r="1702" spans="1:11" x14ac:dyDescent="0.2">
      <c r="A1702" t="s">
        <v>6249</v>
      </c>
      <c r="B1702" t="s">
        <v>6250</v>
      </c>
      <c r="C1702" t="s">
        <v>6251</v>
      </c>
      <c r="D1702" t="s">
        <v>6252</v>
      </c>
      <c r="E1702" t="s">
        <v>6253</v>
      </c>
      <c r="F1702" s="2">
        <v>525058808</v>
      </c>
      <c r="G1702" s="2">
        <v>132998222</v>
      </c>
      <c r="H1702" t="s">
        <v>16</v>
      </c>
      <c r="I1702" t="s">
        <v>17</v>
      </c>
      <c r="J1702" t="s">
        <v>25</v>
      </c>
    </row>
    <row r="1703" spans="1:11" x14ac:dyDescent="0.2">
      <c r="A1703" t="s">
        <v>6254</v>
      </c>
      <c r="B1703" t="s">
        <v>6255</v>
      </c>
      <c r="C1703" t="s">
        <v>6256</v>
      </c>
      <c r="E1703" t="s">
        <v>6257</v>
      </c>
      <c r="F1703" s="2">
        <v>525050169</v>
      </c>
      <c r="G1703" s="2">
        <v>133002075</v>
      </c>
      <c r="H1703" t="s">
        <v>38</v>
      </c>
      <c r="I1703" t="s">
        <v>17</v>
      </c>
      <c r="J1703" t="s">
        <v>25</v>
      </c>
    </row>
    <row r="1704" spans="1:11" x14ac:dyDescent="0.2">
      <c r="A1704" t="s">
        <v>6258</v>
      </c>
      <c r="B1704" t="s">
        <v>6259</v>
      </c>
      <c r="C1704" t="s">
        <v>6260</v>
      </c>
      <c r="D1704" t="s">
        <v>6261</v>
      </c>
      <c r="E1704" t="s">
        <v>6262</v>
      </c>
      <c r="F1704" s="2">
        <v>52505088</v>
      </c>
      <c r="G1704" s="2">
        <v>133005252</v>
      </c>
      <c r="H1704" t="s">
        <v>51</v>
      </c>
      <c r="I1704" t="s">
        <v>17</v>
      </c>
      <c r="J1704" t="s">
        <v>25</v>
      </c>
      <c r="K1704" t="s">
        <v>6263</v>
      </c>
    </row>
    <row r="1705" spans="1:11" x14ac:dyDescent="0.2">
      <c r="A1705" t="s">
        <v>6264</v>
      </c>
      <c r="B1705" t="s">
        <v>6265</v>
      </c>
      <c r="C1705" t="s">
        <v>6266</v>
      </c>
      <c r="D1705" t="s">
        <v>6267</v>
      </c>
      <c r="E1705">
        <v>49303248838</v>
      </c>
      <c r="F1705" s="2">
        <v>52505195</v>
      </c>
      <c r="G1705" s="2">
        <v>133010238</v>
      </c>
      <c r="H1705" t="s">
        <v>51</v>
      </c>
      <c r="I1705" t="s">
        <v>17</v>
      </c>
      <c r="J1705" t="s">
        <v>25</v>
      </c>
      <c r="K1705" t="s">
        <v>6268</v>
      </c>
    </row>
    <row r="1706" spans="1:11" x14ac:dyDescent="0.2">
      <c r="A1706" t="s">
        <v>6269</v>
      </c>
      <c r="C1706" t="s">
        <v>6270</v>
      </c>
      <c r="D1706" t="s">
        <v>6271</v>
      </c>
      <c r="E1706" t="s">
        <v>6272</v>
      </c>
      <c r="F1706" s="2">
        <v>525319918</v>
      </c>
      <c r="G1706" s="2">
        <v>131981045</v>
      </c>
      <c r="H1706" t="s">
        <v>51</v>
      </c>
      <c r="I1706" t="s">
        <v>17</v>
      </c>
      <c r="J1706" t="s">
        <v>25</v>
      </c>
      <c r="K1706" t="s">
        <v>2964</v>
      </c>
    </row>
    <row r="1707" spans="1:11" x14ac:dyDescent="0.2">
      <c r="A1707" t="s">
        <v>6273</v>
      </c>
      <c r="B1707" t="s">
        <v>6274</v>
      </c>
      <c r="F1707" s="2">
        <v>525165352</v>
      </c>
      <c r="G1707" s="2">
        <v>134605326</v>
      </c>
      <c r="H1707" t="s">
        <v>28</v>
      </c>
      <c r="I1707" t="s">
        <v>17</v>
      </c>
      <c r="J1707" t="s">
        <v>25</v>
      </c>
    </row>
    <row r="1708" spans="1:11" x14ac:dyDescent="0.2">
      <c r="A1708" t="s">
        <v>6275</v>
      </c>
      <c r="B1708" t="s">
        <v>6276</v>
      </c>
      <c r="C1708" t="s">
        <v>6277</v>
      </c>
      <c r="E1708" t="s">
        <v>6278</v>
      </c>
      <c r="F1708" s="2">
        <v>524783394</v>
      </c>
      <c r="G1708" s="2">
        <v>133302113</v>
      </c>
      <c r="H1708" t="s">
        <v>38</v>
      </c>
      <c r="I1708" t="s">
        <v>17</v>
      </c>
      <c r="J1708" t="s">
        <v>25</v>
      </c>
    </row>
    <row r="1709" spans="1:11" x14ac:dyDescent="0.2">
      <c r="A1709" t="s">
        <v>6279</v>
      </c>
      <c r="B1709" t="s">
        <v>6280</v>
      </c>
      <c r="C1709" t="s">
        <v>6281</v>
      </c>
      <c r="D1709" t="s">
        <v>6282</v>
      </c>
      <c r="F1709" s="2">
        <v>524788439</v>
      </c>
      <c r="G1709" s="2">
        <v>133300399</v>
      </c>
      <c r="H1709" t="s">
        <v>16</v>
      </c>
      <c r="I1709" t="s">
        <v>17</v>
      </c>
      <c r="J1709" t="s">
        <v>25</v>
      </c>
    </row>
    <row r="1710" spans="1:11" x14ac:dyDescent="0.2">
      <c r="A1710" t="s">
        <v>6283</v>
      </c>
      <c r="B1710" t="s">
        <v>6284</v>
      </c>
      <c r="C1710" t="s">
        <v>6285</v>
      </c>
      <c r="F1710" s="2">
        <v>524789501</v>
      </c>
      <c r="G1710" s="2">
        <v>13333047</v>
      </c>
      <c r="H1710" t="s">
        <v>255</v>
      </c>
      <c r="I1710" t="s">
        <v>17</v>
      </c>
      <c r="J1710" t="s">
        <v>25</v>
      </c>
    </row>
    <row r="1711" spans="1:11" x14ac:dyDescent="0.2">
      <c r="A1711" t="s">
        <v>6286</v>
      </c>
      <c r="B1711" t="s">
        <v>6284</v>
      </c>
      <c r="F1711" s="2">
        <v>52478892</v>
      </c>
      <c r="G1711" s="2">
        <v>133330577</v>
      </c>
      <c r="H1711" t="s">
        <v>28</v>
      </c>
      <c r="I1711" t="s">
        <v>17</v>
      </c>
      <c r="J1711" t="s">
        <v>25</v>
      </c>
    </row>
    <row r="1712" spans="1:11" x14ac:dyDescent="0.2">
      <c r="A1712" t="s">
        <v>6287</v>
      </c>
      <c r="B1712" t="s">
        <v>6288</v>
      </c>
      <c r="C1712" t="s">
        <v>6289</v>
      </c>
      <c r="D1712" t="s">
        <v>6290</v>
      </c>
      <c r="E1712" t="s">
        <v>6291</v>
      </c>
      <c r="F1712" s="2">
        <v>525304811</v>
      </c>
      <c r="G1712" s="2">
        <v>134315662</v>
      </c>
      <c r="H1712" t="s">
        <v>51</v>
      </c>
      <c r="I1712" t="s">
        <v>17</v>
      </c>
      <c r="J1712" t="s">
        <v>25</v>
      </c>
      <c r="K1712" t="s">
        <v>6292</v>
      </c>
    </row>
    <row r="1713" spans="1:11" x14ac:dyDescent="0.2">
      <c r="A1713" t="s">
        <v>6293</v>
      </c>
      <c r="B1713" t="s">
        <v>6294</v>
      </c>
      <c r="C1713" t="s">
        <v>6295</v>
      </c>
      <c r="D1713" t="s">
        <v>6296</v>
      </c>
      <c r="E1713" t="s">
        <v>6297</v>
      </c>
      <c r="F1713" s="2">
        <v>525244539</v>
      </c>
      <c r="G1713" s="2">
        <v>133491893</v>
      </c>
      <c r="H1713" t="s">
        <v>304</v>
      </c>
      <c r="I1713" t="s">
        <v>17</v>
      </c>
      <c r="J1713" t="s">
        <v>25</v>
      </c>
      <c r="K1713" t="s">
        <v>6298</v>
      </c>
    </row>
    <row r="1714" spans="1:11" x14ac:dyDescent="0.2">
      <c r="A1714" t="s">
        <v>6299</v>
      </c>
      <c r="B1714" t="s">
        <v>6300</v>
      </c>
      <c r="C1714" t="s">
        <v>6301</v>
      </c>
      <c r="E1714" t="s">
        <v>6302</v>
      </c>
      <c r="F1714" s="2">
        <v>525021134</v>
      </c>
      <c r="G1714" s="2">
        <v>133245036</v>
      </c>
      <c r="H1714" t="s">
        <v>277</v>
      </c>
      <c r="I1714" t="s">
        <v>17</v>
      </c>
      <c r="J1714" t="s">
        <v>25</v>
      </c>
      <c r="K1714" t="s">
        <v>6303</v>
      </c>
    </row>
    <row r="1715" spans="1:11" x14ac:dyDescent="0.2">
      <c r="A1715" t="s">
        <v>6304</v>
      </c>
      <c r="B1715" t="s">
        <v>6305</v>
      </c>
      <c r="F1715" s="2">
        <v>525016581</v>
      </c>
      <c r="G1715" s="2">
        <v>133215066</v>
      </c>
      <c r="H1715" t="s">
        <v>28</v>
      </c>
      <c r="I1715" t="s">
        <v>17</v>
      </c>
      <c r="J1715" t="s">
        <v>25</v>
      </c>
    </row>
    <row r="1716" spans="1:11" x14ac:dyDescent="0.2">
      <c r="A1716" t="s">
        <v>6306</v>
      </c>
      <c r="B1716" t="s">
        <v>6307</v>
      </c>
      <c r="C1716" t="s">
        <v>6308</v>
      </c>
      <c r="D1716" t="s">
        <v>6309</v>
      </c>
      <c r="E1716" t="s">
        <v>6310</v>
      </c>
      <c r="F1716" s="2">
        <v>525018147</v>
      </c>
      <c r="G1716" s="2">
        <v>13322497</v>
      </c>
      <c r="H1716" t="s">
        <v>51</v>
      </c>
      <c r="I1716" t="s">
        <v>17</v>
      </c>
      <c r="J1716" t="s">
        <v>25</v>
      </c>
      <c r="K1716" t="s">
        <v>6311</v>
      </c>
    </row>
    <row r="1717" spans="1:11" x14ac:dyDescent="0.2">
      <c r="A1717" t="s">
        <v>6312</v>
      </c>
      <c r="B1717" t="s">
        <v>6313</v>
      </c>
      <c r="C1717" t="s">
        <v>6314</v>
      </c>
      <c r="F1717" s="2">
        <v>52542625</v>
      </c>
      <c r="G1717" s="2">
        <v>133569712</v>
      </c>
      <c r="H1717" t="s">
        <v>255</v>
      </c>
      <c r="I1717" t="s">
        <v>17</v>
      </c>
      <c r="J1717" t="s">
        <v>25</v>
      </c>
    </row>
    <row r="1718" spans="1:11" x14ac:dyDescent="0.2">
      <c r="A1718" t="s">
        <v>6315</v>
      </c>
      <c r="B1718" t="s">
        <v>6316</v>
      </c>
      <c r="C1718" t="s">
        <v>6317</v>
      </c>
      <c r="D1718" t="s">
        <v>6318</v>
      </c>
      <c r="E1718" t="s">
        <v>6319</v>
      </c>
      <c r="F1718" s="2">
        <v>525346683</v>
      </c>
      <c r="G1718" s="2">
        <v>134251968</v>
      </c>
      <c r="H1718" t="s">
        <v>51</v>
      </c>
      <c r="I1718" t="s">
        <v>17</v>
      </c>
      <c r="J1718" t="s">
        <v>25</v>
      </c>
      <c r="K1718" t="s">
        <v>6320</v>
      </c>
    </row>
    <row r="1719" spans="1:11" x14ac:dyDescent="0.2">
      <c r="A1719" t="s">
        <v>6321</v>
      </c>
      <c r="B1719" t="s">
        <v>6322</v>
      </c>
      <c r="F1719" s="2">
        <v>525294063</v>
      </c>
      <c r="G1719" s="2">
        <v>134045708</v>
      </c>
      <c r="H1719" t="s">
        <v>28</v>
      </c>
      <c r="I1719" t="s">
        <v>17</v>
      </c>
      <c r="J1719" t="s">
        <v>25</v>
      </c>
    </row>
    <row r="1720" spans="1:11" x14ac:dyDescent="0.2">
      <c r="A1720" t="s">
        <v>6323</v>
      </c>
      <c r="B1720" t="s">
        <v>6324</v>
      </c>
      <c r="C1720" t="s">
        <v>6325</v>
      </c>
      <c r="E1720" t="s">
        <v>6326</v>
      </c>
      <c r="F1720" s="2">
        <v>525556038</v>
      </c>
      <c r="G1720" s="2">
        <v>133445668</v>
      </c>
      <c r="H1720" t="s">
        <v>38</v>
      </c>
      <c r="I1720" t="s">
        <v>17</v>
      </c>
      <c r="J1720" t="s">
        <v>25</v>
      </c>
    </row>
    <row r="1721" spans="1:11" x14ac:dyDescent="0.2">
      <c r="A1721" t="s">
        <v>6327</v>
      </c>
      <c r="C1721" t="s">
        <v>6328</v>
      </c>
      <c r="D1721" t="s">
        <v>6329</v>
      </c>
      <c r="E1721" t="s">
        <v>6330</v>
      </c>
      <c r="F1721" s="2">
        <v>523997731</v>
      </c>
      <c r="G1721" s="2">
        <v>135462407</v>
      </c>
      <c r="H1721" t="s">
        <v>24</v>
      </c>
      <c r="I1721" t="s">
        <v>17</v>
      </c>
      <c r="J1721" t="s">
        <v>25</v>
      </c>
    </row>
    <row r="1722" spans="1:11" x14ac:dyDescent="0.2">
      <c r="A1722" t="s">
        <v>6331</v>
      </c>
      <c r="B1722">
        <v>10435</v>
      </c>
      <c r="D1722" t="s">
        <v>6332</v>
      </c>
      <c r="E1722">
        <v>493041209623</v>
      </c>
      <c r="F1722" s="2">
        <v>52536619</v>
      </c>
      <c r="G1722" s="2">
        <v>13402188</v>
      </c>
      <c r="H1722" t="s">
        <v>3120</v>
      </c>
      <c r="I1722" t="s">
        <v>17</v>
      </c>
      <c r="J1722" t="s">
        <v>25</v>
      </c>
    </row>
    <row r="1723" spans="1:11" x14ac:dyDescent="0.2">
      <c r="A1723" t="s">
        <v>6333</v>
      </c>
      <c r="B1723" t="s">
        <v>6334</v>
      </c>
      <c r="F1723" s="2">
        <v>525547189</v>
      </c>
      <c r="G1723" s="2">
        <v>133609918</v>
      </c>
      <c r="H1723" t="s">
        <v>28</v>
      </c>
      <c r="I1723" t="s">
        <v>17</v>
      </c>
      <c r="J1723" t="s">
        <v>25</v>
      </c>
    </row>
    <row r="1724" spans="1:11" x14ac:dyDescent="0.2">
      <c r="A1724" t="s">
        <v>6335</v>
      </c>
      <c r="B1724" t="s">
        <v>6336</v>
      </c>
      <c r="C1724" t="s">
        <v>6337</v>
      </c>
      <c r="E1724" t="s">
        <v>6338</v>
      </c>
      <c r="F1724" s="2">
        <v>524891195</v>
      </c>
      <c r="G1724" s="2">
        <v>1339017</v>
      </c>
      <c r="H1724" t="s">
        <v>38</v>
      </c>
      <c r="I1724" t="s">
        <v>17</v>
      </c>
      <c r="J1724" t="s">
        <v>25</v>
      </c>
    </row>
    <row r="1725" spans="1:11" x14ac:dyDescent="0.2">
      <c r="A1725" t="s">
        <v>6339</v>
      </c>
      <c r="B1725" t="s">
        <v>6340</v>
      </c>
      <c r="C1725" t="s">
        <v>6341</v>
      </c>
      <c r="E1725">
        <v>49306922716</v>
      </c>
      <c r="F1725" s="2">
        <v>524866608</v>
      </c>
      <c r="G1725" s="2">
        <v>13394212</v>
      </c>
      <c r="H1725" t="s">
        <v>38</v>
      </c>
      <c r="I1725" t="s">
        <v>17</v>
      </c>
      <c r="J1725" t="s">
        <v>25</v>
      </c>
    </row>
    <row r="1726" spans="1:11" x14ac:dyDescent="0.2">
      <c r="A1726" t="s">
        <v>6342</v>
      </c>
      <c r="B1726" t="s">
        <v>6343</v>
      </c>
      <c r="C1726" t="s">
        <v>6344</v>
      </c>
      <c r="E1726" t="s">
        <v>6345</v>
      </c>
      <c r="F1726" s="2">
        <v>524894025</v>
      </c>
      <c r="G1726" s="2">
        <v>133908162</v>
      </c>
      <c r="H1726" t="s">
        <v>277</v>
      </c>
      <c r="I1726" t="s">
        <v>17</v>
      </c>
      <c r="J1726" t="s">
        <v>25</v>
      </c>
      <c r="K1726" t="s">
        <v>6346</v>
      </c>
    </row>
    <row r="1727" spans="1:11" x14ac:dyDescent="0.2">
      <c r="A1727" t="s">
        <v>6347</v>
      </c>
      <c r="B1727" t="s">
        <v>6348</v>
      </c>
      <c r="C1727" t="s">
        <v>6349</v>
      </c>
      <c r="E1727" t="s">
        <v>6350</v>
      </c>
      <c r="F1727" s="2">
        <v>524923508</v>
      </c>
      <c r="G1727" s="2">
        <v>133888295</v>
      </c>
      <c r="H1727" t="s">
        <v>38</v>
      </c>
      <c r="I1727" t="s">
        <v>17</v>
      </c>
      <c r="J1727" t="s">
        <v>25</v>
      </c>
    </row>
    <row r="1728" spans="1:11" x14ac:dyDescent="0.2">
      <c r="A1728" t="s">
        <v>6351</v>
      </c>
      <c r="B1728" t="s">
        <v>6352</v>
      </c>
      <c r="F1728" s="2">
        <v>524916312</v>
      </c>
      <c r="G1728" s="2">
        <v>13387538</v>
      </c>
      <c r="H1728" t="s">
        <v>28</v>
      </c>
      <c r="I1728" t="s">
        <v>17</v>
      </c>
      <c r="J1728" t="s">
        <v>25</v>
      </c>
    </row>
    <row r="1729" spans="1:11" x14ac:dyDescent="0.2">
      <c r="A1729" t="s">
        <v>6353</v>
      </c>
      <c r="B1729" t="s">
        <v>6354</v>
      </c>
      <c r="F1729" s="2">
        <v>524898475</v>
      </c>
      <c r="G1729" s="2">
        <v>133897699</v>
      </c>
      <c r="H1729" t="s">
        <v>28</v>
      </c>
      <c r="I1729" t="s">
        <v>17</v>
      </c>
      <c r="J1729" t="s">
        <v>25</v>
      </c>
    </row>
    <row r="1730" spans="1:11" x14ac:dyDescent="0.2">
      <c r="A1730" t="s">
        <v>6355</v>
      </c>
      <c r="B1730" t="s">
        <v>6356</v>
      </c>
      <c r="C1730" t="s">
        <v>6357</v>
      </c>
      <c r="D1730" t="s">
        <v>6358</v>
      </c>
      <c r="E1730" t="s">
        <v>6359</v>
      </c>
      <c r="F1730" s="2">
        <v>524922341</v>
      </c>
      <c r="G1730" s="2">
        <v>133895361</v>
      </c>
      <c r="H1730" t="s">
        <v>304</v>
      </c>
      <c r="I1730" t="s">
        <v>17</v>
      </c>
      <c r="J1730" t="s">
        <v>25</v>
      </c>
      <c r="K1730" t="s">
        <v>6360</v>
      </c>
    </row>
    <row r="1731" spans="1:11" x14ac:dyDescent="0.2">
      <c r="A1731" t="s">
        <v>6361</v>
      </c>
      <c r="F1731" s="2">
        <v>524923727</v>
      </c>
      <c r="G1731" s="2">
        <v>133887015</v>
      </c>
      <c r="H1731" t="s">
        <v>28</v>
      </c>
      <c r="I1731" t="s">
        <v>17</v>
      </c>
      <c r="J1731" t="s">
        <v>25</v>
      </c>
    </row>
    <row r="1732" spans="1:11" x14ac:dyDescent="0.2">
      <c r="A1732" t="s">
        <v>6362</v>
      </c>
      <c r="B1732" t="s">
        <v>6363</v>
      </c>
      <c r="F1732" s="2">
        <v>524905335</v>
      </c>
      <c r="G1732" s="2">
        <v>133870949</v>
      </c>
      <c r="H1732" t="s">
        <v>28</v>
      </c>
      <c r="I1732" t="s">
        <v>17</v>
      </c>
      <c r="J1732" t="s">
        <v>25</v>
      </c>
    </row>
    <row r="1733" spans="1:11" x14ac:dyDescent="0.2">
      <c r="A1733" t="s">
        <v>6364</v>
      </c>
      <c r="B1733" t="s">
        <v>6365</v>
      </c>
      <c r="C1733" t="s">
        <v>6366</v>
      </c>
      <c r="D1733" t="s">
        <v>6367</v>
      </c>
      <c r="E1733" t="s">
        <v>6368</v>
      </c>
      <c r="F1733" s="2">
        <v>524896028</v>
      </c>
      <c r="G1733" s="2">
        <v>134076127</v>
      </c>
      <c r="H1733" t="s">
        <v>51</v>
      </c>
      <c r="I1733" t="s">
        <v>17</v>
      </c>
      <c r="J1733" t="s">
        <v>25</v>
      </c>
      <c r="K1733" t="s">
        <v>6369</v>
      </c>
    </row>
    <row r="1734" spans="1:11" x14ac:dyDescent="0.2">
      <c r="A1734" t="s">
        <v>6370</v>
      </c>
      <c r="B1734" t="s">
        <v>6371</v>
      </c>
      <c r="C1734" t="s">
        <v>6372</v>
      </c>
      <c r="D1734" t="s">
        <v>6373</v>
      </c>
      <c r="E1734" t="s">
        <v>6374</v>
      </c>
      <c r="F1734" s="2">
        <v>524899201</v>
      </c>
      <c r="G1734" s="2">
        <v>133890977</v>
      </c>
      <c r="H1734" t="s">
        <v>51</v>
      </c>
      <c r="I1734" t="s">
        <v>17</v>
      </c>
      <c r="J1734" t="s">
        <v>25</v>
      </c>
      <c r="K1734" t="s">
        <v>6375</v>
      </c>
    </row>
    <row r="1735" spans="1:11" x14ac:dyDescent="0.2">
      <c r="A1735" t="s">
        <v>6376</v>
      </c>
      <c r="B1735" t="s">
        <v>6377</v>
      </c>
      <c r="C1735" t="s">
        <v>6378</v>
      </c>
      <c r="E1735" t="s">
        <v>6379</v>
      </c>
      <c r="F1735" s="2">
        <v>524896456</v>
      </c>
      <c r="G1735" s="2">
        <v>133912396</v>
      </c>
      <c r="H1735" t="s">
        <v>277</v>
      </c>
      <c r="I1735" t="s">
        <v>17</v>
      </c>
      <c r="J1735" t="s">
        <v>25</v>
      </c>
      <c r="K1735" t="s">
        <v>6380</v>
      </c>
    </row>
    <row r="1736" spans="1:11" x14ac:dyDescent="0.2">
      <c r="A1736" t="s">
        <v>6381</v>
      </c>
      <c r="B1736" t="s">
        <v>32</v>
      </c>
      <c r="E1736">
        <v>4917655690191</v>
      </c>
      <c r="F1736" s="2">
        <v>5249067</v>
      </c>
      <c r="G1736" s="2">
        <v>133939518</v>
      </c>
      <c r="H1736" t="s">
        <v>34</v>
      </c>
      <c r="I1736" t="s">
        <v>17</v>
      </c>
      <c r="J1736" t="s">
        <v>25</v>
      </c>
    </row>
    <row r="1737" spans="1:11" x14ac:dyDescent="0.2">
      <c r="A1737" t="s">
        <v>6382</v>
      </c>
      <c r="B1737" t="s">
        <v>6383</v>
      </c>
      <c r="C1737" t="s">
        <v>6384</v>
      </c>
      <c r="D1737" t="s">
        <v>6385</v>
      </c>
      <c r="E1737" t="s">
        <v>6386</v>
      </c>
      <c r="F1737" s="2">
        <v>525078096</v>
      </c>
      <c r="G1737" s="2">
        <v>133040796</v>
      </c>
      <c r="H1737" t="s">
        <v>51</v>
      </c>
      <c r="I1737" t="s">
        <v>17</v>
      </c>
      <c r="J1737" t="s">
        <v>25</v>
      </c>
      <c r="K1737" t="s">
        <v>6387</v>
      </c>
    </row>
    <row r="1738" spans="1:11" x14ac:dyDescent="0.2">
      <c r="A1738" t="s">
        <v>6388</v>
      </c>
      <c r="B1738" t="s">
        <v>6389</v>
      </c>
      <c r="C1738" t="s">
        <v>6390</v>
      </c>
      <c r="E1738" t="s">
        <v>6391</v>
      </c>
      <c r="F1738" s="2">
        <v>525038973</v>
      </c>
      <c r="G1738" s="2">
        <v>133156892</v>
      </c>
      <c r="H1738" t="s">
        <v>277</v>
      </c>
      <c r="I1738" t="s">
        <v>17</v>
      </c>
      <c r="J1738" t="s">
        <v>25</v>
      </c>
      <c r="K1738" t="s">
        <v>6392</v>
      </c>
    </row>
    <row r="1739" spans="1:11" x14ac:dyDescent="0.2">
      <c r="A1739" t="s">
        <v>6393</v>
      </c>
      <c r="B1739" t="s">
        <v>6394</v>
      </c>
      <c r="E1739" t="s">
        <v>6395</v>
      </c>
      <c r="F1739" s="2">
        <v>525069431</v>
      </c>
      <c r="G1739" s="2">
        <v>133025606</v>
      </c>
      <c r="H1739" t="s">
        <v>34</v>
      </c>
      <c r="I1739" t="s">
        <v>17</v>
      </c>
      <c r="J1739" t="s">
        <v>25</v>
      </c>
    </row>
    <row r="1740" spans="1:11" x14ac:dyDescent="0.2">
      <c r="A1740" t="s">
        <v>6396</v>
      </c>
      <c r="B1740" t="s">
        <v>6397</v>
      </c>
      <c r="C1740" t="s">
        <v>6398</v>
      </c>
      <c r="D1740" t="s">
        <v>6399</v>
      </c>
      <c r="E1740" t="s">
        <v>6400</v>
      </c>
      <c r="F1740" s="2">
        <v>525077041</v>
      </c>
      <c r="G1740" s="2">
        <v>133024516</v>
      </c>
      <c r="H1740" t="s">
        <v>24</v>
      </c>
      <c r="I1740" t="s">
        <v>17</v>
      </c>
      <c r="J1740" t="s">
        <v>25</v>
      </c>
    </row>
    <row r="1741" spans="1:11" x14ac:dyDescent="0.2">
      <c r="A1741" t="s">
        <v>6401</v>
      </c>
      <c r="C1741" t="s">
        <v>6402</v>
      </c>
      <c r="E1741" t="s">
        <v>6403</v>
      </c>
      <c r="F1741" s="2">
        <v>52458269</v>
      </c>
      <c r="G1741" s="2">
        <v>133738177</v>
      </c>
      <c r="H1741" t="s">
        <v>277</v>
      </c>
      <c r="I1741" t="s">
        <v>17</v>
      </c>
      <c r="J1741" t="s">
        <v>25</v>
      </c>
      <c r="K1741" t="s">
        <v>6404</v>
      </c>
    </row>
    <row r="1742" spans="1:11" x14ac:dyDescent="0.2">
      <c r="A1742" t="s">
        <v>6405</v>
      </c>
      <c r="B1742" t="s">
        <v>6406</v>
      </c>
      <c r="E1742" t="s">
        <v>6407</v>
      </c>
      <c r="F1742" s="2">
        <v>524872025</v>
      </c>
      <c r="G1742" s="2">
        <v>134223232</v>
      </c>
      <c r="H1742" t="s">
        <v>34</v>
      </c>
      <c r="I1742" t="s">
        <v>17</v>
      </c>
      <c r="J1742" t="s">
        <v>25</v>
      </c>
    </row>
    <row r="1743" spans="1:11" x14ac:dyDescent="0.2">
      <c r="A1743" t="s">
        <v>6408</v>
      </c>
      <c r="B1743" t="s">
        <v>6409</v>
      </c>
      <c r="C1743" t="s">
        <v>6410</v>
      </c>
      <c r="E1743" t="s">
        <v>6411</v>
      </c>
      <c r="F1743" s="2">
        <v>524303229</v>
      </c>
      <c r="G1743" s="2">
        <v>132135299</v>
      </c>
      <c r="H1743" t="s">
        <v>38</v>
      </c>
      <c r="I1743" t="s">
        <v>17</v>
      </c>
      <c r="J1743" t="s">
        <v>25</v>
      </c>
    </row>
    <row r="1744" spans="1:11" x14ac:dyDescent="0.2">
      <c r="A1744" t="s">
        <v>6412</v>
      </c>
      <c r="B1744" t="s">
        <v>6413</v>
      </c>
      <c r="E1744" t="s">
        <v>6414</v>
      </c>
      <c r="F1744" s="2">
        <v>52533216</v>
      </c>
      <c r="G1744" s="2">
        <v>13406867</v>
      </c>
      <c r="H1744" t="s">
        <v>34</v>
      </c>
      <c r="I1744" t="s">
        <v>17</v>
      </c>
      <c r="J1744" t="s">
        <v>25</v>
      </c>
    </row>
    <row r="1745" spans="1:11" x14ac:dyDescent="0.2">
      <c r="A1745" t="s">
        <v>6415</v>
      </c>
      <c r="B1745" t="s">
        <v>6416</v>
      </c>
      <c r="C1745" t="s">
        <v>6417</v>
      </c>
      <c r="D1745" t="s">
        <v>6418</v>
      </c>
      <c r="E1745" t="s">
        <v>6419</v>
      </c>
      <c r="F1745" s="2">
        <v>525344093</v>
      </c>
      <c r="G1745" s="2">
        <v>13486247</v>
      </c>
      <c r="H1745" t="s">
        <v>51</v>
      </c>
      <c r="I1745" t="s">
        <v>17</v>
      </c>
      <c r="J1745" t="s">
        <v>25</v>
      </c>
      <c r="K1745" t="s">
        <v>6420</v>
      </c>
    </row>
    <row r="1746" spans="1:11" x14ac:dyDescent="0.2">
      <c r="A1746" t="s">
        <v>6421</v>
      </c>
      <c r="B1746" t="s">
        <v>6422</v>
      </c>
      <c r="C1746" t="s">
        <v>6423</v>
      </c>
      <c r="D1746" t="s">
        <v>6424</v>
      </c>
      <c r="E1746" t="s">
        <v>6425</v>
      </c>
      <c r="F1746" s="2">
        <v>524417166</v>
      </c>
      <c r="G1746" s="2">
        <v>134567751</v>
      </c>
      <c r="H1746" t="s">
        <v>24</v>
      </c>
      <c r="I1746" t="s">
        <v>17</v>
      </c>
      <c r="J1746" t="s">
        <v>25</v>
      </c>
    </row>
    <row r="1747" spans="1:11" x14ac:dyDescent="0.2">
      <c r="A1747" t="s">
        <v>6426</v>
      </c>
      <c r="B1747" t="s">
        <v>4214</v>
      </c>
      <c r="C1747" t="s">
        <v>6427</v>
      </c>
      <c r="D1747" t="s">
        <v>6428</v>
      </c>
      <c r="E1747" t="s">
        <v>6429</v>
      </c>
      <c r="F1747" s="2">
        <v>525066529</v>
      </c>
      <c r="G1747" s="2">
        <v>134704757</v>
      </c>
      <c r="H1747" t="s">
        <v>304</v>
      </c>
      <c r="I1747" t="s">
        <v>17</v>
      </c>
      <c r="J1747" t="s">
        <v>25</v>
      </c>
      <c r="K1747" t="s">
        <v>6430</v>
      </c>
    </row>
    <row r="1748" spans="1:11" x14ac:dyDescent="0.2">
      <c r="A1748" t="s">
        <v>6431</v>
      </c>
      <c r="B1748" t="s">
        <v>6432</v>
      </c>
      <c r="C1748" t="s">
        <v>6433</v>
      </c>
      <c r="D1748" t="s">
        <v>6434</v>
      </c>
      <c r="E1748" t="s">
        <v>6435</v>
      </c>
      <c r="F1748" s="2">
        <v>525227782</v>
      </c>
      <c r="G1748" s="2">
        <v>133993746</v>
      </c>
      <c r="H1748" t="s">
        <v>51</v>
      </c>
      <c r="I1748" t="s">
        <v>17</v>
      </c>
      <c r="J1748" t="s">
        <v>25</v>
      </c>
      <c r="K1748" t="s">
        <v>6436</v>
      </c>
    </row>
    <row r="1749" spans="1:11" x14ac:dyDescent="0.2">
      <c r="A1749" t="s">
        <v>6437</v>
      </c>
      <c r="B1749" t="s">
        <v>6438</v>
      </c>
      <c r="C1749" t="s">
        <v>6439</v>
      </c>
      <c r="D1749" t="s">
        <v>6440</v>
      </c>
      <c r="E1749" t="s">
        <v>6441</v>
      </c>
      <c r="F1749" s="2">
        <v>525209345</v>
      </c>
      <c r="G1749" s="2">
        <v>132998829</v>
      </c>
      <c r="H1749" t="s">
        <v>51</v>
      </c>
      <c r="I1749" t="s">
        <v>17</v>
      </c>
      <c r="J1749" t="s">
        <v>25</v>
      </c>
      <c r="K1749" t="s">
        <v>6442</v>
      </c>
    </row>
    <row r="1750" spans="1:11" x14ac:dyDescent="0.2">
      <c r="A1750" t="s">
        <v>6443</v>
      </c>
      <c r="B1750" t="s">
        <v>6444</v>
      </c>
      <c r="F1750" s="2">
        <v>525030909</v>
      </c>
      <c r="G1750" s="2">
        <v>133192128</v>
      </c>
      <c r="H1750" t="s">
        <v>28</v>
      </c>
      <c r="I1750" t="s">
        <v>17</v>
      </c>
      <c r="J1750" t="s">
        <v>25</v>
      </c>
    </row>
    <row r="1751" spans="1:11" x14ac:dyDescent="0.2">
      <c r="A1751" t="s">
        <v>6445</v>
      </c>
      <c r="B1751" t="s">
        <v>6446</v>
      </c>
      <c r="F1751" s="2">
        <v>525033133</v>
      </c>
      <c r="G1751" s="2">
        <v>133194715</v>
      </c>
      <c r="H1751" t="s">
        <v>28</v>
      </c>
      <c r="I1751" t="s">
        <v>17</v>
      </c>
      <c r="J1751" t="s">
        <v>25</v>
      </c>
    </row>
    <row r="1752" spans="1:11" x14ac:dyDescent="0.2">
      <c r="A1752" t="s">
        <v>6447</v>
      </c>
      <c r="B1752" t="s">
        <v>6448</v>
      </c>
      <c r="F1752" s="2">
        <v>52507743</v>
      </c>
      <c r="G1752" s="2">
        <v>133092047</v>
      </c>
      <c r="H1752" t="s">
        <v>28</v>
      </c>
      <c r="I1752" t="s">
        <v>17</v>
      </c>
      <c r="J1752" t="s">
        <v>25</v>
      </c>
    </row>
    <row r="1753" spans="1:11" x14ac:dyDescent="0.2">
      <c r="A1753" t="s">
        <v>6449</v>
      </c>
      <c r="B1753" t="s">
        <v>6450</v>
      </c>
      <c r="C1753" t="s">
        <v>6451</v>
      </c>
      <c r="D1753" t="s">
        <v>6452</v>
      </c>
      <c r="E1753" t="s">
        <v>6453</v>
      </c>
      <c r="F1753" s="2">
        <v>525073815</v>
      </c>
      <c r="G1753" s="2">
        <v>133091775</v>
      </c>
      <c r="H1753" t="s">
        <v>24</v>
      </c>
      <c r="I1753" t="s">
        <v>17</v>
      </c>
      <c r="J1753" t="s">
        <v>25</v>
      </c>
    </row>
    <row r="1754" spans="1:11" x14ac:dyDescent="0.2">
      <c r="A1754" t="s">
        <v>6454</v>
      </c>
      <c r="F1754" s="2">
        <v>525069388</v>
      </c>
      <c r="G1754" s="2">
        <v>133049624</v>
      </c>
      <c r="H1754" t="s">
        <v>28</v>
      </c>
      <c r="I1754" t="s">
        <v>17</v>
      </c>
      <c r="J1754" t="s">
        <v>25</v>
      </c>
    </row>
    <row r="1755" spans="1:11" x14ac:dyDescent="0.2">
      <c r="A1755" t="s">
        <v>6455</v>
      </c>
      <c r="F1755" s="2">
        <v>525057487</v>
      </c>
      <c r="G1755" s="2">
        <v>133046433</v>
      </c>
      <c r="H1755" t="s">
        <v>28</v>
      </c>
      <c r="I1755" t="s">
        <v>17</v>
      </c>
      <c r="J1755" t="s">
        <v>25</v>
      </c>
    </row>
    <row r="1756" spans="1:11" x14ac:dyDescent="0.2">
      <c r="A1756" t="s">
        <v>6456</v>
      </c>
      <c r="B1756" t="s">
        <v>6457</v>
      </c>
      <c r="F1756" s="2">
        <v>524746216</v>
      </c>
      <c r="G1756" s="2">
        <v>134402775</v>
      </c>
      <c r="H1756" t="s">
        <v>28</v>
      </c>
      <c r="I1756" t="s">
        <v>17</v>
      </c>
      <c r="J1756" t="s">
        <v>25</v>
      </c>
    </row>
    <row r="1757" spans="1:11" x14ac:dyDescent="0.2">
      <c r="A1757" t="s">
        <v>6458</v>
      </c>
      <c r="B1757" t="s">
        <v>6459</v>
      </c>
      <c r="F1757" s="2">
        <v>52474432</v>
      </c>
      <c r="G1757" s="2">
        <v>134403899</v>
      </c>
      <c r="H1757" t="s">
        <v>28</v>
      </c>
      <c r="I1757" t="s">
        <v>17</v>
      </c>
      <c r="J1757" t="s">
        <v>25</v>
      </c>
    </row>
    <row r="1758" spans="1:11" x14ac:dyDescent="0.2">
      <c r="A1758" t="s">
        <v>6460</v>
      </c>
      <c r="B1758" t="s">
        <v>6461</v>
      </c>
      <c r="C1758" t="s">
        <v>6462</v>
      </c>
      <c r="E1758" t="s">
        <v>6463</v>
      </c>
      <c r="F1758" s="2">
        <v>525323097</v>
      </c>
      <c r="G1758" s="2">
        <v>134289983</v>
      </c>
      <c r="H1758" t="s">
        <v>277</v>
      </c>
      <c r="I1758" t="s">
        <v>17</v>
      </c>
      <c r="J1758" t="s">
        <v>25</v>
      </c>
      <c r="K1758" t="s">
        <v>6464</v>
      </c>
    </row>
    <row r="1759" spans="1:11" x14ac:dyDescent="0.2">
      <c r="A1759" t="s">
        <v>6465</v>
      </c>
      <c r="B1759" t="s">
        <v>6466</v>
      </c>
      <c r="F1759" s="2">
        <v>524946833</v>
      </c>
      <c r="G1759" s="2">
        <v>13356437</v>
      </c>
      <c r="H1759" t="s">
        <v>28</v>
      </c>
      <c r="I1759" t="s">
        <v>17</v>
      </c>
      <c r="J1759" t="s">
        <v>25</v>
      </c>
    </row>
    <row r="1760" spans="1:11" x14ac:dyDescent="0.2">
      <c r="A1760" t="s">
        <v>6467</v>
      </c>
      <c r="F1760" s="2">
        <v>525196349</v>
      </c>
      <c r="G1760" s="2">
        <v>13392287</v>
      </c>
      <c r="H1760" t="s">
        <v>28</v>
      </c>
      <c r="I1760" t="s">
        <v>17</v>
      </c>
      <c r="J1760" t="s">
        <v>25</v>
      </c>
    </row>
    <row r="1761" spans="1:11" x14ac:dyDescent="0.2">
      <c r="A1761" t="s">
        <v>6468</v>
      </c>
      <c r="E1761">
        <v>493051588592</v>
      </c>
      <c r="F1761" s="2">
        <v>525051747</v>
      </c>
      <c r="G1761" s="2">
        <v>135145153</v>
      </c>
      <c r="H1761" t="s">
        <v>34</v>
      </c>
      <c r="I1761" t="s">
        <v>17</v>
      </c>
      <c r="J1761" t="s">
        <v>25</v>
      </c>
    </row>
    <row r="1762" spans="1:11" x14ac:dyDescent="0.2">
      <c r="A1762" t="s">
        <v>6469</v>
      </c>
      <c r="B1762" t="s">
        <v>6470</v>
      </c>
      <c r="E1762" t="s">
        <v>6471</v>
      </c>
      <c r="F1762" s="2">
        <v>524909319</v>
      </c>
      <c r="G1762" s="2">
        <v>133940433</v>
      </c>
      <c r="H1762" t="s">
        <v>34</v>
      </c>
      <c r="I1762" t="s">
        <v>17</v>
      </c>
      <c r="J1762" t="s">
        <v>25</v>
      </c>
    </row>
    <row r="1763" spans="1:11" x14ac:dyDescent="0.2">
      <c r="A1763" t="s">
        <v>6472</v>
      </c>
      <c r="B1763" t="s">
        <v>6473</v>
      </c>
      <c r="C1763" t="s">
        <v>6474</v>
      </c>
      <c r="E1763" t="s">
        <v>6475</v>
      </c>
      <c r="F1763" s="2">
        <v>5252503</v>
      </c>
      <c r="G1763" s="2">
        <v>134027669</v>
      </c>
      <c r="H1763" t="s">
        <v>38</v>
      </c>
      <c r="I1763" t="s">
        <v>17</v>
      </c>
      <c r="J1763" t="s">
        <v>25</v>
      </c>
    </row>
    <row r="1764" spans="1:11" x14ac:dyDescent="0.2">
      <c r="A1764" t="s">
        <v>6476</v>
      </c>
      <c r="B1764" t="s">
        <v>6477</v>
      </c>
      <c r="F1764" s="2">
        <v>524946174</v>
      </c>
      <c r="G1764" s="2">
        <v>133607931</v>
      </c>
      <c r="H1764" t="s">
        <v>28</v>
      </c>
      <c r="I1764" t="s">
        <v>17</v>
      </c>
      <c r="J1764" t="s">
        <v>25</v>
      </c>
    </row>
    <row r="1765" spans="1:11" x14ac:dyDescent="0.2">
      <c r="A1765" t="s">
        <v>6478</v>
      </c>
      <c r="B1765" t="s">
        <v>6479</v>
      </c>
      <c r="C1765" t="s">
        <v>6480</v>
      </c>
      <c r="E1765" t="s">
        <v>6481</v>
      </c>
      <c r="F1765" s="2">
        <v>525279126</v>
      </c>
      <c r="G1765" s="2">
        <v>133383137</v>
      </c>
      <c r="H1765" t="s">
        <v>277</v>
      </c>
      <c r="I1765" t="s">
        <v>17</v>
      </c>
      <c r="J1765" t="s">
        <v>25</v>
      </c>
      <c r="K1765" t="s">
        <v>6482</v>
      </c>
    </row>
    <row r="1766" spans="1:11" x14ac:dyDescent="0.2">
      <c r="A1766" t="s">
        <v>6483</v>
      </c>
      <c r="B1766" t="s">
        <v>6484</v>
      </c>
      <c r="C1766" t="s">
        <v>6485</v>
      </c>
      <c r="D1766" t="s">
        <v>6486</v>
      </c>
      <c r="E1766" t="s">
        <v>6487</v>
      </c>
      <c r="F1766" s="2">
        <v>5253827</v>
      </c>
      <c r="G1766" s="2">
        <v>132044607</v>
      </c>
      <c r="H1766" t="s">
        <v>24</v>
      </c>
      <c r="I1766" t="s">
        <v>17</v>
      </c>
      <c r="J1766" t="s">
        <v>25</v>
      </c>
    </row>
    <row r="1767" spans="1:11" x14ac:dyDescent="0.2">
      <c r="A1767" t="s">
        <v>6488</v>
      </c>
      <c r="B1767" t="s">
        <v>6489</v>
      </c>
      <c r="E1767" t="s">
        <v>6490</v>
      </c>
      <c r="F1767" s="2">
        <v>525321855</v>
      </c>
      <c r="G1767" s="2">
        <v>134278672</v>
      </c>
      <c r="H1767" t="s">
        <v>34</v>
      </c>
      <c r="I1767" t="s">
        <v>17</v>
      </c>
      <c r="J1767" t="s">
        <v>25</v>
      </c>
    </row>
    <row r="1768" spans="1:11" x14ac:dyDescent="0.2">
      <c r="A1768" t="s">
        <v>6491</v>
      </c>
      <c r="B1768" t="s">
        <v>6492</v>
      </c>
      <c r="C1768" t="s">
        <v>6493</v>
      </c>
      <c r="D1768" t="s">
        <v>6494</v>
      </c>
      <c r="E1768">
        <v>493078717701</v>
      </c>
      <c r="F1768" s="2">
        <v>525012549</v>
      </c>
      <c r="G1768" s="2">
        <v>134323175</v>
      </c>
      <c r="H1768" t="s">
        <v>51</v>
      </c>
      <c r="I1768" t="s">
        <v>17</v>
      </c>
      <c r="J1768" t="s">
        <v>25</v>
      </c>
      <c r="K1768" t="s">
        <v>6495</v>
      </c>
    </row>
    <row r="1769" spans="1:11" x14ac:dyDescent="0.2">
      <c r="A1769" t="s">
        <v>6496</v>
      </c>
      <c r="B1769" t="s">
        <v>6497</v>
      </c>
      <c r="C1769" t="s">
        <v>6498</v>
      </c>
      <c r="E1769" t="s">
        <v>6499</v>
      </c>
      <c r="F1769" s="2">
        <v>524376514</v>
      </c>
      <c r="G1769" s="2">
        <v>132154624</v>
      </c>
      <c r="H1769" t="s">
        <v>38</v>
      </c>
      <c r="I1769" t="s">
        <v>17</v>
      </c>
      <c r="J1769" t="s">
        <v>25</v>
      </c>
    </row>
    <row r="1770" spans="1:11" x14ac:dyDescent="0.2">
      <c r="A1770" t="s">
        <v>6500</v>
      </c>
      <c r="C1770" t="s">
        <v>6501</v>
      </c>
      <c r="D1770" t="s">
        <v>6502</v>
      </c>
      <c r="F1770" s="2">
        <v>525188297</v>
      </c>
      <c r="G1770" s="2">
        <v>134087007</v>
      </c>
      <c r="H1770" t="s">
        <v>51</v>
      </c>
      <c r="I1770" t="s">
        <v>17</v>
      </c>
      <c r="J1770" t="s">
        <v>25</v>
      </c>
      <c r="K1770" t="s">
        <v>6503</v>
      </c>
    </row>
    <row r="1771" spans="1:11" x14ac:dyDescent="0.2">
      <c r="A1771" t="s">
        <v>6504</v>
      </c>
      <c r="B1771" t="s">
        <v>6505</v>
      </c>
      <c r="C1771" t="s">
        <v>6506</v>
      </c>
      <c r="D1771" t="s">
        <v>6507</v>
      </c>
      <c r="E1771" t="s">
        <v>6508</v>
      </c>
      <c r="F1771" s="2">
        <v>525481044</v>
      </c>
      <c r="G1771" s="2">
        <v>134227272</v>
      </c>
      <c r="H1771" t="s">
        <v>16</v>
      </c>
      <c r="I1771" t="s">
        <v>17</v>
      </c>
      <c r="J1771" t="s">
        <v>25</v>
      </c>
    </row>
    <row r="1772" spans="1:11" x14ac:dyDescent="0.2">
      <c r="A1772" t="s">
        <v>6509</v>
      </c>
      <c r="B1772" t="s">
        <v>6510</v>
      </c>
      <c r="F1772" s="2">
        <v>525651559</v>
      </c>
      <c r="G1772" s="2">
        <v>133949802</v>
      </c>
      <c r="H1772" t="s">
        <v>28</v>
      </c>
      <c r="I1772" t="s">
        <v>17</v>
      </c>
      <c r="J1772" t="s">
        <v>25</v>
      </c>
    </row>
    <row r="1773" spans="1:11" x14ac:dyDescent="0.2">
      <c r="A1773" t="s">
        <v>6511</v>
      </c>
      <c r="B1773" t="s">
        <v>6512</v>
      </c>
      <c r="F1773" s="2">
        <v>525181923</v>
      </c>
      <c r="G1773" s="2">
        <v>134543682</v>
      </c>
      <c r="H1773" t="s">
        <v>28</v>
      </c>
      <c r="I1773" t="s">
        <v>17</v>
      </c>
      <c r="J1773" t="s">
        <v>25</v>
      </c>
    </row>
    <row r="1774" spans="1:11" x14ac:dyDescent="0.2">
      <c r="A1774" t="s">
        <v>6513</v>
      </c>
      <c r="C1774" t="s">
        <v>6514</v>
      </c>
      <c r="D1774" t="s">
        <v>6515</v>
      </c>
      <c r="E1774" t="s">
        <v>6516</v>
      </c>
      <c r="F1774" s="2">
        <v>524480426</v>
      </c>
      <c r="G1774" s="2">
        <v>136249968</v>
      </c>
      <c r="H1774" t="s">
        <v>24</v>
      </c>
      <c r="I1774" t="s">
        <v>17</v>
      </c>
      <c r="J1774" t="s">
        <v>25</v>
      </c>
    </row>
    <row r="1775" spans="1:11" x14ac:dyDescent="0.2">
      <c r="A1775" t="s">
        <v>6517</v>
      </c>
      <c r="C1775" t="s">
        <v>6518</v>
      </c>
      <c r="D1775" t="s">
        <v>6519</v>
      </c>
      <c r="E1775" t="s">
        <v>6520</v>
      </c>
      <c r="F1775" s="2">
        <v>52633634</v>
      </c>
      <c r="G1775" s="2">
        <v>132941</v>
      </c>
      <c r="H1775" t="s">
        <v>24</v>
      </c>
      <c r="I1775" t="s">
        <v>17</v>
      </c>
      <c r="J1775" t="s">
        <v>25</v>
      </c>
    </row>
    <row r="1776" spans="1:11" x14ac:dyDescent="0.2">
      <c r="A1776" t="s">
        <v>6521</v>
      </c>
      <c r="B1776" t="s">
        <v>3896</v>
      </c>
      <c r="C1776" t="s">
        <v>6522</v>
      </c>
      <c r="F1776" s="2">
        <v>524287989</v>
      </c>
      <c r="G1776" s="2">
        <v>132594901</v>
      </c>
      <c r="H1776" t="s">
        <v>255</v>
      </c>
      <c r="I1776" t="s">
        <v>17</v>
      </c>
      <c r="J1776" t="s">
        <v>25</v>
      </c>
    </row>
    <row r="1777" spans="1:11" x14ac:dyDescent="0.2">
      <c r="A1777" t="s">
        <v>6523</v>
      </c>
      <c r="B1777" t="s">
        <v>6524</v>
      </c>
      <c r="D1777" t="s">
        <v>6525</v>
      </c>
      <c r="E1777" t="s">
        <v>6526</v>
      </c>
      <c r="F1777" s="2">
        <v>525521633</v>
      </c>
      <c r="G1777" s="2">
        <v>133640192</v>
      </c>
      <c r="H1777" t="s">
        <v>3120</v>
      </c>
      <c r="I1777" t="s">
        <v>17</v>
      </c>
      <c r="J1777" t="s">
        <v>25</v>
      </c>
    </row>
    <row r="1778" spans="1:11" x14ac:dyDescent="0.2">
      <c r="A1778" t="s">
        <v>6527</v>
      </c>
      <c r="B1778" t="s">
        <v>6528</v>
      </c>
      <c r="C1778" t="s">
        <v>6529</v>
      </c>
      <c r="E1778" t="s">
        <v>6530</v>
      </c>
      <c r="F1778" s="2">
        <v>524977785</v>
      </c>
      <c r="G1778" s="2">
        <v>134134444</v>
      </c>
      <c r="H1778" t="s">
        <v>277</v>
      </c>
      <c r="I1778" t="s">
        <v>17</v>
      </c>
      <c r="J1778" t="s">
        <v>25</v>
      </c>
      <c r="K1778" t="s">
        <v>6531</v>
      </c>
    </row>
    <row r="1779" spans="1:11" x14ac:dyDescent="0.2">
      <c r="A1779" t="s">
        <v>6532</v>
      </c>
      <c r="B1779" t="s">
        <v>6533</v>
      </c>
      <c r="E1779">
        <v>493032766081</v>
      </c>
      <c r="F1779" s="2">
        <v>52504413</v>
      </c>
      <c r="G1779" s="2">
        <v>133071165</v>
      </c>
      <c r="H1779" t="s">
        <v>34</v>
      </c>
      <c r="I1779" t="s">
        <v>17</v>
      </c>
      <c r="J1779" t="s">
        <v>25</v>
      </c>
    </row>
    <row r="1780" spans="1:11" x14ac:dyDescent="0.2">
      <c r="A1780" t="s">
        <v>6534</v>
      </c>
      <c r="B1780" t="s">
        <v>1610</v>
      </c>
      <c r="C1780" t="s">
        <v>6535</v>
      </c>
      <c r="D1780" t="s">
        <v>6536</v>
      </c>
      <c r="E1780" t="s">
        <v>6537</v>
      </c>
      <c r="F1780" s="2">
        <v>525272051</v>
      </c>
      <c r="G1780" s="2">
        <v>133993159</v>
      </c>
      <c r="H1780" t="s">
        <v>51</v>
      </c>
      <c r="I1780" t="s">
        <v>17</v>
      </c>
      <c r="J1780" t="s">
        <v>25</v>
      </c>
      <c r="K1780" t="s">
        <v>1614</v>
      </c>
    </row>
    <row r="1781" spans="1:11" x14ac:dyDescent="0.2">
      <c r="A1781" t="s">
        <v>6538</v>
      </c>
      <c r="B1781" t="s">
        <v>6539</v>
      </c>
      <c r="F1781" s="2">
        <v>52596832</v>
      </c>
      <c r="G1781" s="2">
        <v>13332984</v>
      </c>
      <c r="H1781" t="s">
        <v>28</v>
      </c>
      <c r="I1781" t="s">
        <v>17</v>
      </c>
      <c r="J1781" t="s">
        <v>25</v>
      </c>
    </row>
    <row r="1782" spans="1:11" x14ac:dyDescent="0.2">
      <c r="A1782" t="s">
        <v>6540</v>
      </c>
      <c r="B1782" t="s">
        <v>6541</v>
      </c>
      <c r="C1782" t="s">
        <v>6542</v>
      </c>
      <c r="D1782" t="s">
        <v>6543</v>
      </c>
      <c r="E1782" t="s">
        <v>6544</v>
      </c>
      <c r="F1782" s="2">
        <v>524996388</v>
      </c>
      <c r="G1782" s="2">
        <v>134268543</v>
      </c>
      <c r="H1782" t="s">
        <v>51</v>
      </c>
      <c r="I1782" t="s">
        <v>17</v>
      </c>
      <c r="J1782" t="s">
        <v>25</v>
      </c>
      <c r="K1782" t="s">
        <v>6545</v>
      </c>
    </row>
    <row r="1783" spans="1:11" x14ac:dyDescent="0.2">
      <c r="A1783" t="s">
        <v>6546</v>
      </c>
      <c r="B1783" t="s">
        <v>6547</v>
      </c>
      <c r="C1783" t="s">
        <v>6548</v>
      </c>
      <c r="F1783" s="2">
        <v>524994501</v>
      </c>
      <c r="G1783" s="2">
        <v>134278122</v>
      </c>
      <c r="H1783" t="s">
        <v>277</v>
      </c>
      <c r="I1783" t="s">
        <v>17</v>
      </c>
      <c r="J1783" t="s">
        <v>25</v>
      </c>
      <c r="K1783" t="s">
        <v>6549</v>
      </c>
    </row>
    <row r="1784" spans="1:11" x14ac:dyDescent="0.2">
      <c r="A1784" t="s">
        <v>6550</v>
      </c>
      <c r="B1784" t="s">
        <v>6551</v>
      </c>
      <c r="C1784" t="s">
        <v>6552</v>
      </c>
      <c r="E1784" t="s">
        <v>6553</v>
      </c>
      <c r="F1784" s="2">
        <v>52481022</v>
      </c>
      <c r="G1784" s="2">
        <v>133447358</v>
      </c>
      <c r="H1784" t="s">
        <v>38</v>
      </c>
      <c r="I1784" t="s">
        <v>17</v>
      </c>
      <c r="J1784" t="s">
        <v>25</v>
      </c>
    </row>
    <row r="1785" spans="1:11" x14ac:dyDescent="0.2">
      <c r="A1785" t="s">
        <v>6554</v>
      </c>
      <c r="F1785" s="2">
        <v>524292188</v>
      </c>
      <c r="G1785" s="2">
        <v>134565581</v>
      </c>
      <c r="H1785" t="s">
        <v>28</v>
      </c>
      <c r="I1785" t="s">
        <v>17</v>
      </c>
      <c r="J1785" t="s">
        <v>25</v>
      </c>
    </row>
    <row r="1786" spans="1:11" x14ac:dyDescent="0.2">
      <c r="A1786" t="s">
        <v>6555</v>
      </c>
      <c r="F1786" s="2">
        <v>524293315</v>
      </c>
      <c r="G1786" s="2">
        <v>134565524</v>
      </c>
      <c r="H1786" t="s">
        <v>28</v>
      </c>
      <c r="I1786" t="s">
        <v>17</v>
      </c>
      <c r="J1786" t="s">
        <v>25</v>
      </c>
    </row>
    <row r="1787" spans="1:11" x14ac:dyDescent="0.2">
      <c r="A1787" t="s">
        <v>6556</v>
      </c>
      <c r="B1787" t="s">
        <v>6557</v>
      </c>
      <c r="C1787" t="s">
        <v>6558</v>
      </c>
      <c r="D1787" t="s">
        <v>6559</v>
      </c>
      <c r="E1787" t="s">
        <v>6560</v>
      </c>
      <c r="F1787" s="2">
        <v>52429837</v>
      </c>
      <c r="G1787" s="2">
        <v>134549574</v>
      </c>
      <c r="H1787" t="s">
        <v>24</v>
      </c>
      <c r="I1787" t="s">
        <v>17</v>
      </c>
      <c r="J1787" t="s">
        <v>25</v>
      </c>
    </row>
    <row r="1788" spans="1:11" x14ac:dyDescent="0.2">
      <c r="A1788" t="s">
        <v>6561</v>
      </c>
      <c r="B1788" t="s">
        <v>6562</v>
      </c>
      <c r="C1788" t="s">
        <v>6563</v>
      </c>
      <c r="E1788" t="s">
        <v>6564</v>
      </c>
      <c r="F1788" s="2">
        <v>525320983</v>
      </c>
      <c r="G1788" s="2">
        <v>13434446</v>
      </c>
      <c r="H1788" t="s">
        <v>38</v>
      </c>
      <c r="I1788" t="s">
        <v>17</v>
      </c>
      <c r="J1788" t="s">
        <v>25</v>
      </c>
    </row>
    <row r="1789" spans="1:11" x14ac:dyDescent="0.2">
      <c r="A1789" t="s">
        <v>6565</v>
      </c>
      <c r="B1789" t="s">
        <v>6566</v>
      </c>
      <c r="C1789" t="s">
        <v>6567</v>
      </c>
      <c r="E1789">
        <v>493081806399</v>
      </c>
      <c r="F1789" s="2">
        <v>525251696</v>
      </c>
      <c r="G1789" s="2">
        <v>134103076</v>
      </c>
      <c r="H1789" t="s">
        <v>38</v>
      </c>
      <c r="I1789" t="s">
        <v>17</v>
      </c>
      <c r="J1789" t="s">
        <v>25</v>
      </c>
    </row>
    <row r="1790" spans="1:11" x14ac:dyDescent="0.2">
      <c r="A1790" t="s">
        <v>6568</v>
      </c>
      <c r="B1790" t="s">
        <v>6569</v>
      </c>
      <c r="C1790" t="s">
        <v>6570</v>
      </c>
      <c r="D1790" t="s">
        <v>6571</v>
      </c>
      <c r="E1790" t="s">
        <v>6572</v>
      </c>
      <c r="F1790" s="2">
        <v>524970454</v>
      </c>
      <c r="G1790" s="2">
        <v>133222811</v>
      </c>
      <c r="H1790" t="s">
        <v>51</v>
      </c>
      <c r="I1790" t="s">
        <v>17</v>
      </c>
      <c r="J1790" t="s">
        <v>25</v>
      </c>
      <c r="K1790" t="s">
        <v>6573</v>
      </c>
    </row>
    <row r="1791" spans="1:11" x14ac:dyDescent="0.2">
      <c r="A1791" t="s">
        <v>6574</v>
      </c>
      <c r="B1791" t="s">
        <v>3705</v>
      </c>
      <c r="F1791" s="2">
        <v>524983615</v>
      </c>
      <c r="G1791" s="2">
        <v>133264907</v>
      </c>
      <c r="H1791" t="s">
        <v>28</v>
      </c>
      <c r="I1791" t="s">
        <v>17</v>
      </c>
      <c r="J1791" t="s">
        <v>25</v>
      </c>
    </row>
    <row r="1792" spans="1:11" x14ac:dyDescent="0.2">
      <c r="A1792" t="s">
        <v>6575</v>
      </c>
      <c r="B1792" t="s">
        <v>6576</v>
      </c>
      <c r="C1792" t="s">
        <v>6577</v>
      </c>
      <c r="E1792" t="s">
        <v>6578</v>
      </c>
      <c r="F1792" s="2">
        <v>524660124</v>
      </c>
      <c r="G1792" s="2">
        <v>133094527</v>
      </c>
      <c r="H1792" t="s">
        <v>38</v>
      </c>
      <c r="I1792" t="s">
        <v>17</v>
      </c>
      <c r="J1792" t="s">
        <v>25</v>
      </c>
    </row>
    <row r="1793" spans="1:11" x14ac:dyDescent="0.2">
      <c r="A1793" t="s">
        <v>6579</v>
      </c>
      <c r="B1793" t="s">
        <v>6580</v>
      </c>
      <c r="F1793" s="2">
        <v>524661421</v>
      </c>
      <c r="G1793" s="2">
        <v>13306643</v>
      </c>
      <c r="H1793" t="s">
        <v>28</v>
      </c>
      <c r="I1793" t="s">
        <v>17</v>
      </c>
      <c r="J1793" t="s">
        <v>25</v>
      </c>
    </row>
    <row r="1794" spans="1:11" x14ac:dyDescent="0.2">
      <c r="A1794" t="s">
        <v>6581</v>
      </c>
      <c r="B1794" t="s">
        <v>6582</v>
      </c>
      <c r="F1794" s="2">
        <v>524470205</v>
      </c>
      <c r="G1794" s="2">
        <v>134017563</v>
      </c>
      <c r="H1794" t="s">
        <v>28</v>
      </c>
      <c r="I1794" t="s">
        <v>17</v>
      </c>
      <c r="J1794" t="s">
        <v>25</v>
      </c>
    </row>
    <row r="1795" spans="1:11" x14ac:dyDescent="0.2">
      <c r="A1795" t="s">
        <v>6583</v>
      </c>
      <c r="C1795" t="s">
        <v>6584</v>
      </c>
      <c r="D1795" t="s">
        <v>6585</v>
      </c>
      <c r="F1795" s="2">
        <v>524399968</v>
      </c>
      <c r="G1795" s="2">
        <v>133878342</v>
      </c>
      <c r="H1795" t="s">
        <v>16</v>
      </c>
      <c r="I1795" t="s">
        <v>17</v>
      </c>
      <c r="J1795" t="s">
        <v>25</v>
      </c>
    </row>
    <row r="1796" spans="1:11" x14ac:dyDescent="0.2">
      <c r="A1796" t="s">
        <v>6586</v>
      </c>
      <c r="B1796" t="s">
        <v>6587</v>
      </c>
      <c r="C1796" t="s">
        <v>6588</v>
      </c>
      <c r="D1796" t="s">
        <v>6589</v>
      </c>
      <c r="E1796" t="s">
        <v>6590</v>
      </c>
      <c r="F1796" s="2">
        <v>525261337</v>
      </c>
      <c r="G1796" s="2">
        <v>134109593</v>
      </c>
      <c r="H1796" t="s">
        <v>24</v>
      </c>
      <c r="I1796" t="s">
        <v>17</v>
      </c>
      <c r="J1796" t="s">
        <v>25</v>
      </c>
    </row>
    <row r="1797" spans="1:11" x14ac:dyDescent="0.2">
      <c r="A1797" t="s">
        <v>6591</v>
      </c>
      <c r="B1797" t="s">
        <v>6592</v>
      </c>
      <c r="C1797" t="s">
        <v>6593</v>
      </c>
      <c r="E1797" t="s">
        <v>6594</v>
      </c>
      <c r="F1797" s="2">
        <v>525252103</v>
      </c>
      <c r="G1797" s="2">
        <v>133046227</v>
      </c>
      <c r="H1797" t="s">
        <v>38</v>
      </c>
      <c r="I1797" t="s">
        <v>17</v>
      </c>
      <c r="J1797" t="s">
        <v>25</v>
      </c>
    </row>
    <row r="1798" spans="1:11" x14ac:dyDescent="0.2">
      <c r="A1798" t="s">
        <v>6595</v>
      </c>
      <c r="F1798" s="2">
        <v>525019493</v>
      </c>
      <c r="G1798" s="2">
        <v>133713448</v>
      </c>
      <c r="H1798" t="s">
        <v>28</v>
      </c>
      <c r="I1798" t="s">
        <v>17</v>
      </c>
      <c r="J1798" t="s">
        <v>25</v>
      </c>
    </row>
    <row r="1799" spans="1:11" x14ac:dyDescent="0.2">
      <c r="A1799" t="s">
        <v>6596</v>
      </c>
      <c r="B1799" t="s">
        <v>6597</v>
      </c>
      <c r="F1799" s="2">
        <v>525269023</v>
      </c>
      <c r="G1799" s="2">
        <v>13489411</v>
      </c>
      <c r="H1799" t="s">
        <v>28</v>
      </c>
      <c r="I1799" t="s">
        <v>17</v>
      </c>
      <c r="J1799" t="s">
        <v>25</v>
      </c>
    </row>
    <row r="1800" spans="1:11" x14ac:dyDescent="0.2">
      <c r="A1800" t="s">
        <v>6598</v>
      </c>
      <c r="B1800" t="s">
        <v>6599</v>
      </c>
      <c r="F1800" s="2">
        <v>524859215</v>
      </c>
      <c r="G1800" s="2">
        <v>133383897</v>
      </c>
      <c r="H1800" t="s">
        <v>28</v>
      </c>
      <c r="I1800" t="s">
        <v>17</v>
      </c>
      <c r="J1800" t="s">
        <v>25</v>
      </c>
    </row>
    <row r="1801" spans="1:11" x14ac:dyDescent="0.2">
      <c r="A1801" t="s">
        <v>6600</v>
      </c>
      <c r="B1801" t="s">
        <v>6601</v>
      </c>
      <c r="C1801" t="s">
        <v>6602</v>
      </c>
      <c r="D1801" t="s">
        <v>6603</v>
      </c>
      <c r="E1801" t="s">
        <v>6604</v>
      </c>
      <c r="F1801" s="2">
        <v>525280561</v>
      </c>
      <c r="G1801" s="2">
        <v>133890629</v>
      </c>
      <c r="H1801" t="s">
        <v>51</v>
      </c>
      <c r="I1801" t="s">
        <v>17</v>
      </c>
      <c r="J1801" t="s">
        <v>25</v>
      </c>
      <c r="K1801" t="s">
        <v>6605</v>
      </c>
    </row>
    <row r="1802" spans="1:11" x14ac:dyDescent="0.2">
      <c r="A1802" t="s">
        <v>6606</v>
      </c>
      <c r="B1802" t="s">
        <v>6607</v>
      </c>
      <c r="C1802" t="s">
        <v>6608</v>
      </c>
      <c r="E1802" t="s">
        <v>6609</v>
      </c>
      <c r="F1802" s="2">
        <v>524314537</v>
      </c>
      <c r="G1802" s="2">
        <v>135237891</v>
      </c>
      <c r="H1802" t="s">
        <v>38</v>
      </c>
      <c r="I1802" t="s">
        <v>17</v>
      </c>
      <c r="J1802" t="s">
        <v>25</v>
      </c>
    </row>
    <row r="1803" spans="1:11" x14ac:dyDescent="0.2">
      <c r="A1803" t="s">
        <v>6610</v>
      </c>
      <c r="B1803" t="s">
        <v>6611</v>
      </c>
      <c r="C1803" t="s">
        <v>6612</v>
      </c>
      <c r="D1803" t="s">
        <v>6613</v>
      </c>
      <c r="E1803" t="s">
        <v>6614</v>
      </c>
      <c r="F1803" s="2">
        <v>525282228</v>
      </c>
      <c r="G1803" s="2">
        <v>133862164</v>
      </c>
      <c r="H1803" t="s">
        <v>51</v>
      </c>
      <c r="I1803" t="s">
        <v>17</v>
      </c>
      <c r="J1803" t="s">
        <v>25</v>
      </c>
      <c r="K1803" t="s">
        <v>6615</v>
      </c>
    </row>
    <row r="1804" spans="1:11" x14ac:dyDescent="0.2">
      <c r="A1804" t="s">
        <v>6616</v>
      </c>
      <c r="B1804" t="s">
        <v>6617</v>
      </c>
      <c r="F1804" s="2">
        <v>525073031</v>
      </c>
      <c r="G1804" s="2">
        <v>133443266</v>
      </c>
      <c r="H1804" t="s">
        <v>28</v>
      </c>
      <c r="I1804" t="s">
        <v>17</v>
      </c>
      <c r="J1804" t="s">
        <v>25</v>
      </c>
    </row>
    <row r="1805" spans="1:11" x14ac:dyDescent="0.2">
      <c r="A1805" t="s">
        <v>6618</v>
      </c>
      <c r="B1805" t="s">
        <v>6619</v>
      </c>
      <c r="C1805" t="s">
        <v>6620</v>
      </c>
      <c r="D1805" t="s">
        <v>6621</v>
      </c>
      <c r="E1805" t="s">
        <v>6622</v>
      </c>
      <c r="F1805" s="2">
        <v>525200305</v>
      </c>
      <c r="G1805" s="2">
        <v>134477906</v>
      </c>
      <c r="H1805" t="s">
        <v>51</v>
      </c>
      <c r="I1805" t="s">
        <v>17</v>
      </c>
      <c r="J1805" t="s">
        <v>25</v>
      </c>
      <c r="K1805" t="s">
        <v>6623</v>
      </c>
    </row>
    <row r="1806" spans="1:11" x14ac:dyDescent="0.2">
      <c r="A1806" t="s">
        <v>6624</v>
      </c>
      <c r="B1806" t="s">
        <v>6625</v>
      </c>
      <c r="F1806" s="2">
        <v>524449745</v>
      </c>
      <c r="G1806" s="2">
        <v>132948308</v>
      </c>
      <c r="H1806" t="s">
        <v>28</v>
      </c>
      <c r="I1806" t="s">
        <v>17</v>
      </c>
      <c r="J1806" t="s">
        <v>25</v>
      </c>
    </row>
    <row r="1807" spans="1:11" x14ac:dyDescent="0.2">
      <c r="A1807" t="s">
        <v>6626</v>
      </c>
      <c r="B1807" t="s">
        <v>6627</v>
      </c>
      <c r="D1807" t="s">
        <v>6628</v>
      </c>
      <c r="E1807" t="s">
        <v>6629</v>
      </c>
      <c r="F1807" s="2">
        <v>525045321</v>
      </c>
      <c r="G1807" s="2">
        <v>133270268</v>
      </c>
      <c r="H1807" t="s">
        <v>1107</v>
      </c>
      <c r="I1807" t="s">
        <v>17</v>
      </c>
      <c r="J1807" t="s">
        <v>25</v>
      </c>
    </row>
    <row r="1808" spans="1:11" x14ac:dyDescent="0.2">
      <c r="A1808" t="s">
        <v>6630</v>
      </c>
      <c r="B1808" t="s">
        <v>6631</v>
      </c>
      <c r="C1808" t="s">
        <v>6632</v>
      </c>
      <c r="E1808" t="s">
        <v>6633</v>
      </c>
      <c r="F1808" s="2">
        <v>524901822</v>
      </c>
      <c r="G1808" s="2">
        <v>133959157</v>
      </c>
      <c r="H1808" t="s">
        <v>38</v>
      </c>
      <c r="I1808" t="s">
        <v>17</v>
      </c>
      <c r="J1808" t="s">
        <v>25</v>
      </c>
    </row>
    <row r="1809" spans="1:11" x14ac:dyDescent="0.2">
      <c r="A1809" t="s">
        <v>6634</v>
      </c>
      <c r="B1809" t="s">
        <v>6635</v>
      </c>
      <c r="F1809" s="2">
        <v>52539673</v>
      </c>
      <c r="G1809" s="2">
        <v>132061558</v>
      </c>
      <c r="H1809" t="s">
        <v>28</v>
      </c>
      <c r="I1809" t="s">
        <v>17</v>
      </c>
      <c r="J1809" t="s">
        <v>25</v>
      </c>
    </row>
    <row r="1810" spans="1:11" x14ac:dyDescent="0.2">
      <c r="A1810" t="s">
        <v>6636</v>
      </c>
      <c r="B1810" t="s">
        <v>6637</v>
      </c>
      <c r="E1810" t="s">
        <v>6638</v>
      </c>
      <c r="F1810" s="2">
        <v>525488022</v>
      </c>
      <c r="G1810" s="2">
        <v>133543371</v>
      </c>
      <c r="H1810" t="s">
        <v>34</v>
      </c>
      <c r="I1810" t="s">
        <v>17</v>
      </c>
      <c r="J1810" t="s">
        <v>25</v>
      </c>
    </row>
    <row r="1811" spans="1:11" x14ac:dyDescent="0.2">
      <c r="A1811" t="s">
        <v>6639</v>
      </c>
      <c r="F1811" s="2">
        <v>525008936</v>
      </c>
      <c r="G1811" s="2">
        <v>134391985</v>
      </c>
      <c r="H1811" t="s">
        <v>28</v>
      </c>
      <c r="I1811" t="s">
        <v>17</v>
      </c>
      <c r="J1811" t="s">
        <v>25</v>
      </c>
    </row>
    <row r="1812" spans="1:11" x14ac:dyDescent="0.2">
      <c r="A1812" t="s">
        <v>6640</v>
      </c>
      <c r="C1812" t="s">
        <v>6641</v>
      </c>
      <c r="D1812" t="s">
        <v>6642</v>
      </c>
      <c r="E1812" t="s">
        <v>6643</v>
      </c>
      <c r="F1812" s="2">
        <v>524876481</v>
      </c>
      <c r="G1812" s="2">
        <v>133737245</v>
      </c>
      <c r="H1812" t="s">
        <v>16</v>
      </c>
      <c r="I1812" t="s">
        <v>17</v>
      </c>
      <c r="J1812" t="s">
        <v>25</v>
      </c>
    </row>
    <row r="1813" spans="1:11" x14ac:dyDescent="0.2">
      <c r="A1813" t="s">
        <v>6644</v>
      </c>
      <c r="B1813" t="s">
        <v>6645</v>
      </c>
      <c r="C1813" t="s">
        <v>6646</v>
      </c>
      <c r="D1813" t="s">
        <v>6647</v>
      </c>
      <c r="E1813" t="s">
        <v>6648</v>
      </c>
      <c r="F1813" s="2">
        <v>524902</v>
      </c>
      <c r="G1813" s="2">
        <v>13389238</v>
      </c>
      <c r="H1813" t="s">
        <v>24</v>
      </c>
      <c r="I1813" t="s">
        <v>17</v>
      </c>
      <c r="J1813" t="s">
        <v>25</v>
      </c>
    </row>
    <row r="1814" spans="1:11" x14ac:dyDescent="0.2">
      <c r="A1814" t="s">
        <v>6649</v>
      </c>
      <c r="C1814" t="s">
        <v>6650</v>
      </c>
      <c r="F1814" s="2">
        <v>523998128</v>
      </c>
      <c r="G1814" s="2">
        <v>135552422</v>
      </c>
      <c r="H1814" t="s">
        <v>255</v>
      </c>
      <c r="I1814" t="s">
        <v>17</v>
      </c>
      <c r="J1814" t="s">
        <v>25</v>
      </c>
    </row>
    <row r="1815" spans="1:11" x14ac:dyDescent="0.2">
      <c r="A1815" t="s">
        <v>6651</v>
      </c>
      <c r="B1815" t="s">
        <v>6652</v>
      </c>
      <c r="C1815" t="s">
        <v>6653</v>
      </c>
      <c r="F1815" s="2">
        <v>523886308</v>
      </c>
      <c r="G1815" s="2">
        <v>133945846</v>
      </c>
      <c r="H1815" t="s">
        <v>255</v>
      </c>
      <c r="I1815" t="s">
        <v>17</v>
      </c>
      <c r="J1815" t="s">
        <v>25</v>
      </c>
    </row>
    <row r="1816" spans="1:11" x14ac:dyDescent="0.2">
      <c r="A1816" t="s">
        <v>6654</v>
      </c>
      <c r="B1816" t="s">
        <v>6655</v>
      </c>
      <c r="F1816" s="2">
        <v>524290204</v>
      </c>
      <c r="G1816" s="2">
        <v>134353761</v>
      </c>
      <c r="H1816" t="s">
        <v>28</v>
      </c>
      <c r="I1816" t="s">
        <v>17</v>
      </c>
      <c r="J1816" t="s">
        <v>25</v>
      </c>
    </row>
    <row r="1817" spans="1:11" x14ac:dyDescent="0.2">
      <c r="A1817" t="s">
        <v>6656</v>
      </c>
      <c r="B1817" t="s">
        <v>6657</v>
      </c>
      <c r="C1817" t="s">
        <v>6658</v>
      </c>
      <c r="D1817" t="s">
        <v>6659</v>
      </c>
      <c r="E1817" t="s">
        <v>6660</v>
      </c>
      <c r="F1817" s="2">
        <v>525036605</v>
      </c>
      <c r="G1817" s="2">
        <v>133445085</v>
      </c>
      <c r="H1817" t="s">
        <v>24</v>
      </c>
      <c r="I1817" t="s">
        <v>17</v>
      </c>
      <c r="J1817" t="s">
        <v>25</v>
      </c>
    </row>
    <row r="1818" spans="1:11" x14ac:dyDescent="0.2">
      <c r="A1818" t="s">
        <v>6661</v>
      </c>
      <c r="B1818" t="s">
        <v>6662</v>
      </c>
      <c r="C1818" t="s">
        <v>6663</v>
      </c>
      <c r="F1818" s="2">
        <v>525638245</v>
      </c>
      <c r="G1818" s="2">
        <v>133916198</v>
      </c>
      <c r="H1818" t="s">
        <v>255</v>
      </c>
      <c r="I1818" t="s">
        <v>17</v>
      </c>
      <c r="J1818" t="s">
        <v>25</v>
      </c>
    </row>
    <row r="1819" spans="1:11" x14ac:dyDescent="0.2">
      <c r="A1819" t="s">
        <v>6664</v>
      </c>
      <c r="B1819" t="s">
        <v>6665</v>
      </c>
      <c r="C1819" t="s">
        <v>6666</v>
      </c>
      <c r="D1819" t="s">
        <v>6667</v>
      </c>
      <c r="F1819" s="2">
        <v>525058091</v>
      </c>
      <c r="G1819" s="2">
        <v>134211228</v>
      </c>
      <c r="H1819" t="s">
        <v>51</v>
      </c>
      <c r="I1819" t="s">
        <v>17</v>
      </c>
      <c r="J1819" t="s">
        <v>25</v>
      </c>
      <c r="K1819" t="s">
        <v>6668</v>
      </c>
    </row>
    <row r="1820" spans="1:11" x14ac:dyDescent="0.2">
      <c r="A1820" t="s">
        <v>6669</v>
      </c>
      <c r="B1820" t="s">
        <v>6670</v>
      </c>
      <c r="F1820" s="2">
        <v>525071988</v>
      </c>
      <c r="G1820" s="2">
        <v>134710171</v>
      </c>
      <c r="H1820" t="s">
        <v>28</v>
      </c>
      <c r="I1820" t="s">
        <v>17</v>
      </c>
      <c r="J1820" t="s">
        <v>25</v>
      </c>
    </row>
    <row r="1821" spans="1:11" x14ac:dyDescent="0.2">
      <c r="A1821" t="s">
        <v>6671</v>
      </c>
      <c r="B1821" t="s">
        <v>6672</v>
      </c>
      <c r="C1821" t="s">
        <v>6673</v>
      </c>
      <c r="D1821" t="s">
        <v>6674</v>
      </c>
      <c r="E1821" t="s">
        <v>6675</v>
      </c>
      <c r="F1821" s="2">
        <v>52534815</v>
      </c>
      <c r="G1821" s="2">
        <v>134167422</v>
      </c>
      <c r="H1821" t="s">
        <v>51</v>
      </c>
      <c r="I1821" t="s">
        <v>17</v>
      </c>
      <c r="J1821" t="s">
        <v>25</v>
      </c>
      <c r="K1821" t="s">
        <v>6676</v>
      </c>
    </row>
    <row r="1822" spans="1:11" x14ac:dyDescent="0.2">
      <c r="A1822" t="s">
        <v>6677</v>
      </c>
      <c r="B1822" t="s">
        <v>6678</v>
      </c>
      <c r="C1822" t="s">
        <v>6679</v>
      </c>
      <c r="E1822" t="s">
        <v>6680</v>
      </c>
      <c r="F1822" s="2">
        <v>525060388</v>
      </c>
      <c r="G1822" s="2">
        <v>133800036</v>
      </c>
      <c r="H1822" t="s">
        <v>38</v>
      </c>
      <c r="I1822" t="s">
        <v>17</v>
      </c>
      <c r="J1822" t="s">
        <v>25</v>
      </c>
    </row>
    <row r="1823" spans="1:11" x14ac:dyDescent="0.2">
      <c r="A1823" t="s">
        <v>6681</v>
      </c>
      <c r="B1823" t="s">
        <v>6682</v>
      </c>
      <c r="C1823" t="s">
        <v>6683</v>
      </c>
      <c r="D1823" t="s">
        <v>6684</v>
      </c>
      <c r="E1823">
        <v>493029009988</v>
      </c>
      <c r="F1823" s="2">
        <v>524664074</v>
      </c>
      <c r="G1823" s="2">
        <v>133276587</v>
      </c>
      <c r="H1823" t="s">
        <v>24</v>
      </c>
      <c r="I1823" t="s">
        <v>17</v>
      </c>
      <c r="J1823" t="s">
        <v>25</v>
      </c>
    </row>
    <row r="1824" spans="1:11" x14ac:dyDescent="0.2">
      <c r="A1824" t="s">
        <v>6685</v>
      </c>
      <c r="B1824" t="s">
        <v>6686</v>
      </c>
      <c r="C1824" t="s">
        <v>6687</v>
      </c>
      <c r="D1824" t="s">
        <v>6688</v>
      </c>
      <c r="E1824" t="s">
        <v>6689</v>
      </c>
      <c r="F1824" s="2">
        <v>525056232</v>
      </c>
      <c r="G1824" s="2">
        <v>133382017</v>
      </c>
      <c r="H1824" t="s">
        <v>51</v>
      </c>
      <c r="I1824" t="s">
        <v>17</v>
      </c>
      <c r="J1824" t="s">
        <v>25</v>
      </c>
      <c r="K1824" t="s">
        <v>6690</v>
      </c>
    </row>
    <row r="1825" spans="1:11" x14ac:dyDescent="0.2">
      <c r="A1825" t="s">
        <v>6691</v>
      </c>
      <c r="B1825" t="s">
        <v>6692</v>
      </c>
      <c r="C1825" t="s">
        <v>6693</v>
      </c>
      <c r="F1825" s="2">
        <v>524983583</v>
      </c>
      <c r="G1825" s="2">
        <v>133185494</v>
      </c>
      <c r="H1825" t="s">
        <v>277</v>
      </c>
      <c r="I1825" t="s">
        <v>17</v>
      </c>
      <c r="J1825" t="s">
        <v>25</v>
      </c>
      <c r="K1825" t="s">
        <v>6694</v>
      </c>
    </row>
    <row r="1826" spans="1:11" x14ac:dyDescent="0.2">
      <c r="A1826" t="s">
        <v>6695</v>
      </c>
      <c r="B1826" t="s">
        <v>6696</v>
      </c>
      <c r="C1826" t="s">
        <v>6697</v>
      </c>
      <c r="E1826" t="s">
        <v>6698</v>
      </c>
      <c r="F1826" s="2">
        <v>524988695</v>
      </c>
      <c r="G1826" s="2">
        <v>133166753</v>
      </c>
      <c r="H1826" t="s">
        <v>38</v>
      </c>
      <c r="I1826" t="s">
        <v>17</v>
      </c>
      <c r="J1826" t="s">
        <v>25</v>
      </c>
    </row>
    <row r="1827" spans="1:11" x14ac:dyDescent="0.2">
      <c r="A1827" t="s">
        <v>6699</v>
      </c>
      <c r="B1827" t="s">
        <v>6700</v>
      </c>
      <c r="F1827" s="2">
        <v>52590936</v>
      </c>
      <c r="G1827" s="2">
        <v>134427298</v>
      </c>
      <c r="H1827" t="s">
        <v>28</v>
      </c>
      <c r="I1827" t="s">
        <v>17</v>
      </c>
      <c r="J1827" t="s">
        <v>25</v>
      </c>
    </row>
    <row r="1828" spans="1:11" x14ac:dyDescent="0.2">
      <c r="A1828" t="s">
        <v>6701</v>
      </c>
      <c r="B1828" t="s">
        <v>6702</v>
      </c>
      <c r="C1828" t="s">
        <v>6703</v>
      </c>
      <c r="F1828" s="2">
        <v>525293192</v>
      </c>
      <c r="G1828" s="2">
        <v>134725534</v>
      </c>
      <c r="H1828" t="s">
        <v>277</v>
      </c>
      <c r="I1828" t="s">
        <v>17</v>
      </c>
      <c r="J1828" t="s">
        <v>25</v>
      </c>
      <c r="K1828" t="s">
        <v>6704</v>
      </c>
    </row>
    <row r="1829" spans="1:11" x14ac:dyDescent="0.2">
      <c r="A1829" t="s">
        <v>6705</v>
      </c>
      <c r="C1829" t="s">
        <v>6706</v>
      </c>
      <c r="D1829" t="s">
        <v>6707</v>
      </c>
      <c r="F1829" s="2">
        <v>525087806</v>
      </c>
      <c r="G1829" s="2">
        <v>133737391</v>
      </c>
      <c r="H1829" t="s">
        <v>51</v>
      </c>
      <c r="I1829" t="s">
        <v>17</v>
      </c>
      <c r="J1829" t="s">
        <v>25</v>
      </c>
      <c r="K1829" t="s">
        <v>6708</v>
      </c>
    </row>
    <row r="1830" spans="1:11" x14ac:dyDescent="0.2">
      <c r="A1830" t="s">
        <v>6709</v>
      </c>
      <c r="B1830" t="s">
        <v>6710</v>
      </c>
      <c r="C1830" t="s">
        <v>6711</v>
      </c>
      <c r="E1830">
        <v>493028391213</v>
      </c>
      <c r="F1830" s="2">
        <v>525243521</v>
      </c>
      <c r="G1830" s="2">
        <v>13402778</v>
      </c>
      <c r="H1830" t="s">
        <v>277</v>
      </c>
      <c r="I1830" t="s">
        <v>17</v>
      </c>
      <c r="J1830" t="s">
        <v>25</v>
      </c>
      <c r="K1830" t="s">
        <v>6712</v>
      </c>
    </row>
    <row r="1831" spans="1:11" x14ac:dyDescent="0.2">
      <c r="A1831" t="s">
        <v>6713</v>
      </c>
      <c r="B1831" t="s">
        <v>6714</v>
      </c>
      <c r="C1831" t="s">
        <v>6715</v>
      </c>
      <c r="E1831" t="s">
        <v>6716</v>
      </c>
      <c r="F1831" s="2">
        <v>525076992</v>
      </c>
      <c r="G1831" s="2">
        <v>133930233</v>
      </c>
      <c r="H1831" t="s">
        <v>277</v>
      </c>
      <c r="I1831" t="s">
        <v>17</v>
      </c>
      <c r="J1831" t="s">
        <v>25</v>
      </c>
      <c r="K1831" t="s">
        <v>6717</v>
      </c>
    </row>
    <row r="1832" spans="1:11" x14ac:dyDescent="0.2">
      <c r="A1832" t="s">
        <v>6718</v>
      </c>
      <c r="B1832" t="s">
        <v>5452</v>
      </c>
      <c r="F1832" s="2">
        <v>525019107</v>
      </c>
      <c r="G1832" s="2">
        <v>133253434</v>
      </c>
      <c r="H1832" t="s">
        <v>28</v>
      </c>
      <c r="I1832" t="s">
        <v>17</v>
      </c>
      <c r="J1832" t="s">
        <v>25</v>
      </c>
    </row>
    <row r="1833" spans="1:11" x14ac:dyDescent="0.2">
      <c r="A1833" t="s">
        <v>6719</v>
      </c>
      <c r="B1833" t="s">
        <v>6720</v>
      </c>
      <c r="C1833" t="s">
        <v>6721</v>
      </c>
      <c r="D1833" t="s">
        <v>6722</v>
      </c>
      <c r="F1833" s="2">
        <v>524580987</v>
      </c>
      <c r="G1833" s="2">
        <v>135273043</v>
      </c>
      <c r="H1833" t="s">
        <v>51</v>
      </c>
      <c r="I1833" t="s">
        <v>17</v>
      </c>
      <c r="J1833" t="s">
        <v>25</v>
      </c>
      <c r="K1833" t="s">
        <v>6723</v>
      </c>
    </row>
    <row r="1834" spans="1:11" x14ac:dyDescent="0.2">
      <c r="A1834" t="s">
        <v>6724</v>
      </c>
      <c r="B1834" t="s">
        <v>6725</v>
      </c>
      <c r="C1834" t="s">
        <v>6726</v>
      </c>
      <c r="D1834" t="s">
        <v>6727</v>
      </c>
      <c r="E1834" t="s">
        <v>6728</v>
      </c>
      <c r="F1834" s="2">
        <v>525365662</v>
      </c>
      <c r="G1834" s="2">
        <v>134203375</v>
      </c>
      <c r="H1834" t="s">
        <v>51</v>
      </c>
      <c r="I1834" t="s">
        <v>17</v>
      </c>
      <c r="J1834" t="s">
        <v>25</v>
      </c>
      <c r="K1834" t="s">
        <v>6729</v>
      </c>
    </row>
    <row r="1835" spans="1:11" x14ac:dyDescent="0.2">
      <c r="A1835" t="s">
        <v>6730</v>
      </c>
      <c r="B1835" t="s">
        <v>6731</v>
      </c>
      <c r="C1835" t="s">
        <v>6732</v>
      </c>
      <c r="D1835" t="s">
        <v>6733</v>
      </c>
      <c r="E1835" t="s">
        <v>6734</v>
      </c>
      <c r="F1835" s="2">
        <v>52501829</v>
      </c>
      <c r="G1835" s="2">
        <v>133529959</v>
      </c>
      <c r="H1835" t="s">
        <v>51</v>
      </c>
      <c r="I1835" t="s">
        <v>17</v>
      </c>
      <c r="J1835" t="s">
        <v>25</v>
      </c>
      <c r="K1835" t="s">
        <v>6735</v>
      </c>
    </row>
    <row r="1836" spans="1:11" x14ac:dyDescent="0.2">
      <c r="A1836" t="s">
        <v>6736</v>
      </c>
      <c r="B1836" t="s">
        <v>6737</v>
      </c>
      <c r="F1836" s="2">
        <v>524569585</v>
      </c>
      <c r="G1836" s="2">
        <v>134696904</v>
      </c>
      <c r="H1836" t="s">
        <v>28</v>
      </c>
      <c r="I1836" t="s">
        <v>17</v>
      </c>
      <c r="J1836" t="s">
        <v>25</v>
      </c>
    </row>
    <row r="1837" spans="1:11" x14ac:dyDescent="0.2">
      <c r="A1837" t="s">
        <v>6738</v>
      </c>
      <c r="B1837" t="s">
        <v>6739</v>
      </c>
      <c r="C1837" t="s">
        <v>6740</v>
      </c>
      <c r="D1837" t="s">
        <v>6741</v>
      </c>
      <c r="E1837" t="s">
        <v>6742</v>
      </c>
      <c r="F1837" s="2">
        <v>524376413</v>
      </c>
      <c r="G1837" s="2">
        <v>134477267</v>
      </c>
      <c r="H1837" t="s">
        <v>51</v>
      </c>
      <c r="I1837" t="s">
        <v>17</v>
      </c>
      <c r="J1837" t="s">
        <v>25</v>
      </c>
      <c r="K1837" t="s">
        <v>6743</v>
      </c>
    </row>
    <row r="1838" spans="1:11" x14ac:dyDescent="0.2">
      <c r="A1838" t="s">
        <v>6744</v>
      </c>
      <c r="B1838" t="s">
        <v>6745</v>
      </c>
      <c r="C1838" t="s">
        <v>6746</v>
      </c>
      <c r="E1838" t="s">
        <v>6747</v>
      </c>
      <c r="F1838" s="2">
        <v>525061535</v>
      </c>
      <c r="G1838" s="2">
        <v>132831982</v>
      </c>
      <c r="H1838" t="s">
        <v>38</v>
      </c>
      <c r="I1838" t="s">
        <v>17</v>
      </c>
      <c r="J1838" t="s">
        <v>25</v>
      </c>
    </row>
    <row r="1839" spans="1:11" x14ac:dyDescent="0.2">
      <c r="A1839" t="s">
        <v>6748</v>
      </c>
      <c r="B1839" t="s">
        <v>6749</v>
      </c>
      <c r="F1839" s="2">
        <v>523965181</v>
      </c>
      <c r="G1839" s="2">
        <v>133810666</v>
      </c>
      <c r="H1839" t="s">
        <v>28</v>
      </c>
      <c r="I1839" t="s">
        <v>17</v>
      </c>
      <c r="J1839" t="s">
        <v>25</v>
      </c>
    </row>
    <row r="1840" spans="1:11" x14ac:dyDescent="0.2">
      <c r="A1840" t="s">
        <v>6750</v>
      </c>
      <c r="B1840" t="s">
        <v>6751</v>
      </c>
      <c r="C1840" t="s">
        <v>6752</v>
      </c>
      <c r="F1840" s="2">
        <v>524959209</v>
      </c>
      <c r="G1840" s="2">
        <v>133404775</v>
      </c>
      <c r="H1840" t="s">
        <v>277</v>
      </c>
      <c r="I1840" t="s">
        <v>17</v>
      </c>
      <c r="J1840" t="s">
        <v>25</v>
      </c>
      <c r="K1840" t="s">
        <v>6753</v>
      </c>
    </row>
    <row r="1841" spans="1:11" x14ac:dyDescent="0.2">
      <c r="A1841" t="s">
        <v>6754</v>
      </c>
      <c r="B1841" t="s">
        <v>6755</v>
      </c>
      <c r="C1841" t="s">
        <v>6756</v>
      </c>
      <c r="D1841" t="s">
        <v>6757</v>
      </c>
      <c r="E1841" t="s">
        <v>6758</v>
      </c>
      <c r="F1841" s="2">
        <v>525130096</v>
      </c>
      <c r="G1841" s="2">
        <v>134595715</v>
      </c>
      <c r="H1841" t="s">
        <v>24</v>
      </c>
      <c r="I1841" t="s">
        <v>17</v>
      </c>
      <c r="J1841" t="s">
        <v>25</v>
      </c>
    </row>
    <row r="1842" spans="1:11" x14ac:dyDescent="0.2">
      <c r="A1842" t="s">
        <v>6759</v>
      </c>
      <c r="B1842" t="s">
        <v>6760</v>
      </c>
      <c r="F1842" s="2">
        <v>525178432</v>
      </c>
      <c r="G1842" s="2">
        <v>134537508</v>
      </c>
      <c r="H1842" t="s">
        <v>28</v>
      </c>
      <c r="I1842" t="s">
        <v>17</v>
      </c>
      <c r="J1842" t="s">
        <v>25</v>
      </c>
    </row>
    <row r="1843" spans="1:11" x14ac:dyDescent="0.2">
      <c r="A1843" t="s">
        <v>6761</v>
      </c>
      <c r="B1843" t="s">
        <v>6762</v>
      </c>
      <c r="C1843" t="s">
        <v>6763</v>
      </c>
      <c r="D1843" t="s">
        <v>6764</v>
      </c>
      <c r="E1843" t="s">
        <v>6765</v>
      </c>
      <c r="F1843" s="2">
        <v>525086609</v>
      </c>
      <c r="G1843" s="2">
        <v>13463786</v>
      </c>
      <c r="H1843" t="s">
        <v>24</v>
      </c>
      <c r="I1843" t="s">
        <v>17</v>
      </c>
      <c r="J1843" t="s">
        <v>25</v>
      </c>
    </row>
    <row r="1844" spans="1:11" x14ac:dyDescent="0.2">
      <c r="A1844" t="s">
        <v>6766</v>
      </c>
      <c r="B1844" t="s">
        <v>6767</v>
      </c>
      <c r="C1844" t="s">
        <v>6768</v>
      </c>
      <c r="E1844" t="s">
        <v>6769</v>
      </c>
      <c r="F1844" s="2">
        <v>525277068</v>
      </c>
      <c r="G1844" s="2">
        <v>133272663</v>
      </c>
      <c r="H1844" t="s">
        <v>38</v>
      </c>
      <c r="I1844" t="s">
        <v>17</v>
      </c>
      <c r="J1844" t="s">
        <v>25</v>
      </c>
    </row>
    <row r="1845" spans="1:11" x14ac:dyDescent="0.2">
      <c r="A1845" t="s">
        <v>6770</v>
      </c>
      <c r="B1845" t="s">
        <v>6771</v>
      </c>
      <c r="F1845" s="2">
        <v>524684303</v>
      </c>
      <c r="G1845" s="2">
        <v>134295399</v>
      </c>
      <c r="H1845" t="s">
        <v>28</v>
      </c>
      <c r="I1845" t="s">
        <v>17</v>
      </c>
      <c r="J1845" t="s">
        <v>25</v>
      </c>
    </row>
    <row r="1846" spans="1:11" x14ac:dyDescent="0.2">
      <c r="A1846" t="s">
        <v>6772</v>
      </c>
      <c r="B1846" t="s">
        <v>6773</v>
      </c>
      <c r="F1846" s="2">
        <v>52418908</v>
      </c>
      <c r="G1846" s="2">
        <v>135794321</v>
      </c>
      <c r="H1846" t="s">
        <v>28</v>
      </c>
      <c r="I1846" t="s">
        <v>17</v>
      </c>
      <c r="J1846" t="s">
        <v>25</v>
      </c>
    </row>
    <row r="1847" spans="1:11" x14ac:dyDescent="0.2">
      <c r="A1847" t="s">
        <v>6774</v>
      </c>
      <c r="B1847" t="s">
        <v>6775</v>
      </c>
      <c r="E1847" t="s">
        <v>6776</v>
      </c>
      <c r="F1847" s="2">
        <v>5249789</v>
      </c>
      <c r="G1847" s="2">
        <v>134418722</v>
      </c>
      <c r="H1847" t="s">
        <v>34</v>
      </c>
      <c r="I1847" t="s">
        <v>17</v>
      </c>
      <c r="J1847" t="s">
        <v>25</v>
      </c>
    </row>
    <row r="1848" spans="1:11" x14ac:dyDescent="0.2">
      <c r="A1848" t="s">
        <v>6777</v>
      </c>
      <c r="B1848" t="s">
        <v>6778</v>
      </c>
      <c r="E1848" t="s">
        <v>6779</v>
      </c>
      <c r="F1848" s="2">
        <v>525269301</v>
      </c>
      <c r="G1848" s="2">
        <v>134077863</v>
      </c>
      <c r="H1848" t="s">
        <v>34</v>
      </c>
      <c r="I1848" t="s">
        <v>17</v>
      </c>
      <c r="J1848" t="s">
        <v>25</v>
      </c>
    </row>
    <row r="1849" spans="1:11" x14ac:dyDescent="0.2">
      <c r="A1849" t="s">
        <v>6780</v>
      </c>
      <c r="B1849" t="s">
        <v>6781</v>
      </c>
      <c r="C1849" t="s">
        <v>6782</v>
      </c>
      <c r="D1849" t="s">
        <v>6783</v>
      </c>
      <c r="E1849" t="s">
        <v>6784</v>
      </c>
      <c r="F1849" s="2">
        <v>524556777</v>
      </c>
      <c r="G1849" s="2">
        <v>136255686</v>
      </c>
      <c r="H1849" t="s">
        <v>16</v>
      </c>
      <c r="I1849" t="s">
        <v>17</v>
      </c>
      <c r="J1849" t="s">
        <v>25</v>
      </c>
    </row>
    <row r="1850" spans="1:11" x14ac:dyDescent="0.2">
      <c r="A1850" t="s">
        <v>6785</v>
      </c>
      <c r="B1850" t="s">
        <v>6786</v>
      </c>
      <c r="F1850" s="2">
        <v>526080534</v>
      </c>
      <c r="G1850" s="2">
        <v>133684997</v>
      </c>
      <c r="H1850" t="s">
        <v>28</v>
      </c>
      <c r="I1850" t="s">
        <v>17</v>
      </c>
      <c r="J1850" t="s">
        <v>25</v>
      </c>
    </row>
    <row r="1851" spans="1:11" x14ac:dyDescent="0.2">
      <c r="A1851" t="s">
        <v>6787</v>
      </c>
      <c r="B1851" t="s">
        <v>6788</v>
      </c>
      <c r="F1851" s="2">
        <v>52456794</v>
      </c>
      <c r="G1851" s="2">
        <v>13624964</v>
      </c>
      <c r="H1851" t="s">
        <v>28</v>
      </c>
      <c r="I1851" t="s">
        <v>17</v>
      </c>
      <c r="J1851" t="s">
        <v>25</v>
      </c>
    </row>
    <row r="1852" spans="1:11" x14ac:dyDescent="0.2">
      <c r="A1852" t="s">
        <v>6789</v>
      </c>
      <c r="B1852" t="s">
        <v>6790</v>
      </c>
      <c r="F1852" s="2">
        <v>524933428</v>
      </c>
      <c r="G1852" s="2">
        <v>133343405</v>
      </c>
      <c r="H1852" t="s">
        <v>28</v>
      </c>
      <c r="I1852" t="s">
        <v>17</v>
      </c>
      <c r="J1852" t="s">
        <v>25</v>
      </c>
    </row>
    <row r="1853" spans="1:11" x14ac:dyDescent="0.2">
      <c r="A1853" t="s">
        <v>6791</v>
      </c>
      <c r="B1853" t="s">
        <v>6792</v>
      </c>
      <c r="C1853" t="s">
        <v>6793</v>
      </c>
      <c r="E1853" t="s">
        <v>6794</v>
      </c>
      <c r="F1853" s="2">
        <v>52497804</v>
      </c>
      <c r="G1853" s="2">
        <v>134295309</v>
      </c>
      <c r="H1853" t="s">
        <v>38</v>
      </c>
      <c r="I1853" t="s">
        <v>17</v>
      </c>
      <c r="J1853" t="s">
        <v>25</v>
      </c>
    </row>
    <row r="1854" spans="1:11" x14ac:dyDescent="0.2">
      <c r="A1854" t="s">
        <v>6795</v>
      </c>
      <c r="B1854" t="s">
        <v>6796</v>
      </c>
      <c r="C1854" t="s">
        <v>6797</v>
      </c>
      <c r="E1854" t="s">
        <v>6798</v>
      </c>
      <c r="F1854" s="2">
        <v>525265318</v>
      </c>
      <c r="G1854" s="2">
        <v>13423726</v>
      </c>
      <c r="H1854" t="s">
        <v>38</v>
      </c>
      <c r="I1854" t="s">
        <v>17</v>
      </c>
      <c r="J1854" t="s">
        <v>25</v>
      </c>
    </row>
    <row r="1855" spans="1:11" x14ac:dyDescent="0.2">
      <c r="A1855" t="s">
        <v>6799</v>
      </c>
      <c r="B1855" t="s">
        <v>6800</v>
      </c>
      <c r="C1855" t="s">
        <v>6801</v>
      </c>
      <c r="D1855" t="s">
        <v>6802</v>
      </c>
      <c r="E1855">
        <v>493039202336</v>
      </c>
      <c r="F1855" s="2">
        <v>524525491</v>
      </c>
      <c r="G1855" s="2">
        <v>136251897</v>
      </c>
      <c r="H1855" t="s">
        <v>51</v>
      </c>
      <c r="I1855" t="s">
        <v>17</v>
      </c>
      <c r="J1855" t="s">
        <v>25</v>
      </c>
      <c r="K1855" t="s">
        <v>6803</v>
      </c>
    </row>
    <row r="1856" spans="1:11" x14ac:dyDescent="0.2">
      <c r="A1856" t="s">
        <v>6804</v>
      </c>
      <c r="B1856" t="s">
        <v>6805</v>
      </c>
      <c r="C1856" t="s">
        <v>6806</v>
      </c>
      <c r="F1856" s="2">
        <v>524161293</v>
      </c>
      <c r="G1856" s="2">
        <v>134044131</v>
      </c>
      <c r="H1856" t="s">
        <v>38</v>
      </c>
      <c r="I1856" t="s">
        <v>17</v>
      </c>
      <c r="J1856" t="s">
        <v>25</v>
      </c>
    </row>
    <row r="1857" spans="1:11" x14ac:dyDescent="0.2">
      <c r="A1857" t="s">
        <v>6807</v>
      </c>
      <c r="B1857" t="s">
        <v>6808</v>
      </c>
      <c r="F1857" s="2">
        <v>524545324</v>
      </c>
      <c r="G1857" s="2">
        <v>131433493</v>
      </c>
      <c r="H1857" t="s">
        <v>28</v>
      </c>
      <c r="I1857" t="s">
        <v>17</v>
      </c>
      <c r="J1857" t="s">
        <v>25</v>
      </c>
    </row>
    <row r="1858" spans="1:11" x14ac:dyDescent="0.2">
      <c r="A1858" t="s">
        <v>6809</v>
      </c>
      <c r="B1858" t="s">
        <v>6810</v>
      </c>
      <c r="C1858" t="s">
        <v>6811</v>
      </c>
      <c r="D1858" t="s">
        <v>6812</v>
      </c>
      <c r="E1858" t="s">
        <v>6813</v>
      </c>
      <c r="F1858" s="2">
        <v>524708842</v>
      </c>
      <c r="G1858" s="2">
        <v>131706566</v>
      </c>
      <c r="H1858" t="s">
        <v>24</v>
      </c>
      <c r="I1858" t="s">
        <v>17</v>
      </c>
      <c r="J1858" t="s">
        <v>25</v>
      </c>
    </row>
    <row r="1859" spans="1:11" x14ac:dyDescent="0.2">
      <c r="A1859" t="s">
        <v>6814</v>
      </c>
      <c r="F1859" s="2">
        <v>524860035</v>
      </c>
      <c r="G1859" s="2">
        <v>134350056</v>
      </c>
      <c r="H1859" t="s">
        <v>28</v>
      </c>
      <c r="I1859" t="s">
        <v>17</v>
      </c>
      <c r="J1859" t="s">
        <v>25</v>
      </c>
    </row>
    <row r="1860" spans="1:11" x14ac:dyDescent="0.2">
      <c r="A1860" t="s">
        <v>6815</v>
      </c>
      <c r="B1860" t="s">
        <v>6816</v>
      </c>
      <c r="C1860" t="s">
        <v>6817</v>
      </c>
      <c r="D1860" t="s">
        <v>6818</v>
      </c>
      <c r="E1860" t="s">
        <v>6819</v>
      </c>
      <c r="F1860" s="2">
        <v>526076773</v>
      </c>
      <c r="G1860" s="2">
        <v>133219465</v>
      </c>
      <c r="H1860" t="s">
        <v>51</v>
      </c>
      <c r="I1860" t="s">
        <v>17</v>
      </c>
      <c r="J1860" t="s">
        <v>25</v>
      </c>
      <c r="K1860" t="s">
        <v>6820</v>
      </c>
    </row>
    <row r="1861" spans="1:11" x14ac:dyDescent="0.2">
      <c r="A1861" t="s">
        <v>6821</v>
      </c>
      <c r="B1861" t="s">
        <v>6822</v>
      </c>
      <c r="C1861" t="s">
        <v>6823</v>
      </c>
      <c r="D1861" t="s">
        <v>6824</v>
      </c>
      <c r="E1861" t="s">
        <v>6825</v>
      </c>
      <c r="F1861" s="2">
        <v>524812913</v>
      </c>
      <c r="G1861" s="2">
        <v>133563055</v>
      </c>
      <c r="H1861" t="s">
        <v>51</v>
      </c>
      <c r="I1861" t="s">
        <v>17</v>
      </c>
      <c r="J1861" t="s">
        <v>25</v>
      </c>
      <c r="K1861" t="s">
        <v>6826</v>
      </c>
    </row>
    <row r="1862" spans="1:11" x14ac:dyDescent="0.2">
      <c r="A1862" t="s">
        <v>6827</v>
      </c>
      <c r="B1862" t="s">
        <v>6828</v>
      </c>
      <c r="C1862" t="s">
        <v>6829</v>
      </c>
      <c r="D1862" t="s">
        <v>6830</v>
      </c>
      <c r="E1862" t="s">
        <v>6831</v>
      </c>
      <c r="F1862" s="2">
        <v>524232808</v>
      </c>
      <c r="G1862" s="2">
        <v>134372851</v>
      </c>
      <c r="H1862" t="s">
        <v>24</v>
      </c>
      <c r="I1862" t="s">
        <v>17</v>
      </c>
      <c r="J1862" t="s">
        <v>25</v>
      </c>
    </row>
    <row r="1863" spans="1:11" x14ac:dyDescent="0.2">
      <c r="A1863" t="s">
        <v>6832</v>
      </c>
      <c r="B1863" t="s">
        <v>6833</v>
      </c>
      <c r="E1863" t="s">
        <v>6834</v>
      </c>
      <c r="F1863" s="2">
        <v>525397718</v>
      </c>
      <c r="G1863" s="2">
        <v>134070303</v>
      </c>
      <c r="H1863" t="s">
        <v>34</v>
      </c>
      <c r="I1863" t="s">
        <v>17</v>
      </c>
      <c r="J1863" t="s">
        <v>25</v>
      </c>
    </row>
    <row r="1864" spans="1:11" x14ac:dyDescent="0.2">
      <c r="A1864" t="s">
        <v>6835</v>
      </c>
      <c r="B1864" t="s">
        <v>6836</v>
      </c>
      <c r="F1864" s="2">
        <v>525295928</v>
      </c>
      <c r="G1864" s="2">
        <v>13389461</v>
      </c>
      <c r="H1864" t="s">
        <v>28</v>
      </c>
      <c r="I1864" t="s">
        <v>17</v>
      </c>
      <c r="J1864" t="s">
        <v>25</v>
      </c>
    </row>
    <row r="1865" spans="1:11" x14ac:dyDescent="0.2">
      <c r="A1865" t="s">
        <v>6837</v>
      </c>
      <c r="B1865" t="s">
        <v>6838</v>
      </c>
      <c r="E1865">
        <v>493063222451</v>
      </c>
      <c r="F1865" s="2">
        <v>524530074</v>
      </c>
      <c r="G1865" s="2">
        <v>135101968</v>
      </c>
      <c r="H1865" t="s">
        <v>34</v>
      </c>
      <c r="I1865" t="s">
        <v>17</v>
      </c>
      <c r="J1865" t="s">
        <v>25</v>
      </c>
    </row>
    <row r="1866" spans="1:11" x14ac:dyDescent="0.2">
      <c r="A1866" t="s">
        <v>6839</v>
      </c>
      <c r="B1866" t="s">
        <v>6840</v>
      </c>
      <c r="C1866" t="s">
        <v>6841</v>
      </c>
      <c r="D1866" t="s">
        <v>6842</v>
      </c>
      <c r="E1866" t="s">
        <v>6843</v>
      </c>
      <c r="F1866" s="2">
        <v>525237949</v>
      </c>
      <c r="G1866" s="2">
        <v>134312635</v>
      </c>
      <c r="H1866" t="s">
        <v>24</v>
      </c>
      <c r="I1866" t="s">
        <v>17</v>
      </c>
      <c r="J1866" t="s">
        <v>25</v>
      </c>
    </row>
    <row r="1867" spans="1:11" x14ac:dyDescent="0.2">
      <c r="A1867" t="s">
        <v>6844</v>
      </c>
      <c r="B1867" t="s">
        <v>6845</v>
      </c>
      <c r="C1867" t="s">
        <v>6846</v>
      </c>
      <c r="D1867" t="s">
        <v>6847</v>
      </c>
      <c r="E1867" t="s">
        <v>6848</v>
      </c>
      <c r="F1867" s="2">
        <v>525195997</v>
      </c>
      <c r="G1867" s="2">
        <v>131633516</v>
      </c>
      <c r="H1867" t="s">
        <v>304</v>
      </c>
      <c r="I1867" t="s">
        <v>17</v>
      </c>
      <c r="J1867" t="s">
        <v>25</v>
      </c>
      <c r="K1867" t="s">
        <v>6849</v>
      </c>
    </row>
    <row r="1868" spans="1:11" x14ac:dyDescent="0.2">
      <c r="A1868" t="s">
        <v>6850</v>
      </c>
      <c r="B1868" t="s">
        <v>6851</v>
      </c>
      <c r="C1868" t="s">
        <v>6852</v>
      </c>
      <c r="E1868" t="s">
        <v>6853</v>
      </c>
      <c r="F1868" s="2">
        <v>525107801</v>
      </c>
      <c r="G1868" s="2">
        <v>131716194</v>
      </c>
      <c r="H1868" t="s">
        <v>38</v>
      </c>
      <c r="I1868" t="s">
        <v>17</v>
      </c>
      <c r="J1868" t="s">
        <v>25</v>
      </c>
    </row>
    <row r="1869" spans="1:11" x14ac:dyDescent="0.2">
      <c r="A1869" t="s">
        <v>6854</v>
      </c>
      <c r="B1869" t="s">
        <v>6855</v>
      </c>
      <c r="C1869" t="s">
        <v>6856</v>
      </c>
      <c r="E1869" t="s">
        <v>6857</v>
      </c>
      <c r="F1869" s="2">
        <v>525075079</v>
      </c>
      <c r="G1869" s="2">
        <v>131975796</v>
      </c>
      <c r="H1869" t="s">
        <v>38</v>
      </c>
      <c r="I1869" t="s">
        <v>17</v>
      </c>
      <c r="J1869" t="s">
        <v>25</v>
      </c>
    </row>
    <row r="1870" spans="1:11" x14ac:dyDescent="0.2">
      <c r="A1870" t="s">
        <v>6858</v>
      </c>
      <c r="B1870" t="s">
        <v>6859</v>
      </c>
      <c r="C1870" t="s">
        <v>6860</v>
      </c>
      <c r="E1870" t="s">
        <v>6861</v>
      </c>
      <c r="F1870" s="2">
        <v>524894382</v>
      </c>
      <c r="G1870" s="2">
        <v>133967172</v>
      </c>
      <c r="H1870" t="s">
        <v>277</v>
      </c>
      <c r="I1870" t="s">
        <v>17</v>
      </c>
      <c r="J1870" t="s">
        <v>25</v>
      </c>
      <c r="K1870" t="s">
        <v>6862</v>
      </c>
    </row>
    <row r="1871" spans="1:11" x14ac:dyDescent="0.2">
      <c r="A1871" t="s">
        <v>6863</v>
      </c>
      <c r="B1871" t="s">
        <v>6864</v>
      </c>
      <c r="C1871" t="s">
        <v>6865</v>
      </c>
      <c r="E1871" t="s">
        <v>6866</v>
      </c>
      <c r="F1871" s="2">
        <v>525498748</v>
      </c>
      <c r="G1871" s="2">
        <v>131706172</v>
      </c>
      <c r="H1871" t="s">
        <v>38</v>
      </c>
      <c r="I1871" t="s">
        <v>17</v>
      </c>
      <c r="J1871" t="s">
        <v>25</v>
      </c>
    </row>
    <row r="1872" spans="1:11" x14ac:dyDescent="0.2">
      <c r="A1872" t="s">
        <v>6867</v>
      </c>
      <c r="B1872" t="s">
        <v>6868</v>
      </c>
      <c r="C1872" t="s">
        <v>6869</v>
      </c>
      <c r="D1872" t="s">
        <v>6870</v>
      </c>
      <c r="E1872" t="s">
        <v>6871</v>
      </c>
      <c r="F1872" s="2">
        <v>525043987</v>
      </c>
      <c r="G1872" s="2">
        <v>133099204</v>
      </c>
      <c r="H1872" t="s">
        <v>24</v>
      </c>
      <c r="I1872" t="s">
        <v>17</v>
      </c>
      <c r="J1872" t="s">
        <v>25</v>
      </c>
    </row>
    <row r="1873" spans="1:11" x14ac:dyDescent="0.2">
      <c r="A1873" t="s">
        <v>6872</v>
      </c>
      <c r="B1873" t="s">
        <v>6873</v>
      </c>
      <c r="C1873" t="s">
        <v>6874</v>
      </c>
      <c r="E1873" t="s">
        <v>6875</v>
      </c>
      <c r="F1873" s="2">
        <v>525385195</v>
      </c>
      <c r="G1873" s="2">
        <v>132067062</v>
      </c>
      <c r="H1873" t="s">
        <v>38</v>
      </c>
      <c r="I1873" t="s">
        <v>17</v>
      </c>
      <c r="J1873" t="s">
        <v>25</v>
      </c>
    </row>
    <row r="1874" spans="1:11" x14ac:dyDescent="0.2">
      <c r="A1874" t="s">
        <v>6876</v>
      </c>
      <c r="B1874" t="s">
        <v>6877</v>
      </c>
      <c r="C1874" t="s">
        <v>6878</v>
      </c>
      <c r="D1874" t="s">
        <v>6879</v>
      </c>
      <c r="E1874" t="s">
        <v>6880</v>
      </c>
      <c r="F1874" s="2">
        <v>52518078</v>
      </c>
      <c r="G1874" s="2">
        <v>131975475</v>
      </c>
      <c r="H1874" t="s">
        <v>51</v>
      </c>
      <c r="I1874" t="s">
        <v>17</v>
      </c>
      <c r="J1874" t="s">
        <v>25</v>
      </c>
      <c r="K1874" t="s">
        <v>6881</v>
      </c>
    </row>
    <row r="1875" spans="1:11" x14ac:dyDescent="0.2">
      <c r="A1875" t="s">
        <v>6882</v>
      </c>
      <c r="B1875" t="s">
        <v>6883</v>
      </c>
      <c r="C1875" t="s">
        <v>6884</v>
      </c>
      <c r="D1875" t="s">
        <v>6885</v>
      </c>
      <c r="F1875" s="2">
        <v>524891766</v>
      </c>
      <c r="G1875" s="2">
        <v>133548466</v>
      </c>
      <c r="H1875" t="s">
        <v>304</v>
      </c>
      <c r="I1875" t="s">
        <v>17</v>
      </c>
      <c r="J1875" t="s">
        <v>25</v>
      </c>
      <c r="K1875" t="s">
        <v>6886</v>
      </c>
    </row>
    <row r="1876" spans="1:11" x14ac:dyDescent="0.2">
      <c r="A1876" t="s">
        <v>6887</v>
      </c>
      <c r="B1876" t="s">
        <v>6888</v>
      </c>
      <c r="C1876" t="s">
        <v>6889</v>
      </c>
      <c r="D1876" t="s">
        <v>6890</v>
      </c>
      <c r="E1876" t="s">
        <v>6891</v>
      </c>
      <c r="F1876" s="2">
        <v>525225633</v>
      </c>
      <c r="G1876" s="2">
        <v>133884395</v>
      </c>
      <c r="H1876" t="s">
        <v>51</v>
      </c>
      <c r="I1876" t="s">
        <v>17</v>
      </c>
      <c r="J1876" t="s">
        <v>25</v>
      </c>
      <c r="K1876" t="s">
        <v>6892</v>
      </c>
    </row>
    <row r="1877" spans="1:11" x14ac:dyDescent="0.2">
      <c r="A1877" t="s">
        <v>6893</v>
      </c>
      <c r="B1877" t="s">
        <v>6894</v>
      </c>
      <c r="F1877" s="2">
        <v>5248326</v>
      </c>
      <c r="G1877" s="2">
        <v>134419475</v>
      </c>
      <c r="H1877" t="s">
        <v>28</v>
      </c>
      <c r="I1877" t="s">
        <v>17</v>
      </c>
      <c r="J1877" t="s">
        <v>25</v>
      </c>
    </row>
    <row r="1878" spans="1:11" x14ac:dyDescent="0.2">
      <c r="A1878" t="s">
        <v>6895</v>
      </c>
      <c r="B1878" t="s">
        <v>6896</v>
      </c>
      <c r="C1878" t="s">
        <v>6897</v>
      </c>
      <c r="E1878" t="s">
        <v>6898</v>
      </c>
      <c r="F1878" s="2">
        <v>525463644</v>
      </c>
      <c r="G1878" s="2">
        <v>132029054</v>
      </c>
      <c r="H1878" t="s">
        <v>38</v>
      </c>
      <c r="I1878" t="s">
        <v>17</v>
      </c>
      <c r="J1878" t="s">
        <v>25</v>
      </c>
    </row>
    <row r="1879" spans="1:11" x14ac:dyDescent="0.2">
      <c r="A1879" t="s">
        <v>6899</v>
      </c>
      <c r="B1879" t="s">
        <v>6900</v>
      </c>
      <c r="C1879" t="s">
        <v>6901</v>
      </c>
      <c r="D1879" t="s">
        <v>6902</v>
      </c>
      <c r="E1879" t="s">
        <v>6903</v>
      </c>
      <c r="F1879" s="2">
        <v>52501523</v>
      </c>
      <c r="G1879" s="2">
        <v>134908156</v>
      </c>
      <c r="H1879" t="s">
        <v>51</v>
      </c>
      <c r="I1879" t="s">
        <v>17</v>
      </c>
      <c r="J1879" t="s">
        <v>25</v>
      </c>
      <c r="K1879" t="s">
        <v>6904</v>
      </c>
    </row>
    <row r="1880" spans="1:11" x14ac:dyDescent="0.2">
      <c r="A1880" t="s">
        <v>6905</v>
      </c>
      <c r="B1880" t="s">
        <v>6906</v>
      </c>
      <c r="C1880" t="s">
        <v>6907</v>
      </c>
      <c r="E1880">
        <v>49306941048</v>
      </c>
      <c r="F1880" s="2">
        <v>524942274</v>
      </c>
      <c r="G1880" s="2">
        <v>134254632</v>
      </c>
      <c r="H1880" t="s">
        <v>38</v>
      </c>
      <c r="I1880" t="s">
        <v>17</v>
      </c>
      <c r="J1880" t="s">
        <v>25</v>
      </c>
    </row>
    <row r="1881" spans="1:11" x14ac:dyDescent="0.2">
      <c r="A1881" t="s">
        <v>6908</v>
      </c>
      <c r="B1881" t="s">
        <v>6909</v>
      </c>
      <c r="C1881" t="s">
        <v>6910</v>
      </c>
      <c r="D1881" t="s">
        <v>6911</v>
      </c>
      <c r="F1881" s="2">
        <v>525676332</v>
      </c>
      <c r="G1881" s="2">
        <v>133906611</v>
      </c>
      <c r="H1881" t="s">
        <v>51</v>
      </c>
      <c r="I1881" t="s">
        <v>17</v>
      </c>
      <c r="J1881" t="s">
        <v>25</v>
      </c>
      <c r="K1881" t="s">
        <v>6912</v>
      </c>
    </row>
    <row r="1882" spans="1:11" x14ac:dyDescent="0.2">
      <c r="A1882" t="s">
        <v>6913</v>
      </c>
      <c r="B1882" t="s">
        <v>6914</v>
      </c>
      <c r="C1882" t="s">
        <v>6915</v>
      </c>
      <c r="D1882" t="s">
        <v>6916</v>
      </c>
      <c r="E1882" t="s">
        <v>6917</v>
      </c>
      <c r="F1882" s="2">
        <v>525181826</v>
      </c>
      <c r="G1882" s="2">
        <v>133234341</v>
      </c>
      <c r="H1882" t="s">
        <v>51</v>
      </c>
      <c r="I1882" t="s">
        <v>17</v>
      </c>
      <c r="J1882" t="s">
        <v>25</v>
      </c>
      <c r="K1882" t="s">
        <v>6918</v>
      </c>
    </row>
    <row r="1883" spans="1:11" x14ac:dyDescent="0.2">
      <c r="A1883" t="s">
        <v>6919</v>
      </c>
      <c r="B1883" t="s">
        <v>6920</v>
      </c>
      <c r="C1883" t="s">
        <v>6921</v>
      </c>
      <c r="E1883" t="s">
        <v>6922</v>
      </c>
      <c r="F1883" s="2">
        <v>525062356</v>
      </c>
      <c r="G1883" s="2">
        <v>134654283</v>
      </c>
      <c r="H1883" t="s">
        <v>38</v>
      </c>
      <c r="I1883" t="s">
        <v>17</v>
      </c>
      <c r="J1883" t="s">
        <v>25</v>
      </c>
    </row>
    <row r="1884" spans="1:11" x14ac:dyDescent="0.2">
      <c r="A1884" t="s">
        <v>6923</v>
      </c>
      <c r="B1884" t="s">
        <v>6924</v>
      </c>
      <c r="F1884" s="2">
        <v>52501823</v>
      </c>
      <c r="G1884" s="2">
        <v>133292446</v>
      </c>
      <c r="H1884" t="s">
        <v>28</v>
      </c>
      <c r="I1884" t="s">
        <v>17</v>
      </c>
      <c r="J1884" t="s">
        <v>25</v>
      </c>
    </row>
    <row r="1885" spans="1:11" x14ac:dyDescent="0.2">
      <c r="A1885" t="s">
        <v>6925</v>
      </c>
      <c r="B1885" t="s">
        <v>6926</v>
      </c>
      <c r="C1885" t="s">
        <v>6927</v>
      </c>
      <c r="D1885" t="s">
        <v>6928</v>
      </c>
      <c r="F1885" s="2">
        <v>524341166</v>
      </c>
      <c r="G1885" s="2">
        <v>132469759</v>
      </c>
      <c r="H1885" t="s">
        <v>16</v>
      </c>
      <c r="I1885" t="s">
        <v>17</v>
      </c>
      <c r="J1885" t="s">
        <v>25</v>
      </c>
    </row>
    <row r="1886" spans="1:11" x14ac:dyDescent="0.2">
      <c r="A1886" t="s">
        <v>6929</v>
      </c>
      <c r="B1886" t="s">
        <v>6930</v>
      </c>
      <c r="C1886" t="s">
        <v>6931</v>
      </c>
      <c r="F1886" s="2">
        <v>524341564</v>
      </c>
      <c r="G1886" s="2">
        <v>132473019</v>
      </c>
      <c r="H1886" t="s">
        <v>255</v>
      </c>
      <c r="I1886" t="s">
        <v>17</v>
      </c>
      <c r="J1886" t="s">
        <v>25</v>
      </c>
    </row>
    <row r="1887" spans="1:11" x14ac:dyDescent="0.2">
      <c r="A1887" t="s">
        <v>6932</v>
      </c>
      <c r="B1887" t="s">
        <v>6933</v>
      </c>
      <c r="E1887" t="s">
        <v>6934</v>
      </c>
      <c r="F1887" s="2">
        <v>524930013</v>
      </c>
      <c r="G1887" s="2">
        <v>133950033</v>
      </c>
      <c r="H1887" t="s">
        <v>34</v>
      </c>
      <c r="I1887" t="s">
        <v>17</v>
      </c>
      <c r="J1887" t="s">
        <v>25</v>
      </c>
    </row>
    <row r="1888" spans="1:11" x14ac:dyDescent="0.2">
      <c r="A1888" t="s">
        <v>6935</v>
      </c>
      <c r="B1888" t="s">
        <v>6936</v>
      </c>
      <c r="E1888">
        <v>493091206299</v>
      </c>
      <c r="F1888" s="2">
        <v>525421225</v>
      </c>
      <c r="G1888" s="2">
        <v>13411779</v>
      </c>
      <c r="H1888" t="s">
        <v>34</v>
      </c>
      <c r="I1888" t="s">
        <v>17</v>
      </c>
      <c r="J1888" t="s">
        <v>25</v>
      </c>
    </row>
    <row r="1889" spans="1:11" x14ac:dyDescent="0.2">
      <c r="A1889" t="s">
        <v>6937</v>
      </c>
      <c r="B1889" t="s">
        <v>6938</v>
      </c>
      <c r="C1889" t="s">
        <v>6939</v>
      </c>
      <c r="E1889">
        <v>493080938191</v>
      </c>
      <c r="F1889" s="2">
        <v>525414285</v>
      </c>
      <c r="G1889" s="2">
        <v>134091681</v>
      </c>
      <c r="H1889" t="s">
        <v>38</v>
      </c>
      <c r="I1889" t="s">
        <v>17</v>
      </c>
      <c r="J1889" t="s">
        <v>25</v>
      </c>
    </row>
    <row r="1890" spans="1:11" x14ac:dyDescent="0.2">
      <c r="A1890" t="s">
        <v>6940</v>
      </c>
      <c r="B1890" t="s">
        <v>6941</v>
      </c>
      <c r="F1890" s="2">
        <v>525412875</v>
      </c>
      <c r="G1890" s="2">
        <v>134108549</v>
      </c>
      <c r="H1890" t="s">
        <v>28</v>
      </c>
      <c r="I1890" t="s">
        <v>17</v>
      </c>
      <c r="J1890" t="s">
        <v>25</v>
      </c>
    </row>
    <row r="1891" spans="1:11" x14ac:dyDescent="0.2">
      <c r="A1891" t="s">
        <v>6942</v>
      </c>
      <c r="B1891" t="s">
        <v>6943</v>
      </c>
      <c r="F1891" s="2">
        <v>525412607</v>
      </c>
      <c r="G1891" s="2">
        <v>134111452</v>
      </c>
      <c r="H1891" t="s">
        <v>28</v>
      </c>
      <c r="I1891" t="s">
        <v>17</v>
      </c>
      <c r="J1891" t="s">
        <v>25</v>
      </c>
    </row>
    <row r="1892" spans="1:11" x14ac:dyDescent="0.2">
      <c r="A1892" t="s">
        <v>6944</v>
      </c>
      <c r="B1892" t="s">
        <v>6945</v>
      </c>
      <c r="C1892" t="s">
        <v>6946</v>
      </c>
      <c r="E1892" t="s">
        <v>6947</v>
      </c>
      <c r="F1892" s="2">
        <v>525472651</v>
      </c>
      <c r="G1892" s="2">
        <v>134154874</v>
      </c>
      <c r="H1892" t="s">
        <v>277</v>
      </c>
      <c r="I1892" t="s">
        <v>17</v>
      </c>
      <c r="J1892" t="s">
        <v>25</v>
      </c>
      <c r="K1892" t="s">
        <v>6948</v>
      </c>
    </row>
    <row r="1893" spans="1:11" x14ac:dyDescent="0.2">
      <c r="A1893" t="s">
        <v>6949</v>
      </c>
      <c r="B1893" t="s">
        <v>6950</v>
      </c>
      <c r="C1893" t="s">
        <v>6951</v>
      </c>
      <c r="D1893" t="s">
        <v>6952</v>
      </c>
      <c r="E1893">
        <v>493050019494</v>
      </c>
      <c r="F1893" s="2">
        <v>525846769</v>
      </c>
      <c r="G1893" s="2">
        <v>134691326</v>
      </c>
      <c r="H1893" t="s">
        <v>24</v>
      </c>
      <c r="I1893" t="s">
        <v>17</v>
      </c>
      <c r="J1893" t="s">
        <v>25</v>
      </c>
    </row>
    <row r="1894" spans="1:11" x14ac:dyDescent="0.2">
      <c r="A1894" t="s">
        <v>6953</v>
      </c>
      <c r="B1894" t="s">
        <v>6954</v>
      </c>
      <c r="F1894" s="2">
        <v>525063176</v>
      </c>
      <c r="G1894" s="2">
        <v>13470645</v>
      </c>
      <c r="H1894" t="s">
        <v>28</v>
      </c>
      <c r="I1894" t="s">
        <v>17</v>
      </c>
      <c r="J1894" t="s">
        <v>25</v>
      </c>
    </row>
    <row r="1895" spans="1:11" x14ac:dyDescent="0.2">
      <c r="A1895" t="s">
        <v>6955</v>
      </c>
      <c r="B1895" t="s">
        <v>6956</v>
      </c>
      <c r="C1895" t="s">
        <v>6957</v>
      </c>
      <c r="F1895" s="2">
        <v>52506429</v>
      </c>
      <c r="G1895" s="2">
        <v>134694631</v>
      </c>
      <c r="H1895" t="s">
        <v>255</v>
      </c>
      <c r="I1895" t="s">
        <v>17</v>
      </c>
      <c r="J1895" t="s">
        <v>25</v>
      </c>
    </row>
    <row r="1896" spans="1:11" x14ac:dyDescent="0.2">
      <c r="A1896" t="s">
        <v>6958</v>
      </c>
      <c r="C1896" t="s">
        <v>6959</v>
      </c>
      <c r="E1896" t="s">
        <v>6960</v>
      </c>
      <c r="F1896" s="2">
        <v>525679202</v>
      </c>
      <c r="G1896" s="2">
        <v>133127309</v>
      </c>
      <c r="H1896" t="s">
        <v>38</v>
      </c>
      <c r="I1896" t="s">
        <v>17</v>
      </c>
      <c r="J1896" t="s">
        <v>25</v>
      </c>
    </row>
    <row r="1897" spans="1:11" x14ac:dyDescent="0.2">
      <c r="A1897" t="s">
        <v>6961</v>
      </c>
      <c r="B1897" t="s">
        <v>6962</v>
      </c>
      <c r="C1897" t="s">
        <v>6963</v>
      </c>
      <c r="D1897" t="s">
        <v>6964</v>
      </c>
      <c r="E1897" t="s">
        <v>6965</v>
      </c>
      <c r="F1897" s="2">
        <v>52543207</v>
      </c>
      <c r="G1897" s="2">
        <v>134148986</v>
      </c>
      <c r="H1897" t="s">
        <v>304</v>
      </c>
      <c r="I1897" t="s">
        <v>17</v>
      </c>
      <c r="J1897" t="s">
        <v>25</v>
      </c>
      <c r="K1897" t="s">
        <v>6966</v>
      </c>
    </row>
    <row r="1898" spans="1:11" x14ac:dyDescent="0.2">
      <c r="A1898" t="s">
        <v>6967</v>
      </c>
      <c r="B1898" t="s">
        <v>6968</v>
      </c>
      <c r="C1898" t="s">
        <v>6969</v>
      </c>
      <c r="E1898" t="s">
        <v>6970</v>
      </c>
      <c r="F1898" s="2">
        <v>524883702</v>
      </c>
      <c r="G1898" s="2">
        <v>133905756</v>
      </c>
      <c r="H1898" t="s">
        <v>277</v>
      </c>
      <c r="I1898" t="s">
        <v>17</v>
      </c>
      <c r="J1898" t="s">
        <v>25</v>
      </c>
      <c r="K1898" t="s">
        <v>6971</v>
      </c>
    </row>
    <row r="1899" spans="1:11" x14ac:dyDescent="0.2">
      <c r="A1899" t="s">
        <v>6972</v>
      </c>
      <c r="B1899" t="s">
        <v>6973</v>
      </c>
      <c r="C1899" t="s">
        <v>6974</v>
      </c>
      <c r="D1899" t="s">
        <v>6975</v>
      </c>
      <c r="E1899" t="s">
        <v>6976</v>
      </c>
      <c r="F1899" s="2">
        <v>525474555</v>
      </c>
      <c r="G1899" s="2">
        <v>134142029</v>
      </c>
      <c r="H1899" t="s">
        <v>304</v>
      </c>
      <c r="I1899" t="s">
        <v>17</v>
      </c>
      <c r="J1899" t="s">
        <v>25</v>
      </c>
      <c r="K1899" t="s">
        <v>6977</v>
      </c>
    </row>
    <row r="1900" spans="1:11" x14ac:dyDescent="0.2">
      <c r="A1900" t="s">
        <v>6978</v>
      </c>
      <c r="B1900" t="s">
        <v>6979</v>
      </c>
      <c r="C1900" t="s">
        <v>6980</v>
      </c>
      <c r="D1900" t="s">
        <v>6981</v>
      </c>
      <c r="E1900">
        <v>493085749452</v>
      </c>
      <c r="F1900" s="2">
        <v>525402704</v>
      </c>
      <c r="G1900" s="2">
        <v>134112195</v>
      </c>
      <c r="H1900" t="s">
        <v>51</v>
      </c>
      <c r="I1900" t="s">
        <v>17</v>
      </c>
      <c r="J1900" t="s">
        <v>25</v>
      </c>
      <c r="K1900" t="s">
        <v>6982</v>
      </c>
    </row>
    <row r="1901" spans="1:11" x14ac:dyDescent="0.2">
      <c r="A1901" t="s">
        <v>6983</v>
      </c>
      <c r="B1901" t="s">
        <v>6984</v>
      </c>
      <c r="C1901" t="s">
        <v>6985</v>
      </c>
      <c r="D1901" t="s">
        <v>6986</v>
      </c>
      <c r="E1901" t="s">
        <v>6987</v>
      </c>
      <c r="F1901" s="2">
        <v>525391004</v>
      </c>
      <c r="G1901" s="2">
        <v>134088018</v>
      </c>
      <c r="H1901" t="s">
        <v>51</v>
      </c>
      <c r="I1901" t="s">
        <v>17</v>
      </c>
      <c r="J1901" t="s">
        <v>25</v>
      </c>
      <c r="K1901" t="s">
        <v>6988</v>
      </c>
    </row>
    <row r="1902" spans="1:11" x14ac:dyDescent="0.2">
      <c r="A1902" t="s">
        <v>6989</v>
      </c>
      <c r="B1902" t="s">
        <v>6990</v>
      </c>
      <c r="C1902" t="s">
        <v>6991</v>
      </c>
      <c r="E1902">
        <v>493063965331</v>
      </c>
      <c r="F1902" s="2">
        <v>525056169</v>
      </c>
      <c r="G1902" s="2">
        <v>134661887</v>
      </c>
      <c r="H1902" t="s">
        <v>277</v>
      </c>
      <c r="I1902" t="s">
        <v>17</v>
      </c>
      <c r="J1902" t="s">
        <v>25</v>
      </c>
      <c r="K1902" t="s">
        <v>6992</v>
      </c>
    </row>
    <row r="1903" spans="1:11" x14ac:dyDescent="0.2">
      <c r="A1903" t="s">
        <v>6993</v>
      </c>
      <c r="B1903" t="s">
        <v>6990</v>
      </c>
      <c r="F1903" s="2">
        <v>525055177</v>
      </c>
      <c r="G1903" s="2">
        <v>134663182</v>
      </c>
      <c r="H1903" t="s">
        <v>28</v>
      </c>
      <c r="I1903" t="s">
        <v>17</v>
      </c>
      <c r="J1903" t="s">
        <v>25</v>
      </c>
    </row>
    <row r="1904" spans="1:11" x14ac:dyDescent="0.2">
      <c r="A1904" t="s">
        <v>6994</v>
      </c>
      <c r="B1904" t="s">
        <v>6995</v>
      </c>
      <c r="C1904" t="s">
        <v>6996</v>
      </c>
      <c r="F1904" s="2">
        <v>525458675</v>
      </c>
      <c r="G1904" s="2">
        <v>134125021</v>
      </c>
      <c r="H1904" t="s">
        <v>3120</v>
      </c>
      <c r="I1904" t="s">
        <v>17</v>
      </c>
      <c r="J1904" t="s">
        <v>25</v>
      </c>
      <c r="K1904" t="s">
        <v>6997</v>
      </c>
    </row>
    <row r="1905" spans="1:11" x14ac:dyDescent="0.2">
      <c r="A1905" t="s">
        <v>6998</v>
      </c>
      <c r="B1905" t="s">
        <v>6999</v>
      </c>
      <c r="D1905" t="s">
        <v>7000</v>
      </c>
      <c r="E1905" t="s">
        <v>7001</v>
      </c>
    </row>
    <row r="1906" spans="1:11" x14ac:dyDescent="0.2">
      <c r="A1906" t="s">
        <v>7002</v>
      </c>
      <c r="B1906" t="s">
        <v>7003</v>
      </c>
      <c r="C1906" t="s">
        <v>7004</v>
      </c>
      <c r="F1906" s="2">
        <v>525647792</v>
      </c>
      <c r="G1906" s="2">
        <v>133769733</v>
      </c>
      <c r="H1906" t="s">
        <v>255</v>
      </c>
      <c r="I1906" t="s">
        <v>17</v>
      </c>
      <c r="J1906" t="s">
        <v>25</v>
      </c>
    </row>
    <row r="1907" spans="1:11" x14ac:dyDescent="0.2">
      <c r="A1907" t="s">
        <v>7005</v>
      </c>
      <c r="B1907" t="s">
        <v>7006</v>
      </c>
      <c r="C1907" t="s">
        <v>7007</v>
      </c>
      <c r="E1907" t="s">
        <v>7008</v>
      </c>
      <c r="F1907" s="2">
        <v>524505702</v>
      </c>
      <c r="G1907" s="2">
        <v>133215021</v>
      </c>
      <c r="H1907" t="s">
        <v>38</v>
      </c>
      <c r="I1907" t="s">
        <v>17</v>
      </c>
      <c r="J1907" t="s">
        <v>25</v>
      </c>
    </row>
    <row r="1908" spans="1:11" x14ac:dyDescent="0.2">
      <c r="A1908" t="s">
        <v>7009</v>
      </c>
      <c r="B1908" t="s">
        <v>7010</v>
      </c>
    </row>
    <row r="1909" spans="1:11" x14ac:dyDescent="0.2">
      <c r="A1909" t="s">
        <v>7011</v>
      </c>
      <c r="B1909" t="s">
        <v>7012</v>
      </c>
      <c r="C1909" t="s">
        <v>7013</v>
      </c>
      <c r="D1909" t="s">
        <v>7014</v>
      </c>
      <c r="E1909" t="s">
        <v>7015</v>
      </c>
      <c r="F1909" s="2">
        <v>525688295</v>
      </c>
      <c r="G1909" s="2">
        <v>133620268</v>
      </c>
      <c r="H1909" t="s">
        <v>16</v>
      </c>
      <c r="I1909" t="s">
        <v>17</v>
      </c>
      <c r="J1909" t="s">
        <v>25</v>
      </c>
    </row>
    <row r="1910" spans="1:11" x14ac:dyDescent="0.2">
      <c r="A1910" t="s">
        <v>7016</v>
      </c>
      <c r="F1910" s="2">
        <v>525706989</v>
      </c>
      <c r="G1910" s="2">
        <v>133612052</v>
      </c>
      <c r="H1910" t="s">
        <v>28</v>
      </c>
      <c r="I1910" t="s">
        <v>17</v>
      </c>
      <c r="J1910" t="s">
        <v>25</v>
      </c>
    </row>
    <row r="1911" spans="1:11" x14ac:dyDescent="0.2">
      <c r="A1911" t="s">
        <v>7017</v>
      </c>
      <c r="B1911" t="s">
        <v>7018</v>
      </c>
      <c r="F1911" s="2">
        <v>525083981</v>
      </c>
      <c r="G1911" s="2">
        <v>133092748</v>
      </c>
      <c r="H1911" t="s">
        <v>28</v>
      </c>
      <c r="I1911" t="s">
        <v>17</v>
      </c>
      <c r="J1911" t="s">
        <v>25</v>
      </c>
    </row>
    <row r="1912" spans="1:11" x14ac:dyDescent="0.2">
      <c r="A1912" t="s">
        <v>7019</v>
      </c>
      <c r="B1912" t="s">
        <v>7020</v>
      </c>
      <c r="C1912" t="s">
        <v>7021</v>
      </c>
      <c r="D1912" t="s">
        <v>7022</v>
      </c>
      <c r="E1912" t="s">
        <v>7023</v>
      </c>
      <c r="F1912" s="2">
        <v>524672731</v>
      </c>
      <c r="G1912" s="2">
        <v>131919863</v>
      </c>
      <c r="H1912" t="s">
        <v>51</v>
      </c>
      <c r="I1912" t="s">
        <v>17</v>
      </c>
      <c r="J1912" t="s">
        <v>25</v>
      </c>
      <c r="K1912" t="s">
        <v>7024</v>
      </c>
    </row>
    <row r="1913" spans="1:11" x14ac:dyDescent="0.2">
      <c r="A1913" t="s">
        <v>7025</v>
      </c>
      <c r="F1913" s="2">
        <v>525230092</v>
      </c>
      <c r="G1913" s="2">
        <v>134878566</v>
      </c>
      <c r="H1913" t="s">
        <v>28</v>
      </c>
      <c r="I1913" t="s">
        <v>17</v>
      </c>
      <c r="J1913" t="s">
        <v>25</v>
      </c>
    </row>
    <row r="1914" spans="1:11" x14ac:dyDescent="0.2">
      <c r="A1914" t="s">
        <v>7026</v>
      </c>
      <c r="B1914" t="s">
        <v>7027</v>
      </c>
      <c r="C1914" t="s">
        <v>7028</v>
      </c>
      <c r="D1914" t="s">
        <v>7029</v>
      </c>
      <c r="F1914" s="2">
        <v>52543195</v>
      </c>
      <c r="G1914" s="2">
        <v>133567809</v>
      </c>
      <c r="H1914" t="s">
        <v>51</v>
      </c>
      <c r="I1914" t="s">
        <v>17</v>
      </c>
      <c r="J1914" t="s">
        <v>25</v>
      </c>
      <c r="K1914" t="s">
        <v>7030</v>
      </c>
    </row>
    <row r="1915" spans="1:11" x14ac:dyDescent="0.2">
      <c r="A1915" t="s">
        <v>7031</v>
      </c>
      <c r="B1915" t="s">
        <v>7032</v>
      </c>
      <c r="C1915" t="s">
        <v>7033</v>
      </c>
      <c r="D1915" t="s">
        <v>7034</v>
      </c>
      <c r="E1915" t="s">
        <v>7035</v>
      </c>
      <c r="F1915" s="2">
        <v>524825313</v>
      </c>
      <c r="G1915" s="2">
        <v>133571194</v>
      </c>
      <c r="H1915" t="s">
        <v>24</v>
      </c>
      <c r="I1915" t="s">
        <v>17</v>
      </c>
      <c r="J1915" t="s">
        <v>25</v>
      </c>
    </row>
    <row r="1916" spans="1:11" x14ac:dyDescent="0.2">
      <c r="A1916" t="s">
        <v>7036</v>
      </c>
      <c r="B1916" t="s">
        <v>7037</v>
      </c>
      <c r="D1916" t="s">
        <v>7038</v>
      </c>
      <c r="E1916" t="s">
        <v>7039</v>
      </c>
      <c r="F1916" s="2">
        <v>52487548</v>
      </c>
      <c r="G1916" s="2">
        <v>134212026</v>
      </c>
      <c r="H1916" t="s">
        <v>1107</v>
      </c>
      <c r="I1916" t="s">
        <v>17</v>
      </c>
      <c r="J1916" t="s">
        <v>25</v>
      </c>
    </row>
    <row r="1917" spans="1:11" x14ac:dyDescent="0.2">
      <c r="A1917" t="s">
        <v>7040</v>
      </c>
      <c r="B1917" t="s">
        <v>7041</v>
      </c>
      <c r="C1917" t="s">
        <v>7042</v>
      </c>
      <c r="E1917" t="s">
        <v>7043</v>
      </c>
      <c r="F1917" s="2">
        <v>525205622</v>
      </c>
      <c r="G1917" s="2">
        <v>132675229</v>
      </c>
      <c r="H1917" t="s">
        <v>38</v>
      </c>
      <c r="I1917" t="s">
        <v>17</v>
      </c>
      <c r="J1917" t="s">
        <v>25</v>
      </c>
    </row>
    <row r="1918" spans="1:11" x14ac:dyDescent="0.2">
      <c r="A1918" t="s">
        <v>7044</v>
      </c>
      <c r="B1918" t="s">
        <v>7045</v>
      </c>
      <c r="F1918" s="2">
        <v>525481127</v>
      </c>
      <c r="G1918" s="2">
        <v>134130983</v>
      </c>
      <c r="H1918" t="s">
        <v>28</v>
      </c>
      <c r="I1918" t="s">
        <v>17</v>
      </c>
      <c r="J1918" t="s">
        <v>25</v>
      </c>
    </row>
    <row r="1919" spans="1:11" x14ac:dyDescent="0.2">
      <c r="A1919" t="s">
        <v>7046</v>
      </c>
      <c r="B1919" t="s">
        <v>7047</v>
      </c>
      <c r="C1919" t="s">
        <v>7048</v>
      </c>
      <c r="F1919" s="2">
        <v>524966764</v>
      </c>
      <c r="G1919" s="2">
        <v>132914114</v>
      </c>
      <c r="H1919" t="s">
        <v>277</v>
      </c>
      <c r="I1919" t="s">
        <v>17</v>
      </c>
      <c r="J1919" t="s">
        <v>25</v>
      </c>
      <c r="K1919" t="s">
        <v>7049</v>
      </c>
    </row>
    <row r="1920" spans="1:11" x14ac:dyDescent="0.2">
      <c r="A1920" t="s">
        <v>7050</v>
      </c>
      <c r="B1920" t="s">
        <v>7051</v>
      </c>
      <c r="E1920">
        <v>493085616933</v>
      </c>
      <c r="F1920" s="2">
        <v>525109579</v>
      </c>
      <c r="G1920" s="2">
        <v>134624792</v>
      </c>
      <c r="H1920" t="s">
        <v>34</v>
      </c>
      <c r="I1920" t="s">
        <v>17</v>
      </c>
      <c r="J1920" t="s">
        <v>25</v>
      </c>
    </row>
    <row r="1921" spans="1:11" x14ac:dyDescent="0.2">
      <c r="A1921" t="s">
        <v>7052</v>
      </c>
      <c r="B1921" t="s">
        <v>7053</v>
      </c>
      <c r="C1921" t="s">
        <v>7054</v>
      </c>
      <c r="E1921" t="s">
        <v>7055</v>
      </c>
      <c r="F1921" s="2">
        <v>525525463</v>
      </c>
      <c r="G1921" s="2">
        <v>133621992</v>
      </c>
      <c r="H1921" t="s">
        <v>38</v>
      </c>
      <c r="I1921" t="s">
        <v>17</v>
      </c>
      <c r="J1921" t="s">
        <v>25</v>
      </c>
    </row>
    <row r="1922" spans="1:11" x14ac:dyDescent="0.2">
      <c r="A1922" t="s">
        <v>7056</v>
      </c>
      <c r="B1922" t="s">
        <v>7057</v>
      </c>
      <c r="C1922" t="s">
        <v>7058</v>
      </c>
      <c r="D1922" t="s">
        <v>7059</v>
      </c>
      <c r="E1922" t="s">
        <v>7060</v>
      </c>
      <c r="F1922" s="2">
        <v>525350373</v>
      </c>
      <c r="G1922" s="2">
        <v>134180044</v>
      </c>
      <c r="H1922" t="s">
        <v>16</v>
      </c>
      <c r="I1922" t="s">
        <v>17</v>
      </c>
      <c r="J1922" t="s">
        <v>25</v>
      </c>
    </row>
    <row r="1923" spans="1:11" x14ac:dyDescent="0.2">
      <c r="A1923" t="s">
        <v>7061</v>
      </c>
      <c r="B1923" t="s">
        <v>7062</v>
      </c>
      <c r="C1923" t="s">
        <v>7063</v>
      </c>
      <c r="E1923" t="s">
        <v>7064</v>
      </c>
      <c r="F1923" s="2">
        <v>525042493</v>
      </c>
      <c r="G1923" s="2">
        <v>133761523</v>
      </c>
      <c r="H1923" t="s">
        <v>38</v>
      </c>
      <c r="I1923" t="s">
        <v>17</v>
      </c>
      <c r="J1923" t="s">
        <v>25</v>
      </c>
    </row>
    <row r="1924" spans="1:11" x14ac:dyDescent="0.2">
      <c r="A1924" t="s">
        <v>7065</v>
      </c>
      <c r="B1924" t="s">
        <v>7066</v>
      </c>
      <c r="C1924" t="s">
        <v>7067</v>
      </c>
      <c r="D1924" t="s">
        <v>7068</v>
      </c>
      <c r="E1924" t="s">
        <v>7069</v>
      </c>
      <c r="F1924" s="2">
        <v>52500148</v>
      </c>
      <c r="G1924" s="2">
        <v>133058546</v>
      </c>
      <c r="H1924" t="s">
        <v>51</v>
      </c>
      <c r="I1924" t="s">
        <v>17</v>
      </c>
      <c r="J1924" t="s">
        <v>25</v>
      </c>
      <c r="K1924" t="s">
        <v>7070</v>
      </c>
    </row>
    <row r="1925" spans="1:11" x14ac:dyDescent="0.2">
      <c r="A1925" t="s">
        <v>7071</v>
      </c>
      <c r="B1925" t="s">
        <v>7072</v>
      </c>
      <c r="E1925" t="s">
        <v>7073</v>
      </c>
      <c r="F1925" s="2">
        <v>524359639</v>
      </c>
      <c r="G1925" s="2">
        <v>135549806</v>
      </c>
      <c r="H1925" t="s">
        <v>34</v>
      </c>
      <c r="I1925" t="s">
        <v>17</v>
      </c>
      <c r="J1925" t="s">
        <v>25</v>
      </c>
    </row>
    <row r="1926" spans="1:11" x14ac:dyDescent="0.2">
      <c r="A1926" t="s">
        <v>7074</v>
      </c>
      <c r="B1926" t="s">
        <v>7075</v>
      </c>
      <c r="C1926" t="s">
        <v>7076</v>
      </c>
      <c r="F1926" s="2">
        <v>524941584</v>
      </c>
      <c r="G1926" s="2">
        <v>133637413</v>
      </c>
      <c r="H1926" t="s">
        <v>38</v>
      </c>
      <c r="I1926" t="s">
        <v>17</v>
      </c>
      <c r="J1926" t="s">
        <v>25</v>
      </c>
    </row>
    <row r="1927" spans="1:11" x14ac:dyDescent="0.2">
      <c r="A1927" t="s">
        <v>7077</v>
      </c>
      <c r="B1927" t="s">
        <v>7078</v>
      </c>
      <c r="C1927" t="s">
        <v>7079</v>
      </c>
      <c r="D1927" t="s">
        <v>7080</v>
      </c>
      <c r="F1927" s="2">
        <v>525131986</v>
      </c>
      <c r="G1927" s="2">
        <v>132923596</v>
      </c>
      <c r="H1927" t="s">
        <v>51</v>
      </c>
      <c r="I1927" t="s">
        <v>17</v>
      </c>
      <c r="J1927" t="s">
        <v>25</v>
      </c>
      <c r="K1927" t="s">
        <v>7081</v>
      </c>
    </row>
    <row r="1928" spans="1:11" x14ac:dyDescent="0.2">
      <c r="A1928" t="s">
        <v>7082</v>
      </c>
      <c r="B1928" t="s">
        <v>7078</v>
      </c>
      <c r="C1928" t="s">
        <v>7083</v>
      </c>
      <c r="D1928" t="s">
        <v>7084</v>
      </c>
      <c r="E1928" t="s">
        <v>7085</v>
      </c>
      <c r="F1928" s="2">
        <v>525132054</v>
      </c>
      <c r="G1928" s="2">
        <v>132925085</v>
      </c>
      <c r="H1928" t="s">
        <v>24</v>
      </c>
      <c r="I1928" t="s">
        <v>17</v>
      </c>
      <c r="J1928" t="s">
        <v>25</v>
      </c>
    </row>
    <row r="1929" spans="1:11" x14ac:dyDescent="0.2">
      <c r="A1929" t="s">
        <v>7086</v>
      </c>
      <c r="F1929" s="2">
        <v>525309385</v>
      </c>
      <c r="G1929" s="2">
        <v>134909657</v>
      </c>
      <c r="H1929" t="s">
        <v>28</v>
      </c>
      <c r="I1929" t="s">
        <v>17</v>
      </c>
      <c r="J1929" t="s">
        <v>25</v>
      </c>
    </row>
    <row r="1930" spans="1:11" x14ac:dyDescent="0.2">
      <c r="A1930" t="s">
        <v>7087</v>
      </c>
      <c r="B1930" t="s">
        <v>7088</v>
      </c>
      <c r="E1930" t="s">
        <v>7089</v>
      </c>
      <c r="F1930" s="2">
        <v>524690339</v>
      </c>
      <c r="G1930" s="2">
        <v>134473944</v>
      </c>
      <c r="H1930" t="s">
        <v>34</v>
      </c>
      <c r="I1930" t="s">
        <v>17</v>
      </c>
      <c r="J1930" t="s">
        <v>25</v>
      </c>
    </row>
    <row r="1931" spans="1:11" x14ac:dyDescent="0.2">
      <c r="A1931" t="s">
        <v>7090</v>
      </c>
      <c r="B1931" t="s">
        <v>7091</v>
      </c>
      <c r="C1931" t="s">
        <v>7092</v>
      </c>
      <c r="D1931" t="s">
        <v>7093</v>
      </c>
      <c r="E1931" t="s">
        <v>7094</v>
      </c>
      <c r="F1931" s="2">
        <v>524981925</v>
      </c>
      <c r="G1931" s="2">
        <v>133003248</v>
      </c>
      <c r="H1931" t="s">
        <v>304</v>
      </c>
      <c r="I1931" t="s">
        <v>17</v>
      </c>
      <c r="J1931" t="s">
        <v>25</v>
      </c>
      <c r="K1931" t="s">
        <v>7095</v>
      </c>
    </row>
    <row r="1932" spans="1:11" x14ac:dyDescent="0.2">
      <c r="A1932" t="s">
        <v>7096</v>
      </c>
      <c r="B1932" t="s">
        <v>7097</v>
      </c>
      <c r="C1932" t="s">
        <v>7098</v>
      </c>
      <c r="F1932" s="2">
        <v>52528253</v>
      </c>
      <c r="G1932" s="2">
        <v>133941359</v>
      </c>
      <c r="H1932" t="s">
        <v>3120</v>
      </c>
      <c r="I1932" t="s">
        <v>17</v>
      </c>
      <c r="J1932" t="s">
        <v>25</v>
      </c>
      <c r="K1932" t="s">
        <v>7099</v>
      </c>
    </row>
    <row r="1933" spans="1:11" x14ac:dyDescent="0.2">
      <c r="A1933" t="s">
        <v>7100</v>
      </c>
      <c r="B1933" t="s">
        <v>7101</v>
      </c>
      <c r="F1933" s="2">
        <v>525189076</v>
      </c>
      <c r="G1933" s="2">
        <v>132858157</v>
      </c>
      <c r="H1933" t="s">
        <v>28</v>
      </c>
      <c r="I1933" t="s">
        <v>17</v>
      </c>
      <c r="J1933" t="s">
        <v>25</v>
      </c>
    </row>
    <row r="1934" spans="1:11" x14ac:dyDescent="0.2">
      <c r="A1934" t="s">
        <v>7102</v>
      </c>
      <c r="B1934" t="s">
        <v>7103</v>
      </c>
      <c r="C1934" t="s">
        <v>7104</v>
      </c>
      <c r="D1934" t="s">
        <v>7105</v>
      </c>
      <c r="E1934" t="s">
        <v>7106</v>
      </c>
      <c r="F1934" s="2">
        <v>524705701</v>
      </c>
      <c r="G1934" s="2">
        <v>133306273</v>
      </c>
      <c r="H1934" t="s">
        <v>16</v>
      </c>
      <c r="I1934" t="s">
        <v>17</v>
      </c>
      <c r="J1934" t="s">
        <v>25</v>
      </c>
    </row>
    <row r="1935" spans="1:11" x14ac:dyDescent="0.2">
      <c r="A1935" t="s">
        <v>7107</v>
      </c>
      <c r="B1935" t="s">
        <v>7108</v>
      </c>
      <c r="C1935" t="s">
        <v>7109</v>
      </c>
      <c r="E1935" t="s">
        <v>7110</v>
      </c>
      <c r="F1935" s="2">
        <v>524854056</v>
      </c>
      <c r="G1935" s="2">
        <v>133453381</v>
      </c>
      <c r="H1935" t="s">
        <v>277</v>
      </c>
      <c r="I1935" t="s">
        <v>17</v>
      </c>
      <c r="J1935" t="s">
        <v>25</v>
      </c>
      <c r="K1935" t="s">
        <v>7111</v>
      </c>
    </row>
    <row r="1936" spans="1:11" x14ac:dyDescent="0.2">
      <c r="A1936" t="s">
        <v>7112</v>
      </c>
      <c r="B1936" t="s">
        <v>7113</v>
      </c>
      <c r="F1936" s="2">
        <v>52500614</v>
      </c>
      <c r="G1936" s="2">
        <v>13417418</v>
      </c>
      <c r="H1936" t="s">
        <v>28</v>
      </c>
      <c r="I1936" t="s">
        <v>17</v>
      </c>
      <c r="J1936" t="s">
        <v>25</v>
      </c>
    </row>
    <row r="1937" spans="1:11" x14ac:dyDescent="0.2">
      <c r="A1937" t="s">
        <v>7114</v>
      </c>
      <c r="B1937" t="s">
        <v>7115</v>
      </c>
      <c r="F1937" s="2">
        <v>524910714</v>
      </c>
      <c r="G1937" s="2">
        <v>134205976</v>
      </c>
      <c r="H1937" t="s">
        <v>28</v>
      </c>
      <c r="I1937" t="s">
        <v>17</v>
      </c>
      <c r="J1937" t="s">
        <v>25</v>
      </c>
    </row>
    <row r="1938" spans="1:11" x14ac:dyDescent="0.2">
      <c r="A1938" t="s">
        <v>7116</v>
      </c>
      <c r="B1938" t="s">
        <v>7117</v>
      </c>
      <c r="F1938" s="2">
        <v>525065367</v>
      </c>
      <c r="G1938" s="2">
        <v>133463168</v>
      </c>
      <c r="H1938" t="s">
        <v>28</v>
      </c>
      <c r="I1938" t="s">
        <v>17</v>
      </c>
      <c r="J1938" t="s">
        <v>25</v>
      </c>
    </row>
    <row r="1939" spans="1:11" x14ac:dyDescent="0.2">
      <c r="A1939" t="s">
        <v>7118</v>
      </c>
      <c r="B1939" t="s">
        <v>7119</v>
      </c>
      <c r="C1939" t="s">
        <v>7120</v>
      </c>
      <c r="E1939" t="s">
        <v>7121</v>
      </c>
      <c r="F1939" s="2">
        <v>525688097</v>
      </c>
      <c r="G1939" s="2">
        <v>134083511</v>
      </c>
      <c r="H1939" t="s">
        <v>38</v>
      </c>
      <c r="I1939" t="s">
        <v>17</v>
      </c>
      <c r="J1939" t="s">
        <v>25</v>
      </c>
    </row>
    <row r="1940" spans="1:11" x14ac:dyDescent="0.2">
      <c r="A1940" t="s">
        <v>7122</v>
      </c>
      <c r="B1940" t="s">
        <v>7123</v>
      </c>
      <c r="F1940" s="2">
        <v>525450321</v>
      </c>
      <c r="G1940" s="2">
        <v>135499115</v>
      </c>
      <c r="H1940" t="s">
        <v>28</v>
      </c>
      <c r="I1940" t="s">
        <v>17</v>
      </c>
      <c r="J1940" t="s">
        <v>25</v>
      </c>
    </row>
    <row r="1941" spans="1:11" x14ac:dyDescent="0.2">
      <c r="A1941" t="s">
        <v>7124</v>
      </c>
      <c r="E1941" t="s">
        <v>7125</v>
      </c>
      <c r="F1941" s="2">
        <v>52575042</v>
      </c>
      <c r="G1941" s="2">
        <v>135182674</v>
      </c>
      <c r="H1941" t="s">
        <v>34</v>
      </c>
      <c r="I1941" t="s">
        <v>17</v>
      </c>
      <c r="J1941" t="s">
        <v>25</v>
      </c>
    </row>
    <row r="1942" spans="1:11" x14ac:dyDescent="0.2">
      <c r="A1942" t="s">
        <v>7126</v>
      </c>
      <c r="B1942" t="s">
        <v>7127</v>
      </c>
      <c r="C1942" t="s">
        <v>7128</v>
      </c>
      <c r="E1942" t="s">
        <v>7129</v>
      </c>
      <c r="F1942" s="2">
        <v>524577162</v>
      </c>
      <c r="G1942" s="2">
        <v>133843517</v>
      </c>
      <c r="H1942" t="s">
        <v>38</v>
      </c>
      <c r="I1942" t="s">
        <v>17</v>
      </c>
      <c r="J1942" t="s">
        <v>25</v>
      </c>
    </row>
    <row r="1943" spans="1:11" x14ac:dyDescent="0.2">
      <c r="A1943" t="s">
        <v>7130</v>
      </c>
      <c r="B1943" t="s">
        <v>7131</v>
      </c>
      <c r="C1943" t="s">
        <v>7132</v>
      </c>
      <c r="D1943" t="s">
        <v>7133</v>
      </c>
      <c r="E1943" t="s">
        <v>7134</v>
      </c>
      <c r="F1943" s="2">
        <v>524583273</v>
      </c>
      <c r="G1943" s="2">
        <v>133845432</v>
      </c>
      <c r="H1943" t="s">
        <v>51</v>
      </c>
      <c r="I1943" t="s">
        <v>17</v>
      </c>
      <c r="J1943" t="s">
        <v>25</v>
      </c>
      <c r="K1943" t="s">
        <v>7135</v>
      </c>
    </row>
    <row r="1944" spans="1:11" x14ac:dyDescent="0.2">
      <c r="A1944" t="s">
        <v>7136</v>
      </c>
      <c r="B1944" t="s">
        <v>7137</v>
      </c>
      <c r="F1944" s="2">
        <v>525199156</v>
      </c>
      <c r="G1944" s="2">
        <v>135262842</v>
      </c>
      <c r="H1944" t="s">
        <v>28</v>
      </c>
      <c r="I1944" t="s">
        <v>17</v>
      </c>
      <c r="J1944" t="s">
        <v>25</v>
      </c>
    </row>
    <row r="1945" spans="1:11" x14ac:dyDescent="0.2">
      <c r="A1945" t="s">
        <v>7138</v>
      </c>
      <c r="B1945" t="s">
        <v>7139</v>
      </c>
      <c r="F1945" s="2">
        <v>524102069</v>
      </c>
      <c r="G1945" s="2">
        <v>134032632</v>
      </c>
      <c r="H1945" t="s">
        <v>28</v>
      </c>
      <c r="I1945" t="s">
        <v>17</v>
      </c>
      <c r="J1945" t="s">
        <v>25</v>
      </c>
    </row>
    <row r="1946" spans="1:11" x14ac:dyDescent="0.2">
      <c r="A1946" t="s">
        <v>7140</v>
      </c>
      <c r="B1946" t="s">
        <v>7141</v>
      </c>
      <c r="D1946" t="s">
        <v>7142</v>
      </c>
      <c r="E1946" t="s">
        <v>7143</v>
      </c>
      <c r="F1946" s="2">
        <v>52418669</v>
      </c>
      <c r="G1946" s="2">
        <v>133991784</v>
      </c>
      <c r="H1946" t="s">
        <v>1107</v>
      </c>
      <c r="I1946" t="s">
        <v>17</v>
      </c>
      <c r="J1946" t="s">
        <v>25</v>
      </c>
    </row>
    <row r="1947" spans="1:11" x14ac:dyDescent="0.2">
      <c r="A1947" t="s">
        <v>7144</v>
      </c>
      <c r="F1947" s="2">
        <v>524946007</v>
      </c>
      <c r="G1947" s="2">
        <v>133277013</v>
      </c>
      <c r="H1947" t="s">
        <v>28</v>
      </c>
      <c r="I1947" t="s">
        <v>17</v>
      </c>
      <c r="J1947" t="s">
        <v>25</v>
      </c>
    </row>
    <row r="1948" spans="1:11" x14ac:dyDescent="0.2">
      <c r="A1948" t="s">
        <v>7145</v>
      </c>
      <c r="F1948" s="2">
        <v>525392245</v>
      </c>
      <c r="G1948" s="2">
        <v>133958231</v>
      </c>
      <c r="H1948" t="s">
        <v>28</v>
      </c>
      <c r="I1948" t="s">
        <v>17</v>
      </c>
      <c r="J1948" t="s">
        <v>25</v>
      </c>
    </row>
    <row r="1949" spans="1:11" x14ac:dyDescent="0.2">
      <c r="A1949" t="s">
        <v>7146</v>
      </c>
      <c r="B1949" t="s">
        <v>7147</v>
      </c>
      <c r="C1949" t="s">
        <v>7148</v>
      </c>
      <c r="E1949" t="s">
        <v>7149</v>
      </c>
      <c r="F1949" s="2">
        <v>524891814</v>
      </c>
      <c r="G1949" s="2">
        <v>133406406</v>
      </c>
      <c r="H1949" t="s">
        <v>38</v>
      </c>
      <c r="I1949" t="s">
        <v>17</v>
      </c>
      <c r="J1949" t="s">
        <v>25</v>
      </c>
    </row>
    <row r="1950" spans="1:11" x14ac:dyDescent="0.2">
      <c r="A1950" t="s">
        <v>7150</v>
      </c>
      <c r="B1950" t="s">
        <v>7151</v>
      </c>
      <c r="C1950" t="s">
        <v>7152</v>
      </c>
      <c r="D1950" t="s">
        <v>7153</v>
      </c>
      <c r="E1950" t="s">
        <v>7154</v>
      </c>
      <c r="F1950" s="2">
        <v>52494015</v>
      </c>
      <c r="G1950" s="2">
        <v>133374765</v>
      </c>
      <c r="H1950" t="s">
        <v>16</v>
      </c>
      <c r="I1950" t="s">
        <v>17</v>
      </c>
      <c r="J1950" t="s">
        <v>25</v>
      </c>
    </row>
    <row r="1951" spans="1:11" x14ac:dyDescent="0.2">
      <c r="A1951" t="s">
        <v>7155</v>
      </c>
      <c r="B1951" t="s">
        <v>7156</v>
      </c>
      <c r="E1951">
        <v>49308512368</v>
      </c>
      <c r="F1951" s="2">
        <v>52488575</v>
      </c>
      <c r="G1951" s="2">
        <v>133366833</v>
      </c>
      <c r="H1951" t="s">
        <v>34</v>
      </c>
      <c r="I1951" t="s">
        <v>17</v>
      </c>
      <c r="J1951" t="s">
        <v>25</v>
      </c>
    </row>
    <row r="1952" spans="1:11" x14ac:dyDescent="0.2">
      <c r="A1952" t="s">
        <v>7157</v>
      </c>
      <c r="B1952" t="s">
        <v>7158</v>
      </c>
      <c r="C1952" t="s">
        <v>7159</v>
      </c>
      <c r="D1952" t="s">
        <v>7160</v>
      </c>
      <c r="E1952" t="s">
        <v>7161</v>
      </c>
      <c r="F1952" s="2">
        <v>524965192</v>
      </c>
      <c r="G1952" s="2">
        <v>133670548</v>
      </c>
      <c r="H1952" t="s">
        <v>51</v>
      </c>
      <c r="I1952" t="s">
        <v>17</v>
      </c>
      <c r="J1952" t="s">
        <v>25</v>
      </c>
      <c r="K1952" t="s">
        <v>7162</v>
      </c>
    </row>
    <row r="1953" spans="1:11" x14ac:dyDescent="0.2">
      <c r="A1953" t="s">
        <v>7163</v>
      </c>
      <c r="B1953" t="s">
        <v>7164</v>
      </c>
      <c r="F1953" s="2">
        <v>524992398</v>
      </c>
      <c r="G1953" s="2">
        <v>134400425</v>
      </c>
      <c r="H1953" t="s">
        <v>28</v>
      </c>
      <c r="I1953" t="s">
        <v>17</v>
      </c>
      <c r="J1953" t="s">
        <v>25</v>
      </c>
    </row>
    <row r="1954" spans="1:11" x14ac:dyDescent="0.2">
      <c r="A1954" t="s">
        <v>7165</v>
      </c>
      <c r="B1954" t="s">
        <v>7166</v>
      </c>
      <c r="C1954" t="s">
        <v>7167</v>
      </c>
      <c r="E1954" t="s">
        <v>7168</v>
      </c>
      <c r="F1954" s="2">
        <v>525851879</v>
      </c>
      <c r="G1954" s="2">
        <v>133645595</v>
      </c>
      <c r="H1954" t="s">
        <v>38</v>
      </c>
      <c r="I1954" t="s">
        <v>17</v>
      </c>
      <c r="J1954" t="s">
        <v>25</v>
      </c>
    </row>
    <row r="1955" spans="1:11" x14ac:dyDescent="0.2">
      <c r="A1955" t="s">
        <v>7169</v>
      </c>
      <c r="B1955" t="s">
        <v>7170</v>
      </c>
      <c r="E1955" t="s">
        <v>7171</v>
      </c>
    </row>
    <row r="1956" spans="1:11" x14ac:dyDescent="0.2">
      <c r="A1956" t="s">
        <v>7172</v>
      </c>
      <c r="B1956" t="s">
        <v>7173</v>
      </c>
      <c r="C1956" t="s">
        <v>7174</v>
      </c>
      <c r="E1956">
        <v>49308535255</v>
      </c>
      <c r="F1956" s="2">
        <v>5248823</v>
      </c>
      <c r="G1956" s="2">
        <v>133383776</v>
      </c>
      <c r="H1956" t="s">
        <v>277</v>
      </c>
      <c r="I1956" t="s">
        <v>17</v>
      </c>
      <c r="J1956" t="s">
        <v>25</v>
      </c>
      <c r="K1956" t="s">
        <v>7175</v>
      </c>
    </row>
    <row r="1957" spans="1:11" x14ac:dyDescent="0.2">
      <c r="A1957" t="s">
        <v>7176</v>
      </c>
      <c r="B1957" t="s">
        <v>7177</v>
      </c>
      <c r="C1957" t="s">
        <v>7178</v>
      </c>
      <c r="D1957" t="s">
        <v>7179</v>
      </c>
      <c r="E1957" t="s">
        <v>7180</v>
      </c>
      <c r="F1957" s="2">
        <v>524882032</v>
      </c>
      <c r="G1957" s="2">
        <v>133379958</v>
      </c>
      <c r="H1957" t="s">
        <v>24</v>
      </c>
      <c r="I1957" t="s">
        <v>17</v>
      </c>
      <c r="J1957" t="s">
        <v>25</v>
      </c>
    </row>
    <row r="1958" spans="1:11" x14ac:dyDescent="0.2">
      <c r="A1958" t="s">
        <v>7181</v>
      </c>
      <c r="C1958" t="s">
        <v>7182</v>
      </c>
      <c r="D1958" t="s">
        <v>7183</v>
      </c>
      <c r="F1958" s="2">
        <v>525022684</v>
      </c>
      <c r="G1958" s="2">
        <v>133036287</v>
      </c>
      <c r="H1958" t="s">
        <v>16</v>
      </c>
      <c r="I1958" t="s">
        <v>17</v>
      </c>
      <c r="J1958" t="s">
        <v>25</v>
      </c>
    </row>
    <row r="1959" spans="1:11" x14ac:dyDescent="0.2">
      <c r="A1959" t="s">
        <v>7184</v>
      </c>
      <c r="B1959" t="s">
        <v>7185</v>
      </c>
      <c r="F1959" s="2">
        <v>525004048</v>
      </c>
      <c r="G1959" s="2">
        <v>133366841</v>
      </c>
      <c r="H1959" t="s">
        <v>28</v>
      </c>
      <c r="I1959" t="s">
        <v>17</v>
      </c>
      <c r="J1959" t="s">
        <v>25</v>
      </c>
    </row>
    <row r="1960" spans="1:11" x14ac:dyDescent="0.2">
      <c r="A1960" t="s">
        <v>7186</v>
      </c>
      <c r="B1960" t="s">
        <v>7187</v>
      </c>
      <c r="E1960">
        <v>493021919689</v>
      </c>
      <c r="F1960" s="2">
        <v>525004976</v>
      </c>
      <c r="G1960" s="2">
        <v>133367901</v>
      </c>
      <c r="H1960" t="s">
        <v>34</v>
      </c>
      <c r="I1960" t="s">
        <v>17</v>
      </c>
      <c r="J1960" t="s">
        <v>25</v>
      </c>
    </row>
    <row r="1961" spans="1:11" x14ac:dyDescent="0.2">
      <c r="A1961" t="s">
        <v>7188</v>
      </c>
      <c r="B1961" t="s">
        <v>7189</v>
      </c>
      <c r="F1961" s="2">
        <v>525059443</v>
      </c>
      <c r="G1961" s="2">
        <v>133481187</v>
      </c>
      <c r="H1961" t="s">
        <v>28</v>
      </c>
      <c r="I1961" t="s">
        <v>17</v>
      </c>
      <c r="J1961" t="s">
        <v>25</v>
      </c>
    </row>
    <row r="1962" spans="1:11" x14ac:dyDescent="0.2">
      <c r="A1962" t="s">
        <v>7190</v>
      </c>
      <c r="B1962" t="s">
        <v>7191</v>
      </c>
      <c r="C1962" t="s">
        <v>7192</v>
      </c>
      <c r="E1962" t="s">
        <v>7193</v>
      </c>
      <c r="F1962" s="2">
        <v>526182835</v>
      </c>
      <c r="G1962" s="2">
        <v>133059918</v>
      </c>
      <c r="H1962" t="s">
        <v>38</v>
      </c>
      <c r="I1962" t="s">
        <v>17</v>
      </c>
      <c r="J1962" t="s">
        <v>25</v>
      </c>
    </row>
    <row r="1963" spans="1:11" x14ac:dyDescent="0.2">
      <c r="A1963" t="s">
        <v>7194</v>
      </c>
      <c r="F1963" s="2">
        <v>525358328</v>
      </c>
      <c r="G1963" s="2">
        <v>13422653</v>
      </c>
      <c r="H1963" t="s">
        <v>28</v>
      </c>
      <c r="I1963" t="s">
        <v>17</v>
      </c>
      <c r="J1963" t="s">
        <v>25</v>
      </c>
    </row>
    <row r="1964" spans="1:11" x14ac:dyDescent="0.2">
      <c r="A1964" t="s">
        <v>7195</v>
      </c>
      <c r="F1964" s="2">
        <v>52546861</v>
      </c>
      <c r="G1964" s="2">
        <v>134057091</v>
      </c>
      <c r="H1964" t="s">
        <v>28</v>
      </c>
      <c r="I1964" t="s">
        <v>17</v>
      </c>
      <c r="J1964" t="s">
        <v>25</v>
      </c>
    </row>
    <row r="1965" spans="1:11" x14ac:dyDescent="0.2">
      <c r="A1965" t="s">
        <v>7196</v>
      </c>
      <c r="B1965" t="s">
        <v>7197</v>
      </c>
      <c r="C1965" t="s">
        <v>7198</v>
      </c>
      <c r="E1965" t="s">
        <v>7199</v>
      </c>
      <c r="F1965" s="2">
        <v>52537724</v>
      </c>
      <c r="G1965" s="2">
        <v>134113477</v>
      </c>
      <c r="H1965" t="s">
        <v>277</v>
      </c>
      <c r="I1965" t="s">
        <v>17</v>
      </c>
      <c r="J1965" t="s">
        <v>25</v>
      </c>
      <c r="K1965" t="s">
        <v>7200</v>
      </c>
    </row>
    <row r="1966" spans="1:11" x14ac:dyDescent="0.2">
      <c r="A1966" t="s">
        <v>7201</v>
      </c>
      <c r="B1966" t="s">
        <v>7202</v>
      </c>
      <c r="F1966" s="2">
        <v>525306742</v>
      </c>
      <c r="G1966" s="2">
        <v>134022925</v>
      </c>
      <c r="H1966" t="s">
        <v>28</v>
      </c>
      <c r="I1966" t="s">
        <v>17</v>
      </c>
      <c r="J1966" t="s">
        <v>25</v>
      </c>
    </row>
    <row r="1967" spans="1:11" x14ac:dyDescent="0.2">
      <c r="A1967" t="s">
        <v>7203</v>
      </c>
      <c r="B1967" t="s">
        <v>7204</v>
      </c>
      <c r="C1967" t="s">
        <v>7205</v>
      </c>
      <c r="D1967" t="s">
        <v>7206</v>
      </c>
      <c r="E1967" t="s">
        <v>7207</v>
      </c>
      <c r="F1967" s="2">
        <v>524585086</v>
      </c>
      <c r="G1967" s="2">
        <v>133789403</v>
      </c>
      <c r="H1967" t="s">
        <v>51</v>
      </c>
      <c r="I1967" t="s">
        <v>17</v>
      </c>
      <c r="J1967" t="s">
        <v>25</v>
      </c>
      <c r="K1967" t="s">
        <v>7208</v>
      </c>
    </row>
    <row r="1968" spans="1:11" x14ac:dyDescent="0.2">
      <c r="A1968" t="s">
        <v>7209</v>
      </c>
      <c r="B1968" t="s">
        <v>7210</v>
      </c>
      <c r="E1968">
        <v>491624768888</v>
      </c>
      <c r="F1968" s="2">
        <v>52560055</v>
      </c>
      <c r="G1968" s="2">
        <v>134601707</v>
      </c>
      <c r="H1968" t="s">
        <v>34</v>
      </c>
      <c r="I1968" t="s">
        <v>17</v>
      </c>
      <c r="J1968" t="s">
        <v>25</v>
      </c>
    </row>
    <row r="1969" spans="1:11" x14ac:dyDescent="0.2">
      <c r="A1969" t="s">
        <v>7211</v>
      </c>
      <c r="B1969" t="s">
        <v>7212</v>
      </c>
      <c r="C1969" t="s">
        <v>7213</v>
      </c>
      <c r="F1969" s="2">
        <v>524689</v>
      </c>
      <c r="G1969" s="2">
        <v>134349</v>
      </c>
      <c r="H1969" t="s">
        <v>255</v>
      </c>
      <c r="I1969" t="s">
        <v>17</v>
      </c>
      <c r="J1969" t="s">
        <v>25</v>
      </c>
    </row>
    <row r="1970" spans="1:11" x14ac:dyDescent="0.2">
      <c r="A1970" t="s">
        <v>7214</v>
      </c>
      <c r="B1970" t="s">
        <v>7215</v>
      </c>
      <c r="E1970" t="s">
        <v>7216</v>
      </c>
      <c r="F1970" s="2">
        <v>525277874</v>
      </c>
      <c r="G1970" s="2">
        <v>133265438</v>
      </c>
      <c r="H1970" t="s">
        <v>34</v>
      </c>
      <c r="I1970" t="s">
        <v>17</v>
      </c>
      <c r="J1970" t="s">
        <v>25</v>
      </c>
    </row>
    <row r="1971" spans="1:11" x14ac:dyDescent="0.2">
      <c r="A1971" t="s">
        <v>7217</v>
      </c>
      <c r="B1971" t="s">
        <v>7218</v>
      </c>
      <c r="C1971" t="s">
        <v>7219</v>
      </c>
      <c r="D1971" t="s">
        <v>7220</v>
      </c>
      <c r="E1971" t="s">
        <v>7221</v>
      </c>
      <c r="F1971" s="2">
        <v>525278361</v>
      </c>
      <c r="G1971" s="2">
        <v>133260205</v>
      </c>
      <c r="H1971" t="s">
        <v>51</v>
      </c>
      <c r="I1971" t="s">
        <v>17</v>
      </c>
      <c r="J1971" t="s">
        <v>25</v>
      </c>
      <c r="K1971" t="s">
        <v>7222</v>
      </c>
    </row>
    <row r="1972" spans="1:11" x14ac:dyDescent="0.2">
      <c r="A1972" t="s">
        <v>7223</v>
      </c>
      <c r="E1972" t="s">
        <v>7224</v>
      </c>
      <c r="F1972" s="2">
        <v>524428413</v>
      </c>
      <c r="G1972" s="2">
        <v>134677958</v>
      </c>
      <c r="H1972" t="s">
        <v>34</v>
      </c>
      <c r="I1972" t="s">
        <v>17</v>
      </c>
      <c r="J1972" t="s">
        <v>25</v>
      </c>
    </row>
    <row r="1973" spans="1:11" x14ac:dyDescent="0.2">
      <c r="A1973" t="s">
        <v>7225</v>
      </c>
      <c r="B1973" t="s">
        <v>7226</v>
      </c>
      <c r="C1973" t="s">
        <v>7227</v>
      </c>
      <c r="D1973" t="s">
        <v>7228</v>
      </c>
      <c r="E1973" t="s">
        <v>7229</v>
      </c>
      <c r="F1973" s="2">
        <v>525320669</v>
      </c>
      <c r="G1973" s="2">
        <v>133442546</v>
      </c>
      <c r="H1973" t="s">
        <v>51</v>
      </c>
      <c r="I1973" t="s">
        <v>17</v>
      </c>
      <c r="J1973" t="s">
        <v>25</v>
      </c>
      <c r="K1973" t="s">
        <v>7230</v>
      </c>
    </row>
    <row r="1974" spans="1:11" x14ac:dyDescent="0.2">
      <c r="A1974" t="s">
        <v>7231</v>
      </c>
      <c r="B1974" t="s">
        <v>7232</v>
      </c>
      <c r="C1974" t="s">
        <v>7233</v>
      </c>
      <c r="E1974" t="s">
        <v>7234</v>
      </c>
      <c r="F1974" s="2">
        <v>525256072</v>
      </c>
      <c r="G1974" s="2">
        <v>133163632</v>
      </c>
      <c r="H1974" t="s">
        <v>38</v>
      </c>
      <c r="I1974" t="s">
        <v>17</v>
      </c>
      <c r="J1974" t="s">
        <v>25</v>
      </c>
    </row>
    <row r="1975" spans="1:11" x14ac:dyDescent="0.2">
      <c r="A1975" t="s">
        <v>7235</v>
      </c>
      <c r="C1975" t="s">
        <v>7236</v>
      </c>
      <c r="D1975" t="s">
        <v>7237</v>
      </c>
      <c r="E1975" t="s">
        <v>7238</v>
      </c>
      <c r="F1975" s="2">
        <v>524928619</v>
      </c>
      <c r="G1975" s="2">
        <v>133863746</v>
      </c>
      <c r="H1975" t="s">
        <v>51</v>
      </c>
      <c r="I1975" t="s">
        <v>17</v>
      </c>
      <c r="J1975" t="s">
        <v>25</v>
      </c>
      <c r="K1975" t="s">
        <v>7239</v>
      </c>
    </row>
    <row r="1976" spans="1:11" x14ac:dyDescent="0.2">
      <c r="A1976" t="s">
        <v>7240</v>
      </c>
      <c r="B1976" t="s">
        <v>7241</v>
      </c>
      <c r="E1976" t="s">
        <v>7242</v>
      </c>
      <c r="F1976" s="2">
        <v>525428469</v>
      </c>
      <c r="G1976" s="2">
        <v>133629522</v>
      </c>
      <c r="H1976" t="s">
        <v>34</v>
      </c>
      <c r="I1976" t="s">
        <v>17</v>
      </c>
      <c r="J1976" t="s">
        <v>25</v>
      </c>
    </row>
    <row r="1977" spans="1:11" x14ac:dyDescent="0.2">
      <c r="A1977" t="s">
        <v>7243</v>
      </c>
      <c r="B1977" t="s">
        <v>7244</v>
      </c>
      <c r="C1977" t="s">
        <v>7245</v>
      </c>
      <c r="D1977" t="s">
        <v>7246</v>
      </c>
      <c r="F1977" s="2">
        <v>525441258</v>
      </c>
      <c r="G1977" s="2">
        <v>133602492</v>
      </c>
      <c r="H1977" t="s">
        <v>277</v>
      </c>
      <c r="I1977" t="s">
        <v>17</v>
      </c>
      <c r="J1977" t="s">
        <v>25</v>
      </c>
      <c r="K1977" t="s">
        <v>7247</v>
      </c>
    </row>
    <row r="1978" spans="1:11" x14ac:dyDescent="0.2">
      <c r="A1978" t="s">
        <v>7248</v>
      </c>
      <c r="B1978" t="s">
        <v>7249</v>
      </c>
      <c r="F1978" s="2">
        <v>525415192</v>
      </c>
      <c r="G1978" s="2">
        <v>133507755</v>
      </c>
      <c r="H1978" t="s">
        <v>28</v>
      </c>
      <c r="I1978" t="s">
        <v>17</v>
      </c>
      <c r="J1978" t="s">
        <v>25</v>
      </c>
    </row>
    <row r="1979" spans="1:11" x14ac:dyDescent="0.2">
      <c r="A1979" t="s">
        <v>7250</v>
      </c>
      <c r="B1979" t="s">
        <v>7251</v>
      </c>
      <c r="C1979" t="s">
        <v>7252</v>
      </c>
      <c r="E1979" t="s">
        <v>7253</v>
      </c>
      <c r="F1979" s="2">
        <v>52551867</v>
      </c>
      <c r="G1979" s="2">
        <v>13410782</v>
      </c>
      <c r="H1979" t="s">
        <v>277</v>
      </c>
      <c r="I1979" t="s">
        <v>17</v>
      </c>
      <c r="J1979" t="s">
        <v>25</v>
      </c>
      <c r="K1979" t="s">
        <v>7254</v>
      </c>
    </row>
    <row r="1980" spans="1:11" x14ac:dyDescent="0.2">
      <c r="A1980" t="s">
        <v>7255</v>
      </c>
      <c r="B1980" t="s">
        <v>7256</v>
      </c>
      <c r="C1980" t="s">
        <v>7257</v>
      </c>
      <c r="D1980" t="s">
        <v>7258</v>
      </c>
      <c r="E1980">
        <v>49308610080</v>
      </c>
      <c r="F1980" s="2">
        <v>524862449</v>
      </c>
      <c r="G1980" s="2">
        <v>133274958</v>
      </c>
      <c r="H1980" t="s">
        <v>24</v>
      </c>
      <c r="I1980" t="s">
        <v>17</v>
      </c>
      <c r="J1980" t="s">
        <v>25</v>
      </c>
    </row>
    <row r="1981" spans="1:11" x14ac:dyDescent="0.2">
      <c r="A1981" t="s">
        <v>7259</v>
      </c>
      <c r="B1981" t="s">
        <v>7260</v>
      </c>
      <c r="F1981" s="2">
        <v>524854903</v>
      </c>
      <c r="G1981" s="2">
        <v>134293665</v>
      </c>
      <c r="H1981" t="s">
        <v>28</v>
      </c>
      <c r="I1981" t="s">
        <v>17</v>
      </c>
      <c r="J1981" t="s">
        <v>25</v>
      </c>
    </row>
    <row r="1982" spans="1:11" x14ac:dyDescent="0.2">
      <c r="A1982" t="s">
        <v>7261</v>
      </c>
      <c r="B1982" t="s">
        <v>7262</v>
      </c>
      <c r="C1982" t="s">
        <v>7263</v>
      </c>
      <c r="E1982" t="s">
        <v>7264</v>
      </c>
      <c r="F1982" s="2">
        <v>525056935</v>
      </c>
      <c r="G1982" s="2">
        <v>134316381</v>
      </c>
      <c r="H1982" t="s">
        <v>277</v>
      </c>
      <c r="I1982" t="s">
        <v>17</v>
      </c>
      <c r="J1982" t="s">
        <v>25</v>
      </c>
      <c r="K1982" t="s">
        <v>7265</v>
      </c>
    </row>
    <row r="1983" spans="1:11" x14ac:dyDescent="0.2">
      <c r="A1983" t="s">
        <v>7266</v>
      </c>
      <c r="B1983" t="s">
        <v>7267</v>
      </c>
      <c r="E1983" t="s">
        <v>7268</v>
      </c>
      <c r="F1983" s="2">
        <v>524711325</v>
      </c>
      <c r="G1983" s="2">
        <v>13335609</v>
      </c>
      <c r="H1983" t="s">
        <v>34</v>
      </c>
      <c r="I1983" t="s">
        <v>17</v>
      </c>
      <c r="J1983" t="s">
        <v>25</v>
      </c>
    </row>
    <row r="1984" spans="1:11" x14ac:dyDescent="0.2">
      <c r="A1984" t="s">
        <v>7269</v>
      </c>
      <c r="B1984" t="s">
        <v>7270</v>
      </c>
      <c r="C1984" t="s">
        <v>7271</v>
      </c>
      <c r="D1984" t="s">
        <v>7272</v>
      </c>
      <c r="F1984" s="2">
        <v>525127649</v>
      </c>
      <c r="G1984" s="2">
        <v>134171778</v>
      </c>
      <c r="H1984" t="s">
        <v>51</v>
      </c>
      <c r="I1984" t="s">
        <v>17</v>
      </c>
      <c r="J1984" t="s">
        <v>25</v>
      </c>
      <c r="K1984" t="s">
        <v>7273</v>
      </c>
    </row>
    <row r="1985" spans="1:11" x14ac:dyDescent="0.2">
      <c r="A1985" t="s">
        <v>7274</v>
      </c>
      <c r="F1985" s="2">
        <v>524968333</v>
      </c>
      <c r="G1985" s="2">
        <v>133848313</v>
      </c>
      <c r="H1985" t="s">
        <v>28</v>
      </c>
      <c r="I1985" t="s">
        <v>17</v>
      </c>
      <c r="J1985" t="s">
        <v>25</v>
      </c>
    </row>
    <row r="1986" spans="1:11" x14ac:dyDescent="0.2">
      <c r="A1986" t="s">
        <v>7275</v>
      </c>
      <c r="B1986" t="s">
        <v>7276</v>
      </c>
      <c r="E1986" t="s">
        <v>7277</v>
      </c>
      <c r="F1986" s="2">
        <v>524711981</v>
      </c>
      <c r="G1986" s="2">
        <v>133444328</v>
      </c>
      <c r="H1986" t="s">
        <v>34</v>
      </c>
      <c r="I1986" t="s">
        <v>17</v>
      </c>
      <c r="J1986" t="s">
        <v>25</v>
      </c>
    </row>
    <row r="1987" spans="1:11" x14ac:dyDescent="0.2">
      <c r="A1987" t="s">
        <v>7278</v>
      </c>
      <c r="F1987" s="2">
        <v>525303277</v>
      </c>
      <c r="G1987" s="2">
        <v>134257868</v>
      </c>
      <c r="H1987" t="s">
        <v>28</v>
      </c>
      <c r="I1987" t="s">
        <v>17</v>
      </c>
      <c r="J1987" t="s">
        <v>25</v>
      </c>
    </row>
    <row r="1988" spans="1:11" x14ac:dyDescent="0.2">
      <c r="A1988" t="s">
        <v>7279</v>
      </c>
      <c r="B1988" t="s">
        <v>7280</v>
      </c>
      <c r="C1988" t="s">
        <v>7281</v>
      </c>
      <c r="E1988" t="s">
        <v>7282</v>
      </c>
      <c r="F1988" s="2">
        <v>525388492</v>
      </c>
      <c r="G1988" s="2">
        <v>134084342</v>
      </c>
      <c r="H1988" t="s">
        <v>277</v>
      </c>
      <c r="I1988" t="s">
        <v>17</v>
      </c>
      <c r="J1988" t="s">
        <v>25</v>
      </c>
      <c r="K1988" t="s">
        <v>7283</v>
      </c>
    </row>
    <row r="1989" spans="1:11" x14ac:dyDescent="0.2">
      <c r="A1989" t="s">
        <v>7284</v>
      </c>
      <c r="B1989" t="s">
        <v>7285</v>
      </c>
      <c r="C1989" t="s">
        <v>7286</v>
      </c>
      <c r="D1989" t="s">
        <v>7287</v>
      </c>
      <c r="E1989" t="s">
        <v>7288</v>
      </c>
      <c r="F1989" s="2">
        <v>524792535</v>
      </c>
      <c r="G1989" s="2">
        <v>133445743</v>
      </c>
      <c r="H1989" t="s">
        <v>24</v>
      </c>
      <c r="I1989" t="s">
        <v>17</v>
      </c>
      <c r="J1989" t="s">
        <v>25</v>
      </c>
    </row>
    <row r="1990" spans="1:11" x14ac:dyDescent="0.2">
      <c r="A1990" t="s">
        <v>7289</v>
      </c>
      <c r="B1990" t="s">
        <v>7290</v>
      </c>
      <c r="C1990" t="s">
        <v>7291</v>
      </c>
      <c r="D1990" t="s">
        <v>7292</v>
      </c>
      <c r="E1990">
        <v>493074684121</v>
      </c>
      <c r="F1990" s="2">
        <v>524927046</v>
      </c>
      <c r="G1990" s="2">
        <v>133872113</v>
      </c>
      <c r="H1990" t="s">
        <v>24</v>
      </c>
      <c r="I1990" t="s">
        <v>17</v>
      </c>
      <c r="J1990" t="s">
        <v>25</v>
      </c>
    </row>
    <row r="1991" spans="1:11" x14ac:dyDescent="0.2">
      <c r="A1991" t="s">
        <v>7293</v>
      </c>
      <c r="B1991" t="s">
        <v>7294</v>
      </c>
      <c r="C1991" t="s">
        <v>7295</v>
      </c>
      <c r="D1991" t="s">
        <v>7296</v>
      </c>
      <c r="E1991" t="s">
        <v>7297</v>
      </c>
      <c r="F1991" s="2">
        <v>524922693</v>
      </c>
      <c r="G1991" s="2">
        <v>133870016</v>
      </c>
      <c r="H1991" t="s">
        <v>24</v>
      </c>
      <c r="I1991" t="s">
        <v>17</v>
      </c>
      <c r="J1991" t="s">
        <v>25</v>
      </c>
    </row>
    <row r="1992" spans="1:11" x14ac:dyDescent="0.2">
      <c r="A1992" t="s">
        <v>7298</v>
      </c>
      <c r="B1992" t="s">
        <v>7299</v>
      </c>
      <c r="F1992" s="2">
        <v>524928197</v>
      </c>
      <c r="G1992" s="2">
        <v>133896711</v>
      </c>
      <c r="H1992" t="s">
        <v>28</v>
      </c>
      <c r="I1992" t="s">
        <v>17</v>
      </c>
      <c r="J1992" t="s">
        <v>25</v>
      </c>
    </row>
    <row r="1993" spans="1:11" x14ac:dyDescent="0.2">
      <c r="A1993" t="s">
        <v>7300</v>
      </c>
      <c r="C1993" t="s">
        <v>7301</v>
      </c>
      <c r="F1993" s="2">
        <v>383244764</v>
      </c>
      <c r="G1993" s="2">
        <v>-752191505</v>
      </c>
      <c r="H1993" t="s">
        <v>255</v>
      </c>
      <c r="I1993" t="s">
        <v>17</v>
      </c>
      <c r="J1993" t="s">
        <v>25</v>
      </c>
    </row>
    <row r="1994" spans="1:11" x14ac:dyDescent="0.2">
      <c r="A1994" t="s">
        <v>7302</v>
      </c>
      <c r="B1994" t="s">
        <v>7303</v>
      </c>
      <c r="C1994" t="s">
        <v>7304</v>
      </c>
      <c r="E1994">
        <f>1-410-641-2131</f>
        <v>-3181</v>
      </c>
      <c r="F1994" s="2">
        <v>383248571</v>
      </c>
      <c r="G1994" s="2">
        <v>-752192074</v>
      </c>
      <c r="H1994" t="s">
        <v>277</v>
      </c>
      <c r="I1994" t="s">
        <v>17</v>
      </c>
      <c r="J1994" t="s">
        <v>25</v>
      </c>
      <c r="K1994" t="s">
        <v>7305</v>
      </c>
    </row>
    <row r="1995" spans="1:11" x14ac:dyDescent="0.2">
      <c r="A1995" t="s">
        <v>7306</v>
      </c>
      <c r="F1995" s="2">
        <v>383255285</v>
      </c>
      <c r="G1995" s="2">
        <v>-752196085</v>
      </c>
      <c r="H1995" t="s">
        <v>28</v>
      </c>
      <c r="I1995" t="s">
        <v>17</v>
      </c>
      <c r="J1995" t="s">
        <v>25</v>
      </c>
    </row>
    <row r="1996" spans="1:11" x14ac:dyDescent="0.2">
      <c r="A1996" t="s">
        <v>7307</v>
      </c>
      <c r="E1996">
        <f>1-410-641-1531</f>
        <v>-2581</v>
      </c>
      <c r="F1996" s="2">
        <v>383239831</v>
      </c>
      <c r="G1996" s="2">
        <v>-75218779</v>
      </c>
      <c r="H1996" t="s">
        <v>34</v>
      </c>
      <c r="I1996" t="s">
        <v>17</v>
      </c>
      <c r="J1996" t="s">
        <v>25</v>
      </c>
    </row>
    <row r="1997" spans="1:11" x14ac:dyDescent="0.2">
      <c r="A1997" t="s">
        <v>7308</v>
      </c>
      <c r="B1997" t="s">
        <v>7309</v>
      </c>
      <c r="C1997" t="s">
        <v>7310</v>
      </c>
      <c r="F1997" s="2">
        <v>525243041</v>
      </c>
      <c r="G1997" s="2">
        <v>133498171</v>
      </c>
      <c r="H1997" t="s">
        <v>255</v>
      </c>
      <c r="I1997" t="s">
        <v>17</v>
      </c>
      <c r="J1997" t="s">
        <v>25</v>
      </c>
    </row>
    <row r="1998" spans="1:11" x14ac:dyDescent="0.2">
      <c r="A1998" t="s">
        <v>7311</v>
      </c>
      <c r="B1998" t="s">
        <v>7312</v>
      </c>
      <c r="C1998" t="s">
        <v>7313</v>
      </c>
      <c r="D1998" t="s">
        <v>7314</v>
      </c>
      <c r="E1998" t="s">
        <v>7315</v>
      </c>
      <c r="F1998" s="2">
        <v>525281046</v>
      </c>
      <c r="G1998" s="2">
        <v>135397157</v>
      </c>
      <c r="H1998" t="s">
        <v>51</v>
      </c>
      <c r="I1998" t="s">
        <v>17</v>
      </c>
      <c r="J1998" t="s">
        <v>25</v>
      </c>
      <c r="K1998" t="s">
        <v>7316</v>
      </c>
    </row>
    <row r="1999" spans="1:11" x14ac:dyDescent="0.2">
      <c r="A1999" t="s">
        <v>7317</v>
      </c>
      <c r="B1999" t="s">
        <v>7318</v>
      </c>
      <c r="C1999" t="s">
        <v>7319</v>
      </c>
      <c r="D1999" t="s">
        <v>7320</v>
      </c>
      <c r="E1999" t="s">
        <v>7321</v>
      </c>
      <c r="F1999" s="2">
        <v>524551213</v>
      </c>
      <c r="G1999" s="2">
        <v>134449022</v>
      </c>
      <c r="H1999" t="s">
        <v>24</v>
      </c>
      <c r="I1999" t="s">
        <v>17</v>
      </c>
      <c r="J1999" t="s">
        <v>25</v>
      </c>
    </row>
    <row r="2000" spans="1:11" x14ac:dyDescent="0.2">
      <c r="A2000" t="s">
        <v>7322</v>
      </c>
      <c r="B2000" t="s">
        <v>7323</v>
      </c>
      <c r="C2000" t="s">
        <v>7324</v>
      </c>
      <c r="D2000" t="s">
        <v>7325</v>
      </c>
      <c r="F2000" s="2">
        <v>524806716</v>
      </c>
      <c r="G2000" s="2">
        <v>134277402</v>
      </c>
      <c r="H2000" t="s">
        <v>51</v>
      </c>
      <c r="I2000" t="s">
        <v>17</v>
      </c>
      <c r="J2000" t="s">
        <v>25</v>
      </c>
      <c r="K2000" t="s">
        <v>7326</v>
      </c>
    </row>
    <row r="2001" spans="1:11" x14ac:dyDescent="0.2">
      <c r="A2001" t="s">
        <v>7327</v>
      </c>
      <c r="B2001" t="s">
        <v>7328</v>
      </c>
      <c r="C2001" t="s">
        <v>7329</v>
      </c>
      <c r="D2001" t="s">
        <v>7330</v>
      </c>
      <c r="E2001">
        <v>4930886560</v>
      </c>
      <c r="F2001" s="2">
        <v>525219949</v>
      </c>
      <c r="G2001" s="2">
        <v>133844511</v>
      </c>
      <c r="H2001" t="s">
        <v>51</v>
      </c>
      <c r="I2001" t="s">
        <v>17</v>
      </c>
      <c r="J2001" t="s">
        <v>25</v>
      </c>
      <c r="K2001" t="s">
        <v>7331</v>
      </c>
    </row>
    <row r="2002" spans="1:11" x14ac:dyDescent="0.2">
      <c r="A2002" t="s">
        <v>7332</v>
      </c>
      <c r="B2002" t="s">
        <v>7333</v>
      </c>
      <c r="C2002" t="s">
        <v>7334</v>
      </c>
      <c r="D2002" t="s">
        <v>7335</v>
      </c>
      <c r="E2002">
        <v>493032303532</v>
      </c>
      <c r="F2002" s="2">
        <v>525223558</v>
      </c>
      <c r="G2002" s="2">
        <v>133842198</v>
      </c>
      <c r="H2002" t="s">
        <v>24</v>
      </c>
      <c r="I2002" t="s">
        <v>17</v>
      </c>
      <c r="J2002" t="s">
        <v>25</v>
      </c>
    </row>
    <row r="2003" spans="1:11" x14ac:dyDescent="0.2">
      <c r="A2003" t="s">
        <v>7336</v>
      </c>
      <c r="B2003" t="s">
        <v>7337</v>
      </c>
      <c r="C2003" t="s">
        <v>7338</v>
      </c>
      <c r="D2003" t="s">
        <v>7339</v>
      </c>
      <c r="E2003" t="s">
        <v>7340</v>
      </c>
      <c r="F2003" s="2">
        <v>525044978</v>
      </c>
      <c r="G2003" s="2">
        <v>133175573</v>
      </c>
      <c r="H2003" t="s">
        <v>51</v>
      </c>
      <c r="I2003" t="s">
        <v>17</v>
      </c>
      <c r="J2003" t="s">
        <v>25</v>
      </c>
      <c r="K2003" t="s">
        <v>7341</v>
      </c>
    </row>
    <row r="2004" spans="1:11" x14ac:dyDescent="0.2">
      <c r="A2004" t="s">
        <v>7342</v>
      </c>
      <c r="B2004" t="s">
        <v>7337</v>
      </c>
      <c r="C2004" t="s">
        <v>7343</v>
      </c>
      <c r="E2004" t="s">
        <v>7344</v>
      </c>
      <c r="F2004" s="2">
        <v>525043173</v>
      </c>
      <c r="G2004" s="2">
        <v>13317544</v>
      </c>
      <c r="H2004" t="s">
        <v>277</v>
      </c>
      <c r="I2004" t="s">
        <v>17</v>
      </c>
      <c r="J2004" t="s">
        <v>25</v>
      </c>
      <c r="K2004" t="s">
        <v>7345</v>
      </c>
    </row>
    <row r="2005" spans="1:11" x14ac:dyDescent="0.2">
      <c r="A2005" t="s">
        <v>7346</v>
      </c>
      <c r="B2005" t="s">
        <v>7347</v>
      </c>
      <c r="C2005" t="s">
        <v>7348</v>
      </c>
      <c r="D2005" t="s">
        <v>7349</v>
      </c>
      <c r="E2005" t="s">
        <v>7350</v>
      </c>
      <c r="F2005" s="2">
        <v>525357601</v>
      </c>
      <c r="G2005" s="2">
        <v>13398817</v>
      </c>
      <c r="H2005" t="s">
        <v>51</v>
      </c>
      <c r="I2005" t="s">
        <v>17</v>
      </c>
      <c r="J2005" t="s">
        <v>25</v>
      </c>
      <c r="K2005" t="s">
        <v>7351</v>
      </c>
    </row>
    <row r="2006" spans="1:11" x14ac:dyDescent="0.2">
      <c r="A2006" t="s">
        <v>7352</v>
      </c>
      <c r="F2006" s="2">
        <v>524513387</v>
      </c>
      <c r="G2006" s="2">
        <v>133997762</v>
      </c>
      <c r="H2006" t="s">
        <v>28</v>
      </c>
      <c r="I2006" t="s">
        <v>17</v>
      </c>
      <c r="J2006" t="s">
        <v>25</v>
      </c>
    </row>
    <row r="2007" spans="1:11" x14ac:dyDescent="0.2">
      <c r="A2007" t="s">
        <v>7353</v>
      </c>
      <c r="B2007" t="s">
        <v>7354</v>
      </c>
      <c r="C2007" t="s">
        <v>7355</v>
      </c>
      <c r="D2007" t="s">
        <v>7356</v>
      </c>
      <c r="E2007" t="s">
        <v>7357</v>
      </c>
      <c r="F2007" s="2">
        <v>524462395</v>
      </c>
      <c r="G2007" s="2">
        <v>133156123</v>
      </c>
      <c r="H2007" t="s">
        <v>51</v>
      </c>
      <c r="I2007" t="s">
        <v>17</v>
      </c>
      <c r="J2007" t="s">
        <v>25</v>
      </c>
      <c r="K2007" t="s">
        <v>7358</v>
      </c>
    </row>
    <row r="2008" spans="1:11" x14ac:dyDescent="0.2">
      <c r="A2008" t="s">
        <v>7359</v>
      </c>
      <c r="B2008" t="s">
        <v>7360</v>
      </c>
      <c r="C2008" t="s">
        <v>7361</v>
      </c>
      <c r="D2008" t="s">
        <v>7362</v>
      </c>
      <c r="F2008" s="2">
        <v>525164251</v>
      </c>
      <c r="G2008" s="2">
        <v>133882615</v>
      </c>
      <c r="H2008" t="s">
        <v>51</v>
      </c>
      <c r="I2008" t="s">
        <v>17</v>
      </c>
      <c r="J2008" t="s">
        <v>25</v>
      </c>
      <c r="K2008" t="s">
        <v>7363</v>
      </c>
    </row>
    <row r="2009" spans="1:11" x14ac:dyDescent="0.2">
      <c r="A2009" t="s">
        <v>7364</v>
      </c>
      <c r="B2009" t="s">
        <v>7365</v>
      </c>
      <c r="C2009" t="s">
        <v>7366</v>
      </c>
      <c r="F2009" s="2">
        <v>525305126</v>
      </c>
      <c r="G2009" s="2">
        <v>134021538</v>
      </c>
      <c r="H2009" t="s">
        <v>255</v>
      </c>
      <c r="I2009" t="s">
        <v>17</v>
      </c>
      <c r="J2009" t="s">
        <v>25</v>
      </c>
    </row>
    <row r="2010" spans="1:11" x14ac:dyDescent="0.2">
      <c r="A2010" t="s">
        <v>7367</v>
      </c>
      <c r="B2010" t="s">
        <v>7368</v>
      </c>
      <c r="F2010" s="2">
        <v>525061514</v>
      </c>
      <c r="G2010" s="2">
        <v>133132403</v>
      </c>
      <c r="H2010" t="s">
        <v>28</v>
      </c>
      <c r="I2010" t="s">
        <v>17</v>
      </c>
      <c r="J2010" t="s">
        <v>25</v>
      </c>
    </row>
    <row r="2011" spans="1:11" x14ac:dyDescent="0.2">
      <c r="A2011" t="s">
        <v>7369</v>
      </c>
      <c r="F2011" s="2">
        <v>524998436</v>
      </c>
      <c r="G2011" s="2">
        <v>13439161</v>
      </c>
      <c r="H2011" t="s">
        <v>28</v>
      </c>
      <c r="I2011" t="s">
        <v>17</v>
      </c>
      <c r="J2011" t="s">
        <v>25</v>
      </c>
    </row>
    <row r="2012" spans="1:11" x14ac:dyDescent="0.2">
      <c r="A2012" t="s">
        <v>7370</v>
      </c>
      <c r="B2012" t="s">
        <v>7371</v>
      </c>
      <c r="C2012" t="s">
        <v>7372</v>
      </c>
      <c r="D2012" t="s">
        <v>7373</v>
      </c>
      <c r="F2012" s="2">
        <v>524997943</v>
      </c>
      <c r="G2012" s="2">
        <v>134250534</v>
      </c>
      <c r="H2012" t="s">
        <v>304</v>
      </c>
      <c r="I2012" t="s">
        <v>17</v>
      </c>
      <c r="J2012" t="s">
        <v>25</v>
      </c>
      <c r="K2012" t="s">
        <v>7374</v>
      </c>
    </row>
    <row r="2013" spans="1:11" x14ac:dyDescent="0.2">
      <c r="A2013" t="s">
        <v>7375</v>
      </c>
      <c r="B2013" t="s">
        <v>7376</v>
      </c>
      <c r="C2013" t="s">
        <v>7377</v>
      </c>
      <c r="D2013" t="s">
        <v>7378</v>
      </c>
      <c r="F2013" s="2">
        <v>524547611</v>
      </c>
      <c r="G2013" s="2">
        <v>133871806</v>
      </c>
      <c r="H2013" t="s">
        <v>24</v>
      </c>
      <c r="I2013" t="s">
        <v>17</v>
      </c>
      <c r="J2013" t="s">
        <v>25</v>
      </c>
    </row>
    <row r="2014" spans="1:11" x14ac:dyDescent="0.2">
      <c r="A2014" t="s">
        <v>7379</v>
      </c>
      <c r="B2014" t="s">
        <v>7380</v>
      </c>
      <c r="F2014" s="2">
        <v>524938419</v>
      </c>
      <c r="G2014" s="2">
        <v>133535854</v>
      </c>
      <c r="H2014" t="s">
        <v>28</v>
      </c>
      <c r="I2014" t="s">
        <v>17</v>
      </c>
      <c r="J2014" t="s">
        <v>25</v>
      </c>
    </row>
    <row r="2015" spans="1:11" x14ac:dyDescent="0.2">
      <c r="A2015" t="s">
        <v>7381</v>
      </c>
      <c r="B2015" t="s">
        <v>7382</v>
      </c>
      <c r="C2015" t="s">
        <v>7383</v>
      </c>
      <c r="D2015" t="s">
        <v>7384</v>
      </c>
      <c r="E2015" t="s">
        <v>7385</v>
      </c>
      <c r="F2015" s="2">
        <v>52493573</v>
      </c>
      <c r="G2015" s="2">
        <v>13353491</v>
      </c>
      <c r="H2015" t="s">
        <v>51</v>
      </c>
      <c r="I2015" t="s">
        <v>17</v>
      </c>
      <c r="J2015" t="s">
        <v>25</v>
      </c>
      <c r="K2015" t="s">
        <v>7386</v>
      </c>
    </row>
    <row r="2016" spans="1:11" x14ac:dyDescent="0.2">
      <c r="A2016" t="s">
        <v>7387</v>
      </c>
      <c r="B2016" t="s">
        <v>7388</v>
      </c>
      <c r="C2016" t="s">
        <v>7389</v>
      </c>
      <c r="D2016" t="s">
        <v>7390</v>
      </c>
      <c r="E2016" t="s">
        <v>7391</v>
      </c>
      <c r="F2016" s="2">
        <v>524941243</v>
      </c>
      <c r="G2016" s="2">
        <v>133536562</v>
      </c>
      <c r="H2016" t="s">
        <v>24</v>
      </c>
      <c r="I2016" t="s">
        <v>17</v>
      </c>
      <c r="J2016" t="s">
        <v>25</v>
      </c>
    </row>
    <row r="2017" spans="1:11" x14ac:dyDescent="0.2">
      <c r="A2017" t="s">
        <v>7392</v>
      </c>
      <c r="F2017" s="2">
        <v>524631959</v>
      </c>
      <c r="G2017" s="2">
        <v>133288582</v>
      </c>
      <c r="H2017" t="s">
        <v>28</v>
      </c>
      <c r="I2017" t="s">
        <v>17</v>
      </c>
      <c r="J2017" t="s">
        <v>25</v>
      </c>
    </row>
    <row r="2018" spans="1:11" x14ac:dyDescent="0.2">
      <c r="A2018" t="s">
        <v>7393</v>
      </c>
      <c r="B2018" t="s">
        <v>7394</v>
      </c>
      <c r="C2018" t="s">
        <v>7395</v>
      </c>
      <c r="D2018" t="s">
        <v>7396</v>
      </c>
      <c r="F2018" s="2">
        <v>524898227</v>
      </c>
      <c r="G2018" s="2">
        <v>133594033</v>
      </c>
      <c r="H2018" t="s">
        <v>51</v>
      </c>
      <c r="I2018" t="s">
        <v>17</v>
      </c>
      <c r="J2018" t="s">
        <v>25</v>
      </c>
      <c r="K2018" t="s">
        <v>7397</v>
      </c>
    </row>
    <row r="2019" spans="1:11" x14ac:dyDescent="0.2">
      <c r="A2019" t="s">
        <v>7398</v>
      </c>
      <c r="B2019" t="s">
        <v>7399</v>
      </c>
      <c r="C2019" t="s">
        <v>7400</v>
      </c>
      <c r="D2019" t="s">
        <v>7401</v>
      </c>
      <c r="E2019" t="s">
        <v>7402</v>
      </c>
      <c r="F2019" s="2">
        <v>524888331</v>
      </c>
      <c r="G2019" s="2">
        <v>133578535</v>
      </c>
      <c r="H2019" t="s">
        <v>51</v>
      </c>
      <c r="I2019" t="s">
        <v>17</v>
      </c>
      <c r="J2019" t="s">
        <v>25</v>
      </c>
      <c r="K2019" t="s">
        <v>7403</v>
      </c>
    </row>
    <row r="2020" spans="1:11" x14ac:dyDescent="0.2">
      <c r="A2020" t="s">
        <v>7404</v>
      </c>
      <c r="B2020" t="s">
        <v>7405</v>
      </c>
      <c r="F2020" s="2">
        <v>525111887</v>
      </c>
      <c r="G2020" s="2">
        <v>134498063</v>
      </c>
      <c r="H2020" t="s">
        <v>28</v>
      </c>
      <c r="I2020" t="s">
        <v>17</v>
      </c>
      <c r="J2020" t="s">
        <v>25</v>
      </c>
    </row>
    <row r="2021" spans="1:11" x14ac:dyDescent="0.2">
      <c r="A2021" t="s">
        <v>7406</v>
      </c>
      <c r="F2021" s="2">
        <v>525193782</v>
      </c>
      <c r="G2021" s="2">
        <v>133945743</v>
      </c>
      <c r="H2021" t="s">
        <v>28</v>
      </c>
      <c r="I2021" t="s">
        <v>17</v>
      </c>
      <c r="J2021" t="s">
        <v>25</v>
      </c>
    </row>
    <row r="2022" spans="1:11" x14ac:dyDescent="0.2">
      <c r="A2022" t="s">
        <v>7407</v>
      </c>
      <c r="B2022" t="s">
        <v>7408</v>
      </c>
      <c r="C2022" t="s">
        <v>7409</v>
      </c>
      <c r="D2022" t="s">
        <v>7410</v>
      </c>
      <c r="E2022" t="s">
        <v>7411</v>
      </c>
      <c r="F2022" s="2">
        <v>524960986</v>
      </c>
      <c r="G2022" s="2">
        <v>133412814</v>
      </c>
      <c r="H2022" t="s">
        <v>24</v>
      </c>
      <c r="I2022" t="s">
        <v>17</v>
      </c>
      <c r="J2022" t="s">
        <v>25</v>
      </c>
    </row>
    <row r="2023" spans="1:11" x14ac:dyDescent="0.2">
      <c r="A2023" t="s">
        <v>7412</v>
      </c>
      <c r="F2023" s="2">
        <v>52464698</v>
      </c>
      <c r="G2023" s="2">
        <v>134429167</v>
      </c>
      <c r="H2023" t="s">
        <v>28</v>
      </c>
      <c r="I2023" t="s">
        <v>17</v>
      </c>
      <c r="J2023" t="s">
        <v>25</v>
      </c>
    </row>
    <row r="2024" spans="1:11" x14ac:dyDescent="0.2">
      <c r="A2024" t="s">
        <v>7413</v>
      </c>
      <c r="B2024" t="s">
        <v>7414</v>
      </c>
      <c r="C2024" t="s">
        <v>7415</v>
      </c>
      <c r="D2024" t="s">
        <v>7416</v>
      </c>
      <c r="E2024" t="s">
        <v>7417</v>
      </c>
      <c r="F2024" s="2">
        <v>525277092</v>
      </c>
      <c r="G2024" s="2">
        <v>134034228</v>
      </c>
      <c r="H2024" t="s">
        <v>51</v>
      </c>
      <c r="I2024" t="s">
        <v>17</v>
      </c>
      <c r="J2024" t="s">
        <v>25</v>
      </c>
      <c r="K2024" t="s">
        <v>7418</v>
      </c>
    </row>
    <row r="2025" spans="1:11" x14ac:dyDescent="0.2">
      <c r="A2025" t="s">
        <v>7419</v>
      </c>
      <c r="B2025" t="s">
        <v>7420</v>
      </c>
      <c r="C2025" t="s">
        <v>7421</v>
      </c>
      <c r="F2025" s="2">
        <v>525273466</v>
      </c>
      <c r="G2025" s="2">
        <v>13405597</v>
      </c>
      <c r="H2025" t="s">
        <v>255</v>
      </c>
      <c r="I2025" t="s">
        <v>17</v>
      </c>
      <c r="J2025" t="s">
        <v>25</v>
      </c>
    </row>
    <row r="2026" spans="1:11" x14ac:dyDescent="0.2">
      <c r="A2026" t="s">
        <v>7422</v>
      </c>
      <c r="B2026" t="s">
        <v>7423</v>
      </c>
      <c r="C2026" t="s">
        <v>7424</v>
      </c>
      <c r="D2026" t="s">
        <v>7425</v>
      </c>
      <c r="F2026" s="2">
        <v>525609654</v>
      </c>
      <c r="G2026" s="2">
        <v>134359353</v>
      </c>
      <c r="H2026" t="s">
        <v>16</v>
      </c>
      <c r="I2026" t="s">
        <v>17</v>
      </c>
      <c r="J2026" t="s">
        <v>25</v>
      </c>
    </row>
    <row r="2027" spans="1:11" x14ac:dyDescent="0.2">
      <c r="A2027" t="s">
        <v>7426</v>
      </c>
      <c r="B2027" t="s">
        <v>7427</v>
      </c>
      <c r="C2027" t="s">
        <v>7428</v>
      </c>
      <c r="E2027" t="s">
        <v>7429</v>
      </c>
      <c r="F2027" s="2">
        <v>524758334</v>
      </c>
      <c r="G2027" s="2">
        <v>134237017</v>
      </c>
      <c r="H2027" t="s">
        <v>38</v>
      </c>
      <c r="I2027" t="s">
        <v>17</v>
      </c>
      <c r="J2027" t="s">
        <v>25</v>
      </c>
    </row>
    <row r="2028" spans="1:11" x14ac:dyDescent="0.2">
      <c r="A2028" t="s">
        <v>7430</v>
      </c>
      <c r="B2028" t="s">
        <v>7431</v>
      </c>
      <c r="C2028" t="s">
        <v>7432</v>
      </c>
      <c r="F2028" s="2">
        <v>525215684</v>
      </c>
      <c r="G2028" s="2">
        <v>134495656</v>
      </c>
      <c r="H2028" t="s">
        <v>277</v>
      </c>
      <c r="I2028" t="s">
        <v>17</v>
      </c>
      <c r="J2028" t="s">
        <v>25</v>
      </c>
      <c r="K2028" t="s">
        <v>7433</v>
      </c>
    </row>
    <row r="2029" spans="1:11" x14ac:dyDescent="0.2">
      <c r="A2029" t="s">
        <v>7434</v>
      </c>
      <c r="B2029" t="s">
        <v>7435</v>
      </c>
      <c r="F2029" s="2">
        <v>525338713</v>
      </c>
      <c r="G2029" s="2">
        <v>134047252</v>
      </c>
      <c r="H2029" t="s">
        <v>28</v>
      </c>
      <c r="I2029" t="s">
        <v>17</v>
      </c>
      <c r="J2029" t="s">
        <v>25</v>
      </c>
    </row>
    <row r="2030" spans="1:11" x14ac:dyDescent="0.2">
      <c r="A2030" t="s">
        <v>7436</v>
      </c>
      <c r="B2030" t="s">
        <v>7437</v>
      </c>
      <c r="C2030" t="s">
        <v>7438</v>
      </c>
      <c r="E2030" t="s">
        <v>7439</v>
      </c>
      <c r="F2030" s="2">
        <v>524351079</v>
      </c>
      <c r="G2030" s="2">
        <v>135960634</v>
      </c>
      <c r="H2030" t="s">
        <v>38</v>
      </c>
      <c r="I2030" t="s">
        <v>17</v>
      </c>
      <c r="J2030" t="s">
        <v>25</v>
      </c>
    </row>
    <row r="2031" spans="1:11" x14ac:dyDescent="0.2">
      <c r="A2031" t="s">
        <v>7440</v>
      </c>
      <c r="B2031" t="s">
        <v>7441</v>
      </c>
      <c r="C2031" t="s">
        <v>7442</v>
      </c>
      <c r="E2031" t="s">
        <v>7443</v>
      </c>
      <c r="F2031" s="2">
        <v>52510144</v>
      </c>
      <c r="G2031" s="2">
        <v>133227893</v>
      </c>
      <c r="H2031" t="s">
        <v>38</v>
      </c>
      <c r="I2031" t="s">
        <v>17</v>
      </c>
      <c r="J2031" t="s">
        <v>25</v>
      </c>
    </row>
    <row r="2032" spans="1:11" x14ac:dyDescent="0.2">
      <c r="A2032" t="s">
        <v>7444</v>
      </c>
      <c r="B2032" t="s">
        <v>7445</v>
      </c>
      <c r="C2032" t="s">
        <v>7446</v>
      </c>
      <c r="E2032" t="s">
        <v>7447</v>
      </c>
      <c r="F2032" s="2">
        <v>52433011</v>
      </c>
      <c r="G2032" s="2">
        <v>135368508</v>
      </c>
      <c r="H2032" t="s">
        <v>38</v>
      </c>
      <c r="I2032" t="s">
        <v>17</v>
      </c>
      <c r="J2032" t="s">
        <v>25</v>
      </c>
    </row>
    <row r="2033" spans="1:11" x14ac:dyDescent="0.2">
      <c r="A2033" t="s">
        <v>7448</v>
      </c>
      <c r="B2033" t="s">
        <v>7449</v>
      </c>
      <c r="C2033" t="s">
        <v>7450</v>
      </c>
      <c r="E2033" t="s">
        <v>7451</v>
      </c>
      <c r="F2033" s="2">
        <v>525206609</v>
      </c>
      <c r="G2033" s="2">
        <v>13333202</v>
      </c>
      <c r="H2033" t="s">
        <v>38</v>
      </c>
      <c r="I2033" t="s">
        <v>17</v>
      </c>
      <c r="J2033" t="s">
        <v>25</v>
      </c>
    </row>
    <row r="2034" spans="1:11" x14ac:dyDescent="0.2">
      <c r="A2034" t="s">
        <v>7452</v>
      </c>
      <c r="F2034" s="2">
        <v>524359393</v>
      </c>
      <c r="G2034" s="2">
        <v>135431749</v>
      </c>
      <c r="H2034" t="s">
        <v>28</v>
      </c>
      <c r="I2034" t="s">
        <v>17</v>
      </c>
      <c r="J2034" t="s">
        <v>25</v>
      </c>
    </row>
    <row r="2035" spans="1:11" x14ac:dyDescent="0.2">
      <c r="A2035" t="s">
        <v>7453</v>
      </c>
      <c r="B2035" t="s">
        <v>6169</v>
      </c>
      <c r="F2035" s="2">
        <v>524831592</v>
      </c>
      <c r="G2035" s="2">
        <v>133818144</v>
      </c>
      <c r="H2035" t="s">
        <v>28</v>
      </c>
      <c r="I2035" t="s">
        <v>17</v>
      </c>
      <c r="J2035" t="s">
        <v>25</v>
      </c>
    </row>
    <row r="2036" spans="1:11" x14ac:dyDescent="0.2">
      <c r="A2036" t="s">
        <v>7454</v>
      </c>
      <c r="B2036" t="s">
        <v>7455</v>
      </c>
      <c r="F2036" s="2">
        <v>525371845</v>
      </c>
      <c r="G2036" s="2">
        <v>134234864</v>
      </c>
      <c r="H2036" t="s">
        <v>28</v>
      </c>
      <c r="I2036" t="s">
        <v>17</v>
      </c>
      <c r="J2036" t="s">
        <v>25</v>
      </c>
    </row>
    <row r="2037" spans="1:11" x14ac:dyDescent="0.2">
      <c r="A2037" t="s">
        <v>7456</v>
      </c>
      <c r="B2037" t="s">
        <v>7457</v>
      </c>
      <c r="F2037" s="2">
        <v>525385358</v>
      </c>
      <c r="G2037" s="2">
        <v>132062343</v>
      </c>
      <c r="H2037" t="s">
        <v>28</v>
      </c>
      <c r="I2037" t="s">
        <v>17</v>
      </c>
      <c r="J2037" t="s">
        <v>25</v>
      </c>
    </row>
    <row r="2038" spans="1:11" x14ac:dyDescent="0.2">
      <c r="A2038" t="s">
        <v>7458</v>
      </c>
      <c r="B2038" t="s">
        <v>7459</v>
      </c>
      <c r="C2038" t="s">
        <v>7460</v>
      </c>
      <c r="E2038" t="s">
        <v>7461</v>
      </c>
      <c r="F2038" s="2">
        <v>525944385</v>
      </c>
      <c r="G2038" s="2">
        <v>133329355</v>
      </c>
      <c r="H2038" t="s">
        <v>38</v>
      </c>
      <c r="I2038" t="s">
        <v>17</v>
      </c>
      <c r="J2038" t="s">
        <v>25</v>
      </c>
    </row>
    <row r="2039" spans="1:11" x14ac:dyDescent="0.2">
      <c r="A2039" t="s">
        <v>7462</v>
      </c>
      <c r="F2039" s="2">
        <v>525948279</v>
      </c>
      <c r="G2039" s="2">
        <v>13332839</v>
      </c>
      <c r="H2039" t="s">
        <v>28</v>
      </c>
      <c r="I2039" t="s">
        <v>17</v>
      </c>
      <c r="J2039" t="s">
        <v>25</v>
      </c>
    </row>
    <row r="2040" spans="1:11" x14ac:dyDescent="0.2">
      <c r="A2040" t="s">
        <v>7463</v>
      </c>
      <c r="B2040">
        <v>12587</v>
      </c>
      <c r="C2040" t="s">
        <v>7464</v>
      </c>
      <c r="D2040" t="s">
        <v>7465</v>
      </c>
      <c r="E2040" t="s">
        <v>7466</v>
      </c>
      <c r="F2040" s="2">
        <v>524466024</v>
      </c>
      <c r="G2040" s="2">
        <v>136239054</v>
      </c>
      <c r="H2040" t="s">
        <v>51</v>
      </c>
      <c r="I2040" t="s">
        <v>17</v>
      </c>
      <c r="J2040" t="s">
        <v>25</v>
      </c>
      <c r="K2040" t="s">
        <v>7467</v>
      </c>
    </row>
    <row r="2041" spans="1:11" x14ac:dyDescent="0.2">
      <c r="A2041" t="s">
        <v>7468</v>
      </c>
      <c r="E2041" t="s">
        <v>7469</v>
      </c>
      <c r="F2041" s="2">
        <v>5244919</v>
      </c>
      <c r="G2041" s="2">
        <v>136242535</v>
      </c>
      <c r="H2041" t="s">
        <v>34</v>
      </c>
      <c r="I2041" t="s">
        <v>17</v>
      </c>
      <c r="J2041" t="s">
        <v>25</v>
      </c>
    </row>
    <row r="2042" spans="1:11" x14ac:dyDescent="0.2">
      <c r="A2042" t="s">
        <v>7470</v>
      </c>
      <c r="B2042" t="s">
        <v>7471</v>
      </c>
      <c r="C2042" t="s">
        <v>7472</v>
      </c>
      <c r="E2042">
        <v>491741507397</v>
      </c>
      <c r="F2042" s="2">
        <v>524517673</v>
      </c>
      <c r="G2042" s="2">
        <v>136245364</v>
      </c>
      <c r="H2042" t="s">
        <v>38</v>
      </c>
      <c r="I2042" t="s">
        <v>17</v>
      </c>
      <c r="J2042" t="s">
        <v>25</v>
      </c>
    </row>
    <row r="2043" spans="1:11" x14ac:dyDescent="0.2">
      <c r="A2043" t="s">
        <v>7473</v>
      </c>
      <c r="B2043" t="s">
        <v>7474</v>
      </c>
      <c r="C2043" t="s">
        <v>7475</v>
      </c>
      <c r="E2043" t="s">
        <v>7476</v>
      </c>
      <c r="F2043" s="2">
        <v>524768032</v>
      </c>
      <c r="G2043" s="2">
        <v>134207485</v>
      </c>
      <c r="H2043" t="s">
        <v>277</v>
      </c>
      <c r="I2043" t="s">
        <v>17</v>
      </c>
      <c r="J2043" t="s">
        <v>25</v>
      </c>
      <c r="K2043" t="s">
        <v>7477</v>
      </c>
    </row>
    <row r="2044" spans="1:11" x14ac:dyDescent="0.2">
      <c r="A2044" t="s">
        <v>7478</v>
      </c>
      <c r="B2044" t="s">
        <v>7479</v>
      </c>
      <c r="C2044" t="s">
        <v>7480</v>
      </c>
      <c r="E2044" t="s">
        <v>7481</v>
      </c>
      <c r="F2044" s="2">
        <v>525323926</v>
      </c>
      <c r="G2044" s="2">
        <v>133974558</v>
      </c>
      <c r="H2044" t="s">
        <v>277</v>
      </c>
      <c r="I2044" t="s">
        <v>17</v>
      </c>
      <c r="J2044" t="s">
        <v>25</v>
      </c>
      <c r="K2044" t="s">
        <v>7482</v>
      </c>
    </row>
    <row r="2045" spans="1:11" x14ac:dyDescent="0.2">
      <c r="A2045" t="s">
        <v>7483</v>
      </c>
      <c r="B2045" t="s">
        <v>7484</v>
      </c>
      <c r="F2045" s="2">
        <v>525105807</v>
      </c>
      <c r="G2045" s="2">
        <v>133748803</v>
      </c>
      <c r="H2045" t="s">
        <v>28</v>
      </c>
      <c r="I2045" t="s">
        <v>17</v>
      </c>
      <c r="J2045" t="s">
        <v>25</v>
      </c>
    </row>
    <row r="2046" spans="1:11" x14ac:dyDescent="0.2">
      <c r="A2046" t="s">
        <v>7485</v>
      </c>
      <c r="B2046" t="s">
        <v>7486</v>
      </c>
      <c r="F2046" s="2">
        <v>525173745</v>
      </c>
      <c r="G2046" s="2">
        <v>133902187</v>
      </c>
      <c r="H2046" t="s">
        <v>28</v>
      </c>
      <c r="I2046" t="s">
        <v>17</v>
      </c>
      <c r="J2046" t="s">
        <v>25</v>
      </c>
    </row>
    <row r="2047" spans="1:11" x14ac:dyDescent="0.2">
      <c r="A2047" t="s">
        <v>7487</v>
      </c>
      <c r="B2047" t="s">
        <v>7488</v>
      </c>
      <c r="C2047" t="s">
        <v>7489</v>
      </c>
      <c r="D2047" t="s">
        <v>7490</v>
      </c>
      <c r="E2047" t="s">
        <v>7491</v>
      </c>
      <c r="F2047" s="2">
        <v>525151994</v>
      </c>
      <c r="G2047" s="2">
        <v>133810626</v>
      </c>
      <c r="H2047" t="s">
        <v>24</v>
      </c>
      <c r="I2047" t="s">
        <v>17</v>
      </c>
      <c r="J2047" t="s">
        <v>25</v>
      </c>
    </row>
    <row r="2048" spans="1:11" x14ac:dyDescent="0.2">
      <c r="A2048" t="s">
        <v>7492</v>
      </c>
      <c r="B2048" t="s">
        <v>7493</v>
      </c>
      <c r="C2048" t="s">
        <v>7494</v>
      </c>
      <c r="F2048" s="2">
        <v>524570272</v>
      </c>
      <c r="G2048" s="2">
        <v>133222009</v>
      </c>
      <c r="H2048" t="s">
        <v>255</v>
      </c>
      <c r="I2048" t="s">
        <v>17</v>
      </c>
      <c r="J2048" t="s">
        <v>25</v>
      </c>
    </row>
    <row r="2049" spans="1:11" x14ac:dyDescent="0.2">
      <c r="A2049" t="s">
        <v>7495</v>
      </c>
      <c r="F2049" s="2">
        <v>524550878</v>
      </c>
      <c r="G2049" s="2">
        <v>133852339</v>
      </c>
      <c r="H2049" t="s">
        <v>28</v>
      </c>
      <c r="I2049" t="s">
        <v>17</v>
      </c>
      <c r="J2049" t="s">
        <v>25</v>
      </c>
    </row>
    <row r="2050" spans="1:11" x14ac:dyDescent="0.2">
      <c r="A2050" t="s">
        <v>7496</v>
      </c>
      <c r="F2050" s="2">
        <v>52452143</v>
      </c>
      <c r="G2050" s="2">
        <v>133673602</v>
      </c>
      <c r="H2050" t="s">
        <v>28</v>
      </c>
      <c r="I2050" t="s">
        <v>17</v>
      </c>
      <c r="J2050" t="s">
        <v>25</v>
      </c>
    </row>
    <row r="2051" spans="1:11" x14ac:dyDescent="0.2">
      <c r="A2051" t="s">
        <v>7497</v>
      </c>
      <c r="B2051" t="s">
        <v>7498</v>
      </c>
      <c r="C2051" t="s">
        <v>7499</v>
      </c>
      <c r="E2051" t="s">
        <v>7500</v>
      </c>
      <c r="F2051" s="2">
        <v>524915702</v>
      </c>
      <c r="G2051" s="2">
        <v>134199692</v>
      </c>
      <c r="H2051" t="s">
        <v>38</v>
      </c>
      <c r="I2051" t="s">
        <v>17</v>
      </c>
      <c r="J2051" t="s">
        <v>25</v>
      </c>
    </row>
    <row r="2052" spans="1:11" x14ac:dyDescent="0.2">
      <c r="A2052" t="s">
        <v>7501</v>
      </c>
      <c r="B2052" t="s">
        <v>7502</v>
      </c>
      <c r="C2052" t="s">
        <v>7503</v>
      </c>
      <c r="D2052" t="s">
        <v>7504</v>
      </c>
      <c r="E2052" t="s">
        <v>7505</v>
      </c>
      <c r="F2052" s="2">
        <v>525558531</v>
      </c>
      <c r="G2052" s="2">
        <v>134149771</v>
      </c>
      <c r="H2052" t="s">
        <v>51</v>
      </c>
      <c r="I2052" t="s">
        <v>17</v>
      </c>
      <c r="J2052" t="s">
        <v>25</v>
      </c>
      <c r="K2052" t="s">
        <v>7506</v>
      </c>
    </row>
    <row r="2053" spans="1:11" x14ac:dyDescent="0.2">
      <c r="A2053" t="s">
        <v>7507</v>
      </c>
      <c r="B2053" t="s">
        <v>7508</v>
      </c>
      <c r="F2053" s="2">
        <v>525087621</v>
      </c>
      <c r="G2053" s="2">
        <v>134604007</v>
      </c>
      <c r="H2053" t="s">
        <v>28</v>
      </c>
      <c r="I2053" t="s">
        <v>17</v>
      </c>
      <c r="J2053" t="s">
        <v>25</v>
      </c>
    </row>
    <row r="2054" spans="1:11" x14ac:dyDescent="0.2">
      <c r="A2054" t="s">
        <v>7509</v>
      </c>
      <c r="C2054" t="s">
        <v>7510</v>
      </c>
      <c r="D2054" t="s">
        <v>7511</v>
      </c>
      <c r="E2054" t="s">
        <v>7512</v>
      </c>
      <c r="F2054" s="2">
        <v>525461493</v>
      </c>
      <c r="G2054" s="2">
        <v>133176486</v>
      </c>
      <c r="H2054" t="s">
        <v>24</v>
      </c>
      <c r="I2054" t="s">
        <v>17</v>
      </c>
      <c r="J2054" t="s">
        <v>25</v>
      </c>
    </row>
    <row r="2055" spans="1:11" x14ac:dyDescent="0.2">
      <c r="A2055" t="s">
        <v>7513</v>
      </c>
      <c r="B2055" t="s">
        <v>7514</v>
      </c>
      <c r="C2055" t="s">
        <v>7515</v>
      </c>
      <c r="D2055" t="s">
        <v>7516</v>
      </c>
      <c r="E2055" t="s">
        <v>7517</v>
      </c>
      <c r="F2055" s="2">
        <v>524897183</v>
      </c>
      <c r="G2055" s="2">
        <v>133506368</v>
      </c>
      <c r="H2055" t="s">
        <v>16</v>
      </c>
      <c r="I2055" t="s">
        <v>17</v>
      </c>
      <c r="J2055" t="s">
        <v>25</v>
      </c>
    </row>
    <row r="2056" spans="1:11" x14ac:dyDescent="0.2">
      <c r="A2056" t="s">
        <v>7518</v>
      </c>
      <c r="B2056" t="s">
        <v>7519</v>
      </c>
      <c r="C2056" t="s">
        <v>7520</v>
      </c>
      <c r="E2056" t="s">
        <v>7521</v>
      </c>
      <c r="F2056" s="2">
        <v>525131181</v>
      </c>
      <c r="G2056" s="2">
        <v>133820385</v>
      </c>
      <c r="H2056" t="s">
        <v>38</v>
      </c>
      <c r="I2056" t="s">
        <v>17</v>
      </c>
      <c r="J2056" t="s">
        <v>25</v>
      </c>
    </row>
    <row r="2057" spans="1:11" x14ac:dyDescent="0.2">
      <c r="A2057" t="s">
        <v>7522</v>
      </c>
      <c r="B2057" t="s">
        <v>7523</v>
      </c>
      <c r="F2057" s="2">
        <v>524714197</v>
      </c>
      <c r="G2057" s="2">
        <v>134294048</v>
      </c>
      <c r="H2057" t="s">
        <v>28</v>
      </c>
      <c r="I2057" t="s">
        <v>17</v>
      </c>
      <c r="J2057" t="s">
        <v>25</v>
      </c>
    </row>
    <row r="2058" spans="1:11" x14ac:dyDescent="0.2">
      <c r="A2058" t="s">
        <v>7524</v>
      </c>
      <c r="B2058" t="s">
        <v>7525</v>
      </c>
      <c r="C2058" t="s">
        <v>7526</v>
      </c>
      <c r="D2058" t="s">
        <v>7527</v>
      </c>
      <c r="E2058" t="s">
        <v>7528</v>
      </c>
      <c r="F2058" s="2">
        <v>525310497</v>
      </c>
      <c r="G2058" s="2">
        <v>134343329</v>
      </c>
      <c r="H2058" t="s">
        <v>51</v>
      </c>
      <c r="I2058" t="s">
        <v>17</v>
      </c>
      <c r="J2058" t="s">
        <v>25</v>
      </c>
      <c r="K2058" t="s">
        <v>7529</v>
      </c>
    </row>
    <row r="2059" spans="1:11" x14ac:dyDescent="0.2">
      <c r="A2059" t="s">
        <v>7530</v>
      </c>
      <c r="B2059" t="s">
        <v>7531</v>
      </c>
      <c r="C2059" t="s">
        <v>7532</v>
      </c>
      <c r="D2059" t="s">
        <v>7533</v>
      </c>
      <c r="E2059" t="s">
        <v>7534</v>
      </c>
      <c r="F2059" s="2">
        <v>52475295</v>
      </c>
      <c r="G2059" s="2">
        <v>133245272</v>
      </c>
      <c r="H2059" t="s">
        <v>24</v>
      </c>
      <c r="I2059" t="s">
        <v>17</v>
      </c>
      <c r="J2059" t="s">
        <v>25</v>
      </c>
    </row>
    <row r="2060" spans="1:11" x14ac:dyDescent="0.2">
      <c r="A2060" t="s">
        <v>7535</v>
      </c>
      <c r="B2060" t="s">
        <v>7536</v>
      </c>
      <c r="C2060" t="s">
        <v>7537</v>
      </c>
      <c r="D2060" t="s">
        <v>7538</v>
      </c>
      <c r="E2060" t="s">
        <v>7539</v>
      </c>
      <c r="F2060" s="2">
        <v>525035144</v>
      </c>
      <c r="G2060" s="2">
        <v>133344722</v>
      </c>
      <c r="H2060" t="s">
        <v>51</v>
      </c>
      <c r="I2060" t="s">
        <v>17</v>
      </c>
      <c r="J2060" t="s">
        <v>25</v>
      </c>
      <c r="K2060" t="s">
        <v>7540</v>
      </c>
    </row>
    <row r="2061" spans="1:11" x14ac:dyDescent="0.2">
      <c r="A2061" t="s">
        <v>7541</v>
      </c>
      <c r="B2061" t="s">
        <v>7542</v>
      </c>
      <c r="E2061" t="s">
        <v>7543</v>
      </c>
      <c r="F2061" s="2">
        <v>525040356</v>
      </c>
      <c r="G2061" s="2">
        <v>133350053</v>
      </c>
      <c r="H2061" t="s">
        <v>34</v>
      </c>
      <c r="I2061" t="s">
        <v>17</v>
      </c>
      <c r="J2061" t="s">
        <v>25</v>
      </c>
    </row>
    <row r="2062" spans="1:11" x14ac:dyDescent="0.2">
      <c r="A2062" t="s">
        <v>7544</v>
      </c>
      <c r="B2062" t="s">
        <v>7545</v>
      </c>
      <c r="F2062" s="2">
        <v>52501101</v>
      </c>
      <c r="G2062" s="2">
        <v>133253173</v>
      </c>
      <c r="H2062" t="s">
        <v>28</v>
      </c>
      <c r="I2062" t="s">
        <v>17</v>
      </c>
      <c r="J2062" t="s">
        <v>25</v>
      </c>
    </row>
    <row r="2063" spans="1:11" x14ac:dyDescent="0.2">
      <c r="A2063" t="s">
        <v>7546</v>
      </c>
      <c r="B2063" t="s">
        <v>7545</v>
      </c>
      <c r="C2063" t="s">
        <v>7547</v>
      </c>
      <c r="D2063" t="s">
        <v>7548</v>
      </c>
      <c r="E2063">
        <v>493045958800</v>
      </c>
      <c r="F2063" s="2">
        <v>525012629</v>
      </c>
      <c r="G2063" s="2">
        <v>133253281</v>
      </c>
      <c r="H2063" t="s">
        <v>24</v>
      </c>
      <c r="I2063" t="s">
        <v>17</v>
      </c>
      <c r="J2063" t="s">
        <v>25</v>
      </c>
    </row>
    <row r="2064" spans="1:11" x14ac:dyDescent="0.2">
      <c r="A2064" t="s">
        <v>7549</v>
      </c>
      <c r="B2064" t="s">
        <v>7550</v>
      </c>
      <c r="C2064" t="s">
        <v>7551</v>
      </c>
      <c r="D2064" t="s">
        <v>7552</v>
      </c>
      <c r="E2064" t="s">
        <v>7553</v>
      </c>
      <c r="F2064" s="2">
        <v>525012445</v>
      </c>
      <c r="G2064" s="2">
        <v>133248798</v>
      </c>
      <c r="H2064" t="s">
        <v>24</v>
      </c>
      <c r="I2064" t="s">
        <v>17</v>
      </c>
      <c r="J2064" t="s">
        <v>25</v>
      </c>
    </row>
    <row r="2065" spans="1:11" x14ac:dyDescent="0.2">
      <c r="A2065" t="s">
        <v>7554</v>
      </c>
      <c r="B2065" t="s">
        <v>7555</v>
      </c>
      <c r="C2065" t="s">
        <v>7556</v>
      </c>
      <c r="D2065" t="s">
        <v>7557</v>
      </c>
      <c r="E2065" t="s">
        <v>7558</v>
      </c>
      <c r="F2065" s="2">
        <v>524989639</v>
      </c>
      <c r="G2065" s="2">
        <v>133249075</v>
      </c>
      <c r="H2065" t="s">
        <v>51</v>
      </c>
      <c r="I2065" t="s">
        <v>17</v>
      </c>
      <c r="J2065" t="s">
        <v>25</v>
      </c>
      <c r="K2065" t="s">
        <v>7559</v>
      </c>
    </row>
    <row r="2066" spans="1:11" x14ac:dyDescent="0.2">
      <c r="A2066" t="s">
        <v>7560</v>
      </c>
      <c r="B2066" t="s">
        <v>7561</v>
      </c>
      <c r="F2066" s="2">
        <v>524997986</v>
      </c>
      <c r="G2066" s="2">
        <v>133245704</v>
      </c>
      <c r="H2066" t="s">
        <v>28</v>
      </c>
      <c r="I2066" t="s">
        <v>17</v>
      </c>
      <c r="J2066" t="s">
        <v>25</v>
      </c>
    </row>
    <row r="2067" spans="1:11" x14ac:dyDescent="0.2">
      <c r="A2067" t="s">
        <v>7562</v>
      </c>
      <c r="F2067" s="2">
        <v>524987446</v>
      </c>
      <c r="G2067" s="2">
        <v>133243267</v>
      </c>
      <c r="H2067" t="s">
        <v>28</v>
      </c>
      <c r="I2067" t="s">
        <v>17</v>
      </c>
      <c r="J2067" t="s">
        <v>25</v>
      </c>
    </row>
    <row r="2068" spans="1:11" x14ac:dyDescent="0.2">
      <c r="A2068" t="s">
        <v>7563</v>
      </c>
      <c r="B2068" t="s">
        <v>7564</v>
      </c>
      <c r="F2068" s="2">
        <v>524656089</v>
      </c>
      <c r="G2068" s="2">
        <v>133902675</v>
      </c>
      <c r="H2068" t="s">
        <v>28</v>
      </c>
      <c r="I2068" t="s">
        <v>17</v>
      </c>
      <c r="J2068" t="s">
        <v>25</v>
      </c>
    </row>
    <row r="2069" spans="1:11" x14ac:dyDescent="0.2">
      <c r="A2069" t="s">
        <v>7565</v>
      </c>
      <c r="B2069" t="s">
        <v>7566</v>
      </c>
      <c r="C2069" t="s">
        <v>7567</v>
      </c>
      <c r="D2069" t="s">
        <v>7568</v>
      </c>
      <c r="E2069" t="s">
        <v>7569</v>
      </c>
      <c r="F2069" s="2">
        <v>525196679</v>
      </c>
      <c r="G2069" s="2">
        <v>134481803</v>
      </c>
      <c r="H2069" t="s">
        <v>24</v>
      </c>
      <c r="I2069" t="s">
        <v>17</v>
      </c>
      <c r="J2069" t="s">
        <v>25</v>
      </c>
    </row>
    <row r="2070" spans="1:11" x14ac:dyDescent="0.2">
      <c r="A2070" t="s">
        <v>7570</v>
      </c>
      <c r="B2070" t="s">
        <v>7571</v>
      </c>
      <c r="F2070" s="2">
        <v>525798294</v>
      </c>
      <c r="G2070" s="2">
        <v>133989583</v>
      </c>
      <c r="H2070" t="s">
        <v>28</v>
      </c>
      <c r="I2070" t="s">
        <v>17</v>
      </c>
      <c r="J2070" t="s">
        <v>25</v>
      </c>
    </row>
    <row r="2071" spans="1:11" x14ac:dyDescent="0.2">
      <c r="A2071" t="s">
        <v>7572</v>
      </c>
      <c r="B2071" t="s">
        <v>7573</v>
      </c>
      <c r="F2071" s="2">
        <v>52505772</v>
      </c>
      <c r="G2071" s="2">
        <v>13326455</v>
      </c>
      <c r="H2071" t="s">
        <v>28</v>
      </c>
      <c r="I2071" t="s">
        <v>17</v>
      </c>
      <c r="J2071" t="s">
        <v>25</v>
      </c>
    </row>
    <row r="2072" spans="1:11" x14ac:dyDescent="0.2">
      <c r="A2072" t="s">
        <v>7574</v>
      </c>
      <c r="B2072" t="s">
        <v>7575</v>
      </c>
      <c r="C2072" t="s">
        <v>7576</v>
      </c>
      <c r="D2072" t="s">
        <v>7577</v>
      </c>
      <c r="E2072" t="s">
        <v>7578</v>
      </c>
      <c r="F2072" s="2">
        <v>524980081</v>
      </c>
      <c r="G2072" s="2">
        <v>135214269</v>
      </c>
      <c r="H2072" t="s">
        <v>16</v>
      </c>
      <c r="I2072" t="s">
        <v>17</v>
      </c>
      <c r="J2072" t="s">
        <v>25</v>
      </c>
    </row>
    <row r="2073" spans="1:11" x14ac:dyDescent="0.2">
      <c r="A2073" t="s">
        <v>7579</v>
      </c>
      <c r="B2073" t="s">
        <v>7580</v>
      </c>
      <c r="F2073" s="2">
        <v>524975539</v>
      </c>
      <c r="G2073" s="2">
        <v>132952936</v>
      </c>
      <c r="H2073" t="s">
        <v>28</v>
      </c>
      <c r="I2073" t="s">
        <v>17</v>
      </c>
      <c r="J2073" t="s">
        <v>25</v>
      </c>
    </row>
    <row r="2074" spans="1:11" x14ac:dyDescent="0.2">
      <c r="A2074" t="s">
        <v>7581</v>
      </c>
      <c r="B2074" t="s">
        <v>6566</v>
      </c>
      <c r="C2074" t="s">
        <v>7582</v>
      </c>
      <c r="D2074" t="s">
        <v>7583</v>
      </c>
      <c r="F2074" s="2">
        <v>525250423</v>
      </c>
      <c r="G2074" s="2">
        <v>134102171</v>
      </c>
      <c r="H2074" t="s">
        <v>16</v>
      </c>
      <c r="I2074" t="s">
        <v>17</v>
      </c>
      <c r="J2074" t="s">
        <v>25</v>
      </c>
    </row>
    <row r="2075" spans="1:11" x14ac:dyDescent="0.2">
      <c r="A2075" t="s">
        <v>7584</v>
      </c>
      <c r="B2075" t="s">
        <v>7585</v>
      </c>
      <c r="C2075" t="s">
        <v>7586</v>
      </c>
      <c r="D2075" t="s">
        <v>7587</v>
      </c>
      <c r="E2075" t="s">
        <v>7588</v>
      </c>
      <c r="F2075" s="2">
        <v>525558612</v>
      </c>
      <c r="G2075" s="2">
        <v>135668658</v>
      </c>
      <c r="H2075" t="s">
        <v>24</v>
      </c>
      <c r="I2075" t="s">
        <v>17</v>
      </c>
      <c r="J2075" t="s">
        <v>25</v>
      </c>
    </row>
    <row r="2076" spans="1:11" x14ac:dyDescent="0.2">
      <c r="A2076" t="s">
        <v>7589</v>
      </c>
      <c r="F2076" s="2">
        <v>524569223</v>
      </c>
      <c r="G2076" s="2">
        <v>133866924</v>
      </c>
      <c r="H2076" t="s">
        <v>28</v>
      </c>
      <c r="I2076" t="s">
        <v>17</v>
      </c>
      <c r="J2076" t="s">
        <v>25</v>
      </c>
    </row>
    <row r="2077" spans="1:11" x14ac:dyDescent="0.2">
      <c r="A2077" t="s">
        <v>7590</v>
      </c>
      <c r="B2077" t="s">
        <v>7591</v>
      </c>
      <c r="F2077" s="2">
        <v>525581278</v>
      </c>
      <c r="G2077" s="2">
        <v>133737733</v>
      </c>
      <c r="H2077" t="s">
        <v>28</v>
      </c>
      <c r="I2077" t="s">
        <v>17</v>
      </c>
      <c r="J2077" t="s">
        <v>25</v>
      </c>
    </row>
    <row r="2078" spans="1:11" x14ac:dyDescent="0.2">
      <c r="A2078" t="s">
        <v>7592</v>
      </c>
      <c r="B2078" t="s">
        <v>7593</v>
      </c>
      <c r="E2078" t="s">
        <v>7594</v>
      </c>
      <c r="F2078" s="2">
        <v>524166786</v>
      </c>
      <c r="G2078" s="2">
        <v>133389114</v>
      </c>
      <c r="H2078" t="s">
        <v>34</v>
      </c>
      <c r="I2078" t="s">
        <v>17</v>
      </c>
      <c r="J2078" t="s">
        <v>25</v>
      </c>
    </row>
    <row r="2079" spans="1:11" x14ac:dyDescent="0.2">
      <c r="A2079" t="s">
        <v>7595</v>
      </c>
      <c r="B2079" t="s">
        <v>7596</v>
      </c>
      <c r="E2079" t="s">
        <v>7597</v>
      </c>
      <c r="F2079" s="2">
        <v>524829028</v>
      </c>
      <c r="G2079" s="2">
        <v>134322728</v>
      </c>
      <c r="H2079" t="s">
        <v>34</v>
      </c>
      <c r="I2079" t="s">
        <v>17</v>
      </c>
      <c r="J2079" t="s">
        <v>25</v>
      </c>
    </row>
    <row r="2080" spans="1:11" x14ac:dyDescent="0.2">
      <c r="A2080" t="s">
        <v>7598</v>
      </c>
      <c r="B2080" t="s">
        <v>7599</v>
      </c>
      <c r="F2080" s="2">
        <v>524908865</v>
      </c>
      <c r="G2080" s="2">
        <v>134492635</v>
      </c>
      <c r="H2080" t="s">
        <v>28</v>
      </c>
      <c r="I2080" t="s">
        <v>17</v>
      </c>
      <c r="J2080" t="s">
        <v>25</v>
      </c>
    </row>
    <row r="2081" spans="1:11" x14ac:dyDescent="0.2">
      <c r="A2081" t="s">
        <v>7600</v>
      </c>
      <c r="B2081" t="s">
        <v>7601</v>
      </c>
      <c r="C2081" t="s">
        <v>7602</v>
      </c>
      <c r="D2081" t="s">
        <v>7603</v>
      </c>
      <c r="E2081" t="s">
        <v>7604</v>
      </c>
      <c r="F2081" s="2">
        <v>525966607</v>
      </c>
      <c r="G2081" s="2">
        <v>133745267</v>
      </c>
      <c r="H2081" t="s">
        <v>51</v>
      </c>
      <c r="I2081" t="s">
        <v>17</v>
      </c>
      <c r="J2081" t="s">
        <v>25</v>
      </c>
      <c r="K2081" t="s">
        <v>7605</v>
      </c>
    </row>
    <row r="2082" spans="1:11" x14ac:dyDescent="0.2">
      <c r="A2082" t="s">
        <v>7606</v>
      </c>
      <c r="B2082" t="s">
        <v>7607</v>
      </c>
      <c r="F2082" s="2">
        <v>525669247</v>
      </c>
      <c r="G2082" s="2">
        <v>135193033</v>
      </c>
      <c r="H2082" t="s">
        <v>28</v>
      </c>
      <c r="I2082" t="s">
        <v>17</v>
      </c>
      <c r="J2082" t="s">
        <v>25</v>
      </c>
    </row>
    <row r="2083" spans="1:11" x14ac:dyDescent="0.2">
      <c r="A2083" t="s">
        <v>7608</v>
      </c>
      <c r="B2083" t="s">
        <v>7609</v>
      </c>
      <c r="F2083" s="2">
        <v>524829815</v>
      </c>
      <c r="G2083" s="2">
        <v>133615708</v>
      </c>
      <c r="H2083" t="s">
        <v>28</v>
      </c>
      <c r="I2083" t="s">
        <v>17</v>
      </c>
      <c r="J2083" t="s">
        <v>25</v>
      </c>
    </row>
    <row r="2084" spans="1:11" x14ac:dyDescent="0.2">
      <c r="A2084" t="s">
        <v>7610</v>
      </c>
      <c r="B2084" t="s">
        <v>7611</v>
      </c>
      <c r="C2084" t="s">
        <v>7612</v>
      </c>
      <c r="E2084" t="s">
        <v>7613</v>
      </c>
      <c r="F2084" s="2">
        <v>524570908</v>
      </c>
      <c r="G2084" s="2">
        <v>134274183</v>
      </c>
      <c r="H2084" t="s">
        <v>38</v>
      </c>
      <c r="I2084" t="s">
        <v>17</v>
      </c>
      <c r="J2084" t="s">
        <v>25</v>
      </c>
    </row>
    <row r="2085" spans="1:11" x14ac:dyDescent="0.2">
      <c r="A2085" t="s">
        <v>7614</v>
      </c>
      <c r="B2085" t="s">
        <v>7615</v>
      </c>
      <c r="C2085" t="s">
        <v>599</v>
      </c>
      <c r="D2085" t="s">
        <v>7616</v>
      </c>
      <c r="E2085" t="s">
        <v>7617</v>
      </c>
      <c r="F2085" s="2">
        <v>525010573</v>
      </c>
      <c r="G2085" s="2">
        <v>134193013</v>
      </c>
      <c r="H2085" t="s">
        <v>24</v>
      </c>
      <c r="I2085" t="s">
        <v>17</v>
      </c>
      <c r="J2085" t="s">
        <v>25</v>
      </c>
    </row>
    <row r="2086" spans="1:11" x14ac:dyDescent="0.2">
      <c r="A2086" t="s">
        <v>7618</v>
      </c>
      <c r="B2086" t="s">
        <v>7619</v>
      </c>
      <c r="C2086" t="s">
        <v>7620</v>
      </c>
      <c r="E2086" t="s">
        <v>7621</v>
      </c>
      <c r="F2086" s="2">
        <v>525019476</v>
      </c>
      <c r="G2086" s="2">
        <v>133129924</v>
      </c>
      <c r="H2086" t="s">
        <v>277</v>
      </c>
      <c r="I2086" t="s">
        <v>17</v>
      </c>
      <c r="J2086" t="s">
        <v>25</v>
      </c>
      <c r="K2086" t="s">
        <v>7622</v>
      </c>
    </row>
    <row r="2087" spans="1:11" x14ac:dyDescent="0.2">
      <c r="A2087" t="s">
        <v>7623</v>
      </c>
      <c r="B2087" t="s">
        <v>7624</v>
      </c>
      <c r="C2087" t="s">
        <v>7625</v>
      </c>
      <c r="D2087" t="s">
        <v>7626</v>
      </c>
      <c r="E2087" t="s">
        <v>7627</v>
      </c>
      <c r="F2087" s="2">
        <v>525055411</v>
      </c>
      <c r="G2087" s="2">
        <v>133177204</v>
      </c>
      <c r="H2087" t="s">
        <v>51</v>
      </c>
      <c r="I2087" t="s">
        <v>17</v>
      </c>
      <c r="J2087" t="s">
        <v>25</v>
      </c>
      <c r="K2087" t="s">
        <v>7628</v>
      </c>
    </row>
    <row r="2088" spans="1:11" x14ac:dyDescent="0.2">
      <c r="A2088" t="s">
        <v>7629</v>
      </c>
      <c r="B2088" t="s">
        <v>3078</v>
      </c>
      <c r="F2088" s="2">
        <v>525018516</v>
      </c>
      <c r="G2088" s="2">
        <v>133130163</v>
      </c>
      <c r="H2088" t="s">
        <v>28</v>
      </c>
      <c r="I2088" t="s">
        <v>17</v>
      </c>
      <c r="J2088" t="s">
        <v>25</v>
      </c>
    </row>
    <row r="2089" spans="1:11" x14ac:dyDescent="0.2">
      <c r="A2089" t="s">
        <v>7630</v>
      </c>
      <c r="B2089" t="s">
        <v>3078</v>
      </c>
      <c r="F2089" s="2">
        <v>52501352</v>
      </c>
      <c r="G2089" s="2">
        <v>133129192</v>
      </c>
      <c r="H2089" t="s">
        <v>28</v>
      </c>
      <c r="I2089" t="s">
        <v>17</v>
      </c>
      <c r="J2089" t="s">
        <v>25</v>
      </c>
    </row>
    <row r="2090" spans="1:11" x14ac:dyDescent="0.2">
      <c r="A2090" t="s">
        <v>7631</v>
      </c>
      <c r="B2090" t="s">
        <v>7619</v>
      </c>
      <c r="C2090" t="s">
        <v>7632</v>
      </c>
      <c r="D2090" t="s">
        <v>7633</v>
      </c>
      <c r="E2090" t="s">
        <v>7634</v>
      </c>
      <c r="F2090" s="2">
        <v>525018011</v>
      </c>
      <c r="G2090" s="2">
        <v>133129994</v>
      </c>
      <c r="H2090" t="s">
        <v>24</v>
      </c>
      <c r="I2090" t="s">
        <v>17</v>
      </c>
      <c r="J2090" t="s">
        <v>25</v>
      </c>
    </row>
    <row r="2091" spans="1:11" x14ac:dyDescent="0.2">
      <c r="A2091" t="s">
        <v>7635</v>
      </c>
      <c r="B2091" t="s">
        <v>7636</v>
      </c>
      <c r="E2091" t="s">
        <v>7637</v>
      </c>
      <c r="F2091" s="2">
        <v>52505858</v>
      </c>
      <c r="G2091" s="2">
        <v>133185692</v>
      </c>
      <c r="H2091" t="s">
        <v>34</v>
      </c>
      <c r="I2091" t="s">
        <v>17</v>
      </c>
      <c r="J2091" t="s">
        <v>25</v>
      </c>
    </row>
    <row r="2092" spans="1:11" x14ac:dyDescent="0.2">
      <c r="A2092" t="s">
        <v>7638</v>
      </c>
      <c r="B2092" t="s">
        <v>7639</v>
      </c>
      <c r="E2092" t="s">
        <v>7640</v>
      </c>
      <c r="F2092" s="2">
        <v>525505273</v>
      </c>
      <c r="G2092" s="2">
        <v>134130868</v>
      </c>
      <c r="H2092" t="s">
        <v>34</v>
      </c>
      <c r="I2092" t="s">
        <v>17</v>
      </c>
      <c r="J2092" t="s">
        <v>25</v>
      </c>
    </row>
    <row r="2093" spans="1:11" x14ac:dyDescent="0.2">
      <c r="A2093" t="s">
        <v>7641</v>
      </c>
      <c r="B2093" t="s">
        <v>7642</v>
      </c>
      <c r="F2093" s="2">
        <v>525536909</v>
      </c>
      <c r="G2093" s="2">
        <v>134099722</v>
      </c>
      <c r="H2093" t="s">
        <v>28</v>
      </c>
      <c r="I2093" t="s">
        <v>17</v>
      </c>
      <c r="J2093" t="s">
        <v>25</v>
      </c>
    </row>
    <row r="2094" spans="1:11" x14ac:dyDescent="0.2">
      <c r="A2094" t="s">
        <v>7643</v>
      </c>
      <c r="B2094" t="s">
        <v>7644</v>
      </c>
      <c r="C2094" t="s">
        <v>7645</v>
      </c>
      <c r="D2094" t="s">
        <v>7646</v>
      </c>
      <c r="E2094" t="s">
        <v>7647</v>
      </c>
      <c r="F2094" s="2">
        <v>52554895</v>
      </c>
      <c r="G2094" s="2">
        <v>134150628</v>
      </c>
      <c r="H2094" t="s">
        <v>51</v>
      </c>
      <c r="I2094" t="s">
        <v>17</v>
      </c>
      <c r="J2094" t="s">
        <v>25</v>
      </c>
      <c r="K2094" t="s">
        <v>7648</v>
      </c>
    </row>
    <row r="2095" spans="1:11" x14ac:dyDescent="0.2">
      <c r="A2095" t="s">
        <v>7649</v>
      </c>
      <c r="B2095" t="s">
        <v>7650</v>
      </c>
      <c r="C2095" t="s">
        <v>7651</v>
      </c>
      <c r="E2095" t="s">
        <v>7652</v>
      </c>
      <c r="F2095" s="2">
        <v>525017925</v>
      </c>
      <c r="G2095" s="2">
        <v>133556773</v>
      </c>
      <c r="H2095" t="s">
        <v>38</v>
      </c>
      <c r="I2095" t="s">
        <v>17</v>
      </c>
      <c r="J2095" t="s">
        <v>25</v>
      </c>
    </row>
    <row r="2096" spans="1:11" x14ac:dyDescent="0.2">
      <c r="A2096" t="s">
        <v>7653</v>
      </c>
      <c r="B2096" t="s">
        <v>7654</v>
      </c>
      <c r="F2096" s="2">
        <v>524955607</v>
      </c>
      <c r="G2096" s="2">
        <v>133608655</v>
      </c>
      <c r="H2096" t="s">
        <v>28</v>
      </c>
      <c r="I2096" t="s">
        <v>17</v>
      </c>
      <c r="J2096" t="s">
        <v>25</v>
      </c>
    </row>
    <row r="2097" spans="1:11" x14ac:dyDescent="0.2">
      <c r="A2097" t="s">
        <v>7655</v>
      </c>
      <c r="B2097" t="s">
        <v>7656</v>
      </c>
      <c r="E2097" t="s">
        <v>7657</v>
      </c>
      <c r="F2097" s="2">
        <v>524873014</v>
      </c>
      <c r="G2097" s="2">
        <v>133263957</v>
      </c>
      <c r="H2097" t="s">
        <v>34</v>
      </c>
      <c r="I2097" t="s">
        <v>17</v>
      </c>
      <c r="J2097" t="s">
        <v>25</v>
      </c>
    </row>
    <row r="2098" spans="1:11" x14ac:dyDescent="0.2">
      <c r="A2098" t="s">
        <v>7658</v>
      </c>
      <c r="B2098" t="s">
        <v>7659</v>
      </c>
      <c r="C2098" t="s">
        <v>7660</v>
      </c>
      <c r="E2098" t="s">
        <v>7661</v>
      </c>
      <c r="F2098" s="2">
        <v>524985555</v>
      </c>
      <c r="G2098" s="2">
        <v>133572782</v>
      </c>
      <c r="H2098" t="s">
        <v>277</v>
      </c>
      <c r="I2098" t="s">
        <v>17</v>
      </c>
      <c r="J2098" t="s">
        <v>25</v>
      </c>
      <c r="K2098" t="s">
        <v>7662</v>
      </c>
    </row>
    <row r="2099" spans="1:11" x14ac:dyDescent="0.2">
      <c r="A2099" t="s">
        <v>7663</v>
      </c>
      <c r="B2099" t="s">
        <v>7664</v>
      </c>
      <c r="C2099" t="s">
        <v>7665</v>
      </c>
      <c r="D2099" t="s">
        <v>7666</v>
      </c>
      <c r="E2099" t="s">
        <v>7667</v>
      </c>
      <c r="F2099" s="2">
        <v>524869025</v>
      </c>
      <c r="G2099" s="2">
        <v>133549685</v>
      </c>
      <c r="H2099" t="s">
        <v>51</v>
      </c>
      <c r="I2099" t="s">
        <v>17</v>
      </c>
      <c r="J2099" t="s">
        <v>25</v>
      </c>
      <c r="K2099" t="s">
        <v>7668</v>
      </c>
    </row>
    <row r="2100" spans="1:11" x14ac:dyDescent="0.2">
      <c r="A2100" t="s">
        <v>7669</v>
      </c>
      <c r="B2100" t="s">
        <v>7670</v>
      </c>
      <c r="E2100">
        <v>4915750859998</v>
      </c>
      <c r="F2100" s="2">
        <v>524767413</v>
      </c>
      <c r="G2100" s="2">
        <v>134243357</v>
      </c>
      <c r="H2100" t="s">
        <v>34</v>
      </c>
      <c r="I2100" t="s">
        <v>17</v>
      </c>
      <c r="J2100" t="s">
        <v>25</v>
      </c>
    </row>
    <row r="2101" spans="1:11" x14ac:dyDescent="0.2">
      <c r="A2101" t="s">
        <v>7671</v>
      </c>
      <c r="B2101" t="s">
        <v>7672</v>
      </c>
      <c r="E2101" t="s">
        <v>7673</v>
      </c>
      <c r="F2101" s="2">
        <v>525193112</v>
      </c>
      <c r="G2101" s="2">
        <v>134330894</v>
      </c>
      <c r="H2101" t="s">
        <v>34</v>
      </c>
      <c r="I2101" t="s">
        <v>17</v>
      </c>
      <c r="J2101" t="s">
        <v>25</v>
      </c>
    </row>
    <row r="2102" spans="1:11" x14ac:dyDescent="0.2">
      <c r="A2102" t="s">
        <v>7674</v>
      </c>
      <c r="B2102" t="s">
        <v>7675</v>
      </c>
      <c r="F2102" s="2">
        <v>524943488</v>
      </c>
      <c r="G2102" s="2">
        <v>134209105</v>
      </c>
      <c r="H2102" t="s">
        <v>28</v>
      </c>
      <c r="I2102" t="s">
        <v>17</v>
      </c>
      <c r="J2102" t="s">
        <v>25</v>
      </c>
    </row>
    <row r="2103" spans="1:11" x14ac:dyDescent="0.2">
      <c r="A2103" t="s">
        <v>7676</v>
      </c>
      <c r="F2103" s="2">
        <v>524937709</v>
      </c>
      <c r="G2103" s="2">
        <v>134213421</v>
      </c>
      <c r="H2103" t="s">
        <v>28</v>
      </c>
      <c r="I2103" t="s">
        <v>17</v>
      </c>
      <c r="J2103" t="s">
        <v>25</v>
      </c>
    </row>
    <row r="2104" spans="1:11" x14ac:dyDescent="0.2">
      <c r="A2104" t="s">
        <v>7677</v>
      </c>
      <c r="B2104" t="s">
        <v>7678</v>
      </c>
      <c r="C2104" t="s">
        <v>7679</v>
      </c>
      <c r="D2104" t="s">
        <v>7680</v>
      </c>
      <c r="E2104" t="s">
        <v>7681</v>
      </c>
      <c r="F2104" s="2">
        <v>525192414</v>
      </c>
      <c r="G2104" s="2">
        <v>133650096</v>
      </c>
      <c r="H2104" t="s">
        <v>51</v>
      </c>
      <c r="I2104" t="s">
        <v>17</v>
      </c>
      <c r="J2104" t="s">
        <v>25</v>
      </c>
      <c r="K2104" t="s">
        <v>7682</v>
      </c>
    </row>
    <row r="2105" spans="1:11" x14ac:dyDescent="0.2">
      <c r="A2105" t="s">
        <v>7683</v>
      </c>
      <c r="B2105" t="s">
        <v>7684</v>
      </c>
      <c r="F2105" s="2">
        <v>524626198</v>
      </c>
      <c r="G2105" s="2">
        <v>135150369</v>
      </c>
      <c r="H2105" t="s">
        <v>28</v>
      </c>
      <c r="I2105" t="s">
        <v>17</v>
      </c>
      <c r="J2105" t="s">
        <v>25</v>
      </c>
    </row>
    <row r="2106" spans="1:11" x14ac:dyDescent="0.2">
      <c r="A2106" t="s">
        <v>7685</v>
      </c>
      <c r="B2106" t="s">
        <v>3142</v>
      </c>
      <c r="C2106" t="s">
        <v>7686</v>
      </c>
      <c r="F2106" s="2">
        <v>525328399</v>
      </c>
      <c r="G2106" s="2">
        <v>134208968</v>
      </c>
      <c r="H2106" t="s">
        <v>255</v>
      </c>
      <c r="I2106" t="s">
        <v>17</v>
      </c>
      <c r="J2106" t="s">
        <v>25</v>
      </c>
    </row>
    <row r="2107" spans="1:11" x14ac:dyDescent="0.2">
      <c r="A2107" t="s">
        <v>7687</v>
      </c>
      <c r="B2107" t="s">
        <v>7688</v>
      </c>
      <c r="C2107" t="s">
        <v>7689</v>
      </c>
      <c r="E2107" t="s">
        <v>7690</v>
      </c>
      <c r="F2107" s="2">
        <v>525397424</v>
      </c>
      <c r="G2107" s="2">
        <v>134190349</v>
      </c>
      <c r="H2107" t="s">
        <v>38</v>
      </c>
      <c r="I2107" t="s">
        <v>17</v>
      </c>
      <c r="J2107" t="s">
        <v>25</v>
      </c>
    </row>
    <row r="2108" spans="1:11" x14ac:dyDescent="0.2">
      <c r="A2108" t="s">
        <v>7691</v>
      </c>
      <c r="B2108" t="s">
        <v>7692</v>
      </c>
      <c r="C2108" t="s">
        <v>7693</v>
      </c>
      <c r="D2108" t="s">
        <v>7694</v>
      </c>
      <c r="E2108" t="s">
        <v>7695</v>
      </c>
      <c r="F2108" s="2">
        <v>52513198</v>
      </c>
      <c r="G2108" s="2">
        <v>134584588</v>
      </c>
      <c r="H2108" t="s">
        <v>51</v>
      </c>
      <c r="I2108" t="s">
        <v>17</v>
      </c>
      <c r="J2108" t="s">
        <v>25</v>
      </c>
      <c r="K2108" t="s">
        <v>7696</v>
      </c>
    </row>
    <row r="2109" spans="1:11" x14ac:dyDescent="0.2">
      <c r="A2109" t="s">
        <v>7697</v>
      </c>
      <c r="C2109" t="s">
        <v>7698</v>
      </c>
      <c r="F2109" s="2">
        <v>525057055</v>
      </c>
      <c r="G2109" s="2">
        <v>133212191</v>
      </c>
      <c r="H2109" t="s">
        <v>255</v>
      </c>
      <c r="I2109" t="s">
        <v>17</v>
      </c>
      <c r="J2109" t="s">
        <v>25</v>
      </c>
    </row>
    <row r="2110" spans="1:11" x14ac:dyDescent="0.2">
      <c r="A2110" t="s">
        <v>7699</v>
      </c>
      <c r="B2110" t="s">
        <v>7700</v>
      </c>
      <c r="C2110" t="s">
        <v>7701</v>
      </c>
      <c r="E2110" t="s">
        <v>7702</v>
      </c>
      <c r="F2110" s="2">
        <v>524706321</v>
      </c>
      <c r="G2110" s="2">
        <v>134937322</v>
      </c>
      <c r="H2110" t="s">
        <v>38</v>
      </c>
      <c r="I2110" t="s">
        <v>17</v>
      </c>
      <c r="J2110" t="s">
        <v>25</v>
      </c>
    </row>
    <row r="2111" spans="1:11" x14ac:dyDescent="0.2">
      <c r="A2111" t="s">
        <v>7703</v>
      </c>
      <c r="B2111" t="s">
        <v>7704</v>
      </c>
      <c r="C2111" t="s">
        <v>7705</v>
      </c>
      <c r="D2111" t="s">
        <v>7706</v>
      </c>
      <c r="F2111" s="2">
        <v>524670335</v>
      </c>
      <c r="G2111" s="2">
        <v>133077338</v>
      </c>
      <c r="H2111" t="s">
        <v>304</v>
      </c>
      <c r="I2111" t="s">
        <v>17</v>
      </c>
      <c r="J2111" t="s">
        <v>25</v>
      </c>
      <c r="K2111" t="s">
        <v>7707</v>
      </c>
    </row>
    <row r="2112" spans="1:11" x14ac:dyDescent="0.2">
      <c r="A2112" t="s">
        <v>7708</v>
      </c>
      <c r="B2112" t="s">
        <v>7709</v>
      </c>
      <c r="C2112" t="s">
        <v>7710</v>
      </c>
      <c r="F2112" s="2">
        <v>524574255</v>
      </c>
      <c r="G2112" s="2">
        <v>13533528</v>
      </c>
      <c r="H2112" t="s">
        <v>255</v>
      </c>
      <c r="I2112" t="s">
        <v>17</v>
      </c>
      <c r="J2112" t="s">
        <v>25</v>
      </c>
    </row>
    <row r="2113" spans="1:11" x14ac:dyDescent="0.2">
      <c r="A2113" t="s">
        <v>7711</v>
      </c>
      <c r="B2113" t="s">
        <v>7712</v>
      </c>
      <c r="F2113" s="2">
        <v>525218041</v>
      </c>
      <c r="G2113" s="2">
        <v>134035735</v>
      </c>
      <c r="H2113" t="s">
        <v>28</v>
      </c>
      <c r="I2113" t="s">
        <v>17</v>
      </c>
      <c r="J2113" t="s">
        <v>25</v>
      </c>
    </row>
    <row r="2114" spans="1:11" x14ac:dyDescent="0.2">
      <c r="A2114" t="s">
        <v>7713</v>
      </c>
      <c r="B2114" t="s">
        <v>7714</v>
      </c>
      <c r="F2114" s="2">
        <v>525139777</v>
      </c>
      <c r="G2114" s="2">
        <v>133047276</v>
      </c>
      <c r="H2114" t="s">
        <v>28</v>
      </c>
      <c r="I2114" t="s">
        <v>17</v>
      </c>
      <c r="J2114" t="s">
        <v>25</v>
      </c>
    </row>
    <row r="2115" spans="1:11" x14ac:dyDescent="0.2">
      <c r="A2115" t="s">
        <v>7715</v>
      </c>
      <c r="B2115" t="s">
        <v>7716</v>
      </c>
      <c r="E2115" t="s">
        <v>7717</v>
      </c>
      <c r="F2115" s="2">
        <v>525153125</v>
      </c>
      <c r="G2115" s="2">
        <v>13306501</v>
      </c>
      <c r="H2115" t="s">
        <v>34</v>
      </c>
      <c r="I2115" t="s">
        <v>17</v>
      </c>
      <c r="J2115" t="s">
        <v>25</v>
      </c>
    </row>
    <row r="2116" spans="1:11" x14ac:dyDescent="0.2">
      <c r="A2116" t="s">
        <v>7718</v>
      </c>
      <c r="B2116" t="s">
        <v>7719</v>
      </c>
      <c r="C2116" t="s">
        <v>7720</v>
      </c>
      <c r="F2116" s="2">
        <v>525564058</v>
      </c>
      <c r="G2116" s="2">
        <v>133732037</v>
      </c>
      <c r="H2116" t="s">
        <v>255</v>
      </c>
      <c r="I2116" t="s">
        <v>17</v>
      </c>
      <c r="J2116" t="s">
        <v>25</v>
      </c>
    </row>
    <row r="2117" spans="1:11" x14ac:dyDescent="0.2">
      <c r="A2117" t="s">
        <v>7721</v>
      </c>
      <c r="B2117" t="s">
        <v>7722</v>
      </c>
      <c r="C2117" t="s">
        <v>7723</v>
      </c>
      <c r="D2117" t="s">
        <v>7724</v>
      </c>
      <c r="E2117" t="s">
        <v>7725</v>
      </c>
      <c r="F2117" s="2">
        <v>524598109</v>
      </c>
      <c r="G2117" s="2">
        <v>133220521</v>
      </c>
      <c r="H2117" t="s">
        <v>24</v>
      </c>
      <c r="I2117" t="s">
        <v>17</v>
      </c>
      <c r="J2117" t="s">
        <v>25</v>
      </c>
    </row>
    <row r="2118" spans="1:11" x14ac:dyDescent="0.2">
      <c r="A2118" t="s">
        <v>7726</v>
      </c>
      <c r="B2118" t="s">
        <v>7727</v>
      </c>
      <c r="C2118" t="s">
        <v>7728</v>
      </c>
      <c r="F2118" s="2">
        <v>524742237</v>
      </c>
      <c r="G2118" s="2">
        <v>134495616</v>
      </c>
      <c r="H2118" t="s">
        <v>255</v>
      </c>
      <c r="I2118" t="s">
        <v>17</v>
      </c>
      <c r="J2118" t="s">
        <v>25</v>
      </c>
    </row>
    <row r="2119" spans="1:11" x14ac:dyDescent="0.2">
      <c r="A2119" t="s">
        <v>7729</v>
      </c>
      <c r="B2119" t="s">
        <v>7730</v>
      </c>
      <c r="F2119" s="2">
        <v>525271114</v>
      </c>
      <c r="G2119" s="2">
        <v>133855709</v>
      </c>
      <c r="H2119" t="s">
        <v>28</v>
      </c>
      <c r="I2119" t="s">
        <v>17</v>
      </c>
      <c r="J2119" t="s">
        <v>25</v>
      </c>
    </row>
    <row r="2120" spans="1:11" x14ac:dyDescent="0.2">
      <c r="A2120" t="s">
        <v>7731</v>
      </c>
      <c r="F2120" s="2">
        <v>525568415</v>
      </c>
      <c r="G2120" s="2">
        <v>132038895</v>
      </c>
      <c r="H2120" t="s">
        <v>28</v>
      </c>
      <c r="I2120" t="s">
        <v>17</v>
      </c>
      <c r="J2120" t="s">
        <v>25</v>
      </c>
    </row>
    <row r="2121" spans="1:11" x14ac:dyDescent="0.2">
      <c r="A2121" t="s">
        <v>7732</v>
      </c>
      <c r="B2121" t="s">
        <v>7733</v>
      </c>
      <c r="C2121" t="s">
        <v>7734</v>
      </c>
      <c r="F2121" s="2">
        <v>525387221</v>
      </c>
      <c r="G2121" s="2">
        <v>132060345</v>
      </c>
      <c r="H2121" t="s">
        <v>255</v>
      </c>
      <c r="I2121" t="s">
        <v>17</v>
      </c>
      <c r="J2121" t="s">
        <v>25</v>
      </c>
    </row>
    <row r="2122" spans="1:11" x14ac:dyDescent="0.2">
      <c r="A2122" t="s">
        <v>7735</v>
      </c>
      <c r="B2122" t="s">
        <v>7736</v>
      </c>
      <c r="F2122" s="2">
        <v>525471245</v>
      </c>
      <c r="G2122" s="2">
        <v>134087249</v>
      </c>
      <c r="H2122" t="s">
        <v>28</v>
      </c>
      <c r="I2122" t="s">
        <v>17</v>
      </c>
      <c r="J2122" t="s">
        <v>25</v>
      </c>
    </row>
    <row r="2123" spans="1:11" x14ac:dyDescent="0.2">
      <c r="A2123" t="s">
        <v>7737</v>
      </c>
      <c r="B2123" t="s">
        <v>7738</v>
      </c>
      <c r="C2123" t="s">
        <v>7739</v>
      </c>
      <c r="E2123" t="s">
        <v>7740</v>
      </c>
      <c r="F2123" s="2">
        <v>524771925</v>
      </c>
      <c r="G2123" s="2">
        <v>134411001</v>
      </c>
      <c r="H2123" t="s">
        <v>38</v>
      </c>
      <c r="I2123" t="s">
        <v>17</v>
      </c>
      <c r="J2123" t="s">
        <v>25</v>
      </c>
    </row>
    <row r="2124" spans="1:11" x14ac:dyDescent="0.2">
      <c r="A2124" t="s">
        <v>7741</v>
      </c>
      <c r="B2124" t="s">
        <v>7742</v>
      </c>
      <c r="C2124" t="s">
        <v>7743</v>
      </c>
      <c r="D2124" t="s">
        <v>7744</v>
      </c>
      <c r="E2124">
        <v>493030881587</v>
      </c>
      <c r="F2124" s="2">
        <v>525311486</v>
      </c>
      <c r="G2124" s="2">
        <v>133847504</v>
      </c>
      <c r="H2124" t="s">
        <v>51</v>
      </c>
      <c r="I2124" t="s">
        <v>17</v>
      </c>
      <c r="J2124" t="s">
        <v>25</v>
      </c>
      <c r="K2124" t="s">
        <v>7745</v>
      </c>
    </row>
    <row r="2125" spans="1:11" x14ac:dyDescent="0.2">
      <c r="A2125" t="s">
        <v>7746</v>
      </c>
      <c r="F2125" s="2">
        <v>525299094</v>
      </c>
      <c r="G2125" s="2">
        <v>136431324</v>
      </c>
      <c r="H2125" t="s">
        <v>28</v>
      </c>
      <c r="I2125" t="s">
        <v>17</v>
      </c>
      <c r="J2125" t="s">
        <v>25</v>
      </c>
    </row>
    <row r="2126" spans="1:11" x14ac:dyDescent="0.2">
      <c r="A2126" t="s">
        <v>7747</v>
      </c>
      <c r="F2126" s="2">
        <v>525122126</v>
      </c>
      <c r="G2126" s="2">
        <v>134601725</v>
      </c>
      <c r="H2126" t="s">
        <v>28</v>
      </c>
      <c r="I2126" t="s">
        <v>17</v>
      </c>
      <c r="J2126" t="s">
        <v>25</v>
      </c>
    </row>
    <row r="2127" spans="1:11" x14ac:dyDescent="0.2">
      <c r="A2127" t="s">
        <v>7748</v>
      </c>
      <c r="B2127" t="s">
        <v>7749</v>
      </c>
      <c r="C2127" t="s">
        <v>7750</v>
      </c>
      <c r="D2127" t="s">
        <v>7751</v>
      </c>
      <c r="F2127" s="2">
        <v>52500258</v>
      </c>
      <c r="G2127" s="2">
        <v>134192819</v>
      </c>
      <c r="H2127" t="s">
        <v>24</v>
      </c>
      <c r="I2127" t="s">
        <v>17</v>
      </c>
      <c r="J2127" t="s">
        <v>25</v>
      </c>
    </row>
    <row r="2128" spans="1:11" x14ac:dyDescent="0.2">
      <c r="A2128" t="s">
        <v>7752</v>
      </c>
      <c r="B2128" t="s">
        <v>7753</v>
      </c>
      <c r="F2128" s="2">
        <v>525075711</v>
      </c>
      <c r="G2128" s="2">
        <v>134146683</v>
      </c>
      <c r="H2128" t="s">
        <v>28</v>
      </c>
      <c r="I2128" t="s">
        <v>17</v>
      </c>
      <c r="J2128" t="s">
        <v>25</v>
      </c>
    </row>
    <row r="2129" spans="1:11" x14ac:dyDescent="0.2">
      <c r="A2129" t="s">
        <v>7754</v>
      </c>
      <c r="B2129" t="s">
        <v>7755</v>
      </c>
      <c r="C2129" t="s">
        <v>7756</v>
      </c>
      <c r="F2129" s="2">
        <v>524982715</v>
      </c>
      <c r="G2129" s="2">
        <v>134253269</v>
      </c>
      <c r="H2129" t="s">
        <v>3120</v>
      </c>
      <c r="I2129" t="s">
        <v>17</v>
      </c>
      <c r="J2129" t="s">
        <v>25</v>
      </c>
      <c r="K2129" t="s">
        <v>7757</v>
      </c>
    </row>
    <row r="2130" spans="1:11" x14ac:dyDescent="0.2">
      <c r="A2130" t="s">
        <v>7758</v>
      </c>
      <c r="B2130" t="s">
        <v>7759</v>
      </c>
      <c r="F2130" s="2">
        <v>525052206</v>
      </c>
      <c r="G2130" s="2">
        <v>133232447</v>
      </c>
      <c r="H2130" t="s">
        <v>28</v>
      </c>
      <c r="I2130" t="s">
        <v>17</v>
      </c>
      <c r="J2130" t="s">
        <v>25</v>
      </c>
    </row>
    <row r="2131" spans="1:11" x14ac:dyDescent="0.2">
      <c r="A2131" t="s">
        <v>7760</v>
      </c>
      <c r="B2131" t="s">
        <v>7761</v>
      </c>
      <c r="C2131" t="s">
        <v>7762</v>
      </c>
      <c r="E2131" t="s">
        <v>7763</v>
      </c>
      <c r="F2131" s="2">
        <v>525582891</v>
      </c>
      <c r="G2131" s="2">
        <v>133802587</v>
      </c>
      <c r="H2131" t="s">
        <v>38</v>
      </c>
      <c r="I2131" t="s">
        <v>17</v>
      </c>
      <c r="J2131" t="s">
        <v>25</v>
      </c>
    </row>
    <row r="2132" spans="1:11" x14ac:dyDescent="0.2">
      <c r="A2132" t="s">
        <v>7764</v>
      </c>
      <c r="B2132" t="s">
        <v>7765</v>
      </c>
      <c r="F2132" s="2">
        <v>5255787</v>
      </c>
      <c r="G2132" s="2">
        <v>133860523</v>
      </c>
      <c r="H2132" t="s">
        <v>28</v>
      </c>
      <c r="I2132" t="s">
        <v>17</v>
      </c>
      <c r="J2132" t="s">
        <v>25</v>
      </c>
    </row>
    <row r="2133" spans="1:11" x14ac:dyDescent="0.2">
      <c r="A2133" t="s">
        <v>7766</v>
      </c>
      <c r="B2133" t="s">
        <v>7767</v>
      </c>
      <c r="C2133" t="s">
        <v>7768</v>
      </c>
      <c r="D2133" t="s">
        <v>7769</v>
      </c>
      <c r="F2133" s="2">
        <v>525568972</v>
      </c>
      <c r="G2133" s="2">
        <v>133852772</v>
      </c>
      <c r="H2133" t="s">
        <v>51</v>
      </c>
      <c r="I2133" t="s">
        <v>17</v>
      </c>
      <c r="J2133" t="s">
        <v>25</v>
      </c>
      <c r="K2133" t="s">
        <v>7770</v>
      </c>
    </row>
    <row r="2134" spans="1:11" x14ac:dyDescent="0.2">
      <c r="A2134" t="s">
        <v>7771</v>
      </c>
      <c r="B2134" t="s">
        <v>7772</v>
      </c>
      <c r="F2134" s="2">
        <v>524900157</v>
      </c>
      <c r="G2134" s="2">
        <v>133606738</v>
      </c>
      <c r="H2134" t="s">
        <v>28</v>
      </c>
      <c r="I2134" t="s">
        <v>17</v>
      </c>
      <c r="J2134" t="s">
        <v>25</v>
      </c>
    </row>
    <row r="2135" spans="1:11" x14ac:dyDescent="0.2">
      <c r="A2135" t="s">
        <v>7773</v>
      </c>
      <c r="B2135" t="s">
        <v>7774</v>
      </c>
      <c r="C2135" t="s">
        <v>7775</v>
      </c>
      <c r="E2135" t="s">
        <v>7776</v>
      </c>
      <c r="F2135" s="2">
        <v>524868741</v>
      </c>
      <c r="G2135" s="2">
        <v>133575433</v>
      </c>
      <c r="H2135" t="s">
        <v>38</v>
      </c>
      <c r="I2135" t="s">
        <v>17</v>
      </c>
      <c r="J2135" t="s">
        <v>25</v>
      </c>
    </row>
    <row r="2136" spans="1:11" x14ac:dyDescent="0.2">
      <c r="A2136" t="s">
        <v>7777</v>
      </c>
      <c r="F2136" s="2">
        <v>52494907</v>
      </c>
      <c r="G2136" s="2">
        <v>13379889</v>
      </c>
      <c r="H2136" t="s">
        <v>28</v>
      </c>
      <c r="I2136" t="s">
        <v>17</v>
      </c>
      <c r="J2136" t="s">
        <v>25</v>
      </c>
    </row>
    <row r="2137" spans="1:11" x14ac:dyDescent="0.2">
      <c r="A2137" t="s">
        <v>7778</v>
      </c>
      <c r="B2137" t="s">
        <v>7779</v>
      </c>
      <c r="C2137" t="s">
        <v>7780</v>
      </c>
      <c r="E2137" t="s">
        <v>7781</v>
      </c>
      <c r="F2137" s="2">
        <v>524727395</v>
      </c>
      <c r="G2137" s="2">
        <v>133370918</v>
      </c>
      <c r="H2137" t="s">
        <v>38</v>
      </c>
      <c r="I2137" t="s">
        <v>17</v>
      </c>
      <c r="J2137" t="s">
        <v>25</v>
      </c>
    </row>
    <row r="2138" spans="1:11" x14ac:dyDescent="0.2">
      <c r="A2138" t="s">
        <v>7782</v>
      </c>
      <c r="B2138" t="s">
        <v>7783</v>
      </c>
      <c r="F2138" s="2">
        <v>525085171</v>
      </c>
      <c r="G2138" s="2">
        <v>134520739</v>
      </c>
      <c r="H2138" t="s">
        <v>28</v>
      </c>
      <c r="I2138" t="s">
        <v>17</v>
      </c>
      <c r="J2138" t="s">
        <v>25</v>
      </c>
    </row>
    <row r="2139" spans="1:11" x14ac:dyDescent="0.2">
      <c r="A2139" t="s">
        <v>7784</v>
      </c>
      <c r="B2139" t="s">
        <v>7785</v>
      </c>
      <c r="F2139" s="2">
        <v>524667251</v>
      </c>
      <c r="G2139" s="2">
        <v>133299161</v>
      </c>
      <c r="H2139" t="s">
        <v>28</v>
      </c>
      <c r="I2139" t="s">
        <v>17</v>
      </c>
      <c r="J2139" t="s">
        <v>25</v>
      </c>
    </row>
    <row r="2140" spans="1:11" x14ac:dyDescent="0.2">
      <c r="A2140" t="s">
        <v>7786</v>
      </c>
      <c r="B2140" t="s">
        <v>7787</v>
      </c>
      <c r="E2140" t="s">
        <v>7788</v>
      </c>
      <c r="F2140" s="2">
        <v>524900786</v>
      </c>
      <c r="G2140" s="2">
        <v>133520191</v>
      </c>
      <c r="H2140" t="s">
        <v>34</v>
      </c>
      <c r="I2140" t="s">
        <v>17</v>
      </c>
      <c r="J2140" t="s">
        <v>25</v>
      </c>
    </row>
    <row r="2141" spans="1:11" x14ac:dyDescent="0.2">
      <c r="A2141" t="s">
        <v>7789</v>
      </c>
      <c r="B2141" t="s">
        <v>7790</v>
      </c>
      <c r="C2141" t="s">
        <v>7791</v>
      </c>
      <c r="D2141" t="s">
        <v>7792</v>
      </c>
      <c r="F2141" s="2">
        <v>524901206</v>
      </c>
      <c r="G2141" s="2">
        <v>133564915</v>
      </c>
      <c r="H2141" t="s">
        <v>304</v>
      </c>
      <c r="I2141" t="s">
        <v>17</v>
      </c>
      <c r="J2141" t="s">
        <v>25</v>
      </c>
      <c r="K2141" t="s">
        <v>7793</v>
      </c>
    </row>
    <row r="2142" spans="1:11" x14ac:dyDescent="0.2">
      <c r="A2142" t="s">
        <v>7794</v>
      </c>
      <c r="B2142" t="s">
        <v>7795</v>
      </c>
      <c r="E2142" t="s">
        <v>7796</v>
      </c>
      <c r="F2142" s="2">
        <v>525128739</v>
      </c>
      <c r="G2142" s="2">
        <v>134492301</v>
      </c>
      <c r="H2142" t="s">
        <v>34</v>
      </c>
      <c r="I2142" t="s">
        <v>17</v>
      </c>
      <c r="J2142" t="s">
        <v>25</v>
      </c>
    </row>
    <row r="2143" spans="1:11" x14ac:dyDescent="0.2">
      <c r="A2143" t="s">
        <v>7797</v>
      </c>
      <c r="B2143" t="s">
        <v>7798</v>
      </c>
      <c r="C2143" t="s">
        <v>7799</v>
      </c>
      <c r="D2143" t="s">
        <v>7800</v>
      </c>
      <c r="E2143" t="s">
        <v>7801</v>
      </c>
      <c r="F2143" s="2">
        <v>524706455</v>
      </c>
      <c r="G2143" s="2">
        <v>133202423</v>
      </c>
      <c r="H2143" t="s">
        <v>24</v>
      </c>
      <c r="I2143" t="s">
        <v>17</v>
      </c>
      <c r="J2143" t="s">
        <v>25</v>
      </c>
    </row>
    <row r="2144" spans="1:11" x14ac:dyDescent="0.2">
      <c r="A2144" t="s">
        <v>7802</v>
      </c>
      <c r="B2144" t="s">
        <v>7803</v>
      </c>
      <c r="C2144" t="s">
        <v>7804</v>
      </c>
      <c r="E2144" t="s">
        <v>7805</v>
      </c>
      <c r="F2144" s="2">
        <v>525272355</v>
      </c>
      <c r="G2144" s="2">
        <v>133886032</v>
      </c>
      <c r="H2144" t="s">
        <v>38</v>
      </c>
      <c r="I2144" t="s">
        <v>17</v>
      </c>
      <c r="J2144" t="s">
        <v>25</v>
      </c>
    </row>
    <row r="2145" spans="1:11" x14ac:dyDescent="0.2">
      <c r="A2145" t="s">
        <v>7806</v>
      </c>
      <c r="F2145" s="2">
        <v>525632924</v>
      </c>
      <c r="G2145" s="2">
        <v>133276032</v>
      </c>
      <c r="H2145" t="s">
        <v>28</v>
      </c>
      <c r="I2145" t="s">
        <v>17</v>
      </c>
      <c r="J2145" t="s">
        <v>25</v>
      </c>
    </row>
    <row r="2146" spans="1:11" x14ac:dyDescent="0.2">
      <c r="A2146" t="s">
        <v>7807</v>
      </c>
      <c r="B2146" t="s">
        <v>7808</v>
      </c>
      <c r="C2146" t="s">
        <v>7809</v>
      </c>
      <c r="E2146" t="s">
        <v>7810</v>
      </c>
      <c r="F2146" s="2">
        <v>525264422</v>
      </c>
      <c r="G2146" s="2">
        <v>133869757</v>
      </c>
      <c r="H2146" t="s">
        <v>38</v>
      </c>
      <c r="I2146" t="s">
        <v>17</v>
      </c>
      <c r="J2146" t="s">
        <v>25</v>
      </c>
    </row>
    <row r="2147" spans="1:11" x14ac:dyDescent="0.2">
      <c r="A2147" t="s">
        <v>7811</v>
      </c>
      <c r="B2147" t="s">
        <v>7812</v>
      </c>
      <c r="C2147" t="s">
        <v>7813</v>
      </c>
      <c r="E2147" t="s">
        <v>7814</v>
      </c>
      <c r="F2147" s="2">
        <v>524885827</v>
      </c>
      <c r="G2147" s="2">
        <v>133421181</v>
      </c>
      <c r="H2147" t="s">
        <v>38</v>
      </c>
      <c r="I2147" t="s">
        <v>17</v>
      </c>
      <c r="J2147" t="s">
        <v>25</v>
      </c>
    </row>
    <row r="2148" spans="1:11" x14ac:dyDescent="0.2">
      <c r="A2148" t="s">
        <v>7815</v>
      </c>
      <c r="B2148" t="s">
        <v>7816</v>
      </c>
      <c r="C2148" t="s">
        <v>7817</v>
      </c>
      <c r="D2148" t="s">
        <v>7818</v>
      </c>
      <c r="E2148" t="s">
        <v>7819</v>
      </c>
      <c r="F2148" s="2">
        <v>524523278</v>
      </c>
      <c r="G2148" s="2">
        <v>133200354</v>
      </c>
      <c r="H2148" t="s">
        <v>24</v>
      </c>
      <c r="I2148" t="s">
        <v>17</v>
      </c>
      <c r="J2148" t="s">
        <v>25</v>
      </c>
    </row>
    <row r="2149" spans="1:11" x14ac:dyDescent="0.2">
      <c r="A2149" t="s">
        <v>7820</v>
      </c>
      <c r="B2149" t="s">
        <v>7821</v>
      </c>
      <c r="F2149" s="2">
        <v>525025853</v>
      </c>
      <c r="G2149" s="2">
        <v>133076953</v>
      </c>
      <c r="H2149" t="s">
        <v>28</v>
      </c>
      <c r="I2149" t="s">
        <v>17</v>
      </c>
      <c r="J2149" t="s">
        <v>25</v>
      </c>
    </row>
    <row r="2150" spans="1:11" x14ac:dyDescent="0.2">
      <c r="A2150" t="s">
        <v>7822</v>
      </c>
      <c r="B2150" t="s">
        <v>7823</v>
      </c>
      <c r="C2150" t="s">
        <v>7824</v>
      </c>
      <c r="E2150" t="s">
        <v>7825</v>
      </c>
      <c r="F2150" s="2">
        <v>525069578</v>
      </c>
      <c r="G2150" s="2">
        <v>132978167</v>
      </c>
      <c r="H2150" t="s">
        <v>38</v>
      </c>
      <c r="I2150" t="s">
        <v>17</v>
      </c>
      <c r="J2150" t="s">
        <v>25</v>
      </c>
    </row>
    <row r="2151" spans="1:11" x14ac:dyDescent="0.2">
      <c r="A2151" t="s">
        <v>7826</v>
      </c>
      <c r="B2151" t="s">
        <v>7827</v>
      </c>
      <c r="C2151" t="s">
        <v>7828</v>
      </c>
      <c r="D2151" t="s">
        <v>7829</v>
      </c>
      <c r="E2151" t="s">
        <v>7830</v>
      </c>
      <c r="F2151" s="2">
        <v>524949854</v>
      </c>
      <c r="G2151" s="2">
        <v>133342276</v>
      </c>
      <c r="H2151" t="s">
        <v>24</v>
      </c>
      <c r="I2151" t="s">
        <v>17</v>
      </c>
      <c r="J2151" t="s">
        <v>25</v>
      </c>
    </row>
    <row r="2152" spans="1:11" x14ac:dyDescent="0.2">
      <c r="A2152" t="s">
        <v>7831</v>
      </c>
      <c r="B2152" t="s">
        <v>7832</v>
      </c>
      <c r="C2152" t="s">
        <v>7833</v>
      </c>
      <c r="D2152" t="s">
        <v>7834</v>
      </c>
      <c r="E2152" t="s">
        <v>7835</v>
      </c>
      <c r="F2152" s="2">
        <v>524947391</v>
      </c>
      <c r="G2152" s="2">
        <v>133383845</v>
      </c>
      <c r="H2152" t="s">
        <v>51</v>
      </c>
      <c r="I2152" t="s">
        <v>17</v>
      </c>
      <c r="J2152" t="s">
        <v>25</v>
      </c>
      <c r="K2152" t="s">
        <v>7836</v>
      </c>
    </row>
    <row r="2153" spans="1:11" x14ac:dyDescent="0.2">
      <c r="A2153" t="s">
        <v>7837</v>
      </c>
      <c r="B2153" t="s">
        <v>5330</v>
      </c>
      <c r="C2153" t="s">
        <v>7838</v>
      </c>
      <c r="D2153" t="s">
        <v>7839</v>
      </c>
      <c r="E2153" t="s">
        <v>7840</v>
      </c>
      <c r="F2153" s="2">
        <v>524960539</v>
      </c>
      <c r="G2153" s="2">
        <v>1333745</v>
      </c>
      <c r="H2153" t="s">
        <v>16</v>
      </c>
      <c r="I2153" t="s">
        <v>17</v>
      </c>
      <c r="J2153" t="s">
        <v>25</v>
      </c>
    </row>
    <row r="2154" spans="1:11" x14ac:dyDescent="0.2">
      <c r="A2154" t="s">
        <v>7841</v>
      </c>
      <c r="B2154" t="s">
        <v>7842</v>
      </c>
      <c r="C2154" t="s">
        <v>7843</v>
      </c>
      <c r="D2154" t="s">
        <v>7844</v>
      </c>
      <c r="E2154" t="s">
        <v>7845</v>
      </c>
      <c r="F2154" s="2">
        <v>524962115</v>
      </c>
      <c r="G2154" s="2">
        <v>133426509</v>
      </c>
      <c r="H2154" t="s">
        <v>24</v>
      </c>
      <c r="I2154" t="s">
        <v>17</v>
      </c>
      <c r="J2154" t="s">
        <v>25</v>
      </c>
    </row>
    <row r="2155" spans="1:11" x14ac:dyDescent="0.2">
      <c r="A2155" t="s">
        <v>7846</v>
      </c>
      <c r="B2155" t="s">
        <v>7847</v>
      </c>
      <c r="E2155">
        <v>493098196195</v>
      </c>
      <c r="F2155" s="2">
        <v>524901146</v>
      </c>
      <c r="G2155" s="2">
        <v>134558556</v>
      </c>
      <c r="H2155" t="s">
        <v>34</v>
      </c>
      <c r="I2155" t="s">
        <v>17</v>
      </c>
      <c r="J2155" t="s">
        <v>25</v>
      </c>
    </row>
    <row r="2156" spans="1:11" x14ac:dyDescent="0.2">
      <c r="A2156" t="s">
        <v>7848</v>
      </c>
      <c r="B2156" t="s">
        <v>7849</v>
      </c>
      <c r="C2156" t="s">
        <v>7850</v>
      </c>
      <c r="F2156" s="2">
        <v>525077516</v>
      </c>
      <c r="G2156" s="2">
        <v>134206012</v>
      </c>
      <c r="H2156" t="s">
        <v>38</v>
      </c>
      <c r="I2156" t="s">
        <v>17</v>
      </c>
      <c r="J2156" t="s">
        <v>25</v>
      </c>
    </row>
    <row r="2157" spans="1:11" x14ac:dyDescent="0.2">
      <c r="A2157" t="s">
        <v>7851</v>
      </c>
      <c r="B2157" t="s">
        <v>7852</v>
      </c>
      <c r="F2157" s="2">
        <v>524736295</v>
      </c>
      <c r="G2157" s="2">
        <v>13457378</v>
      </c>
      <c r="H2157" t="s">
        <v>28</v>
      </c>
      <c r="I2157" t="s">
        <v>17</v>
      </c>
      <c r="J2157" t="s">
        <v>25</v>
      </c>
    </row>
    <row r="2158" spans="1:11" x14ac:dyDescent="0.2">
      <c r="A2158" t="s">
        <v>7853</v>
      </c>
      <c r="B2158" t="s">
        <v>7854</v>
      </c>
      <c r="C2158" t="s">
        <v>7855</v>
      </c>
      <c r="D2158" t="s">
        <v>7856</v>
      </c>
      <c r="E2158" t="s">
        <v>7857</v>
      </c>
      <c r="F2158" s="2">
        <v>525010341</v>
      </c>
      <c r="G2158" s="2">
        <v>133424088</v>
      </c>
      <c r="H2158" t="s">
        <v>24</v>
      </c>
      <c r="I2158" t="s">
        <v>17</v>
      </c>
      <c r="J2158" t="s">
        <v>25</v>
      </c>
    </row>
    <row r="2159" spans="1:11" x14ac:dyDescent="0.2">
      <c r="A2159" t="s">
        <v>7858</v>
      </c>
      <c r="B2159" t="s">
        <v>7859</v>
      </c>
      <c r="F2159" s="2">
        <v>525004104</v>
      </c>
      <c r="G2159" s="2">
        <v>133428418</v>
      </c>
      <c r="H2159" t="s">
        <v>28</v>
      </c>
      <c r="I2159" t="s">
        <v>17</v>
      </c>
      <c r="J2159" t="s">
        <v>25</v>
      </c>
    </row>
    <row r="2160" spans="1:11" x14ac:dyDescent="0.2">
      <c r="A2160" t="s">
        <v>7860</v>
      </c>
      <c r="F2160" s="2">
        <v>524999976</v>
      </c>
      <c r="G2160" s="2">
        <v>133395042</v>
      </c>
      <c r="H2160" t="s">
        <v>28</v>
      </c>
      <c r="I2160" t="s">
        <v>17</v>
      </c>
      <c r="J2160" t="s">
        <v>25</v>
      </c>
    </row>
    <row r="2161" spans="1:11" x14ac:dyDescent="0.2">
      <c r="A2161" t="s">
        <v>7861</v>
      </c>
      <c r="B2161" t="s">
        <v>7862</v>
      </c>
      <c r="C2161" t="s">
        <v>7863</v>
      </c>
      <c r="E2161">
        <v>4917662715977</v>
      </c>
      <c r="F2161" s="2">
        <v>525017767</v>
      </c>
      <c r="G2161" s="2">
        <v>133376392</v>
      </c>
      <c r="H2161" t="s">
        <v>277</v>
      </c>
      <c r="I2161" t="s">
        <v>17</v>
      </c>
      <c r="J2161" t="s">
        <v>25</v>
      </c>
      <c r="K2161" t="s">
        <v>7864</v>
      </c>
    </row>
    <row r="2162" spans="1:11" x14ac:dyDescent="0.2">
      <c r="A2162" t="s">
        <v>7865</v>
      </c>
      <c r="B2162" t="s">
        <v>7866</v>
      </c>
      <c r="C2162" t="s">
        <v>7867</v>
      </c>
      <c r="E2162" t="s">
        <v>7868</v>
      </c>
      <c r="F2162" s="2">
        <v>525092097</v>
      </c>
      <c r="G2162" s="2">
        <v>133093387</v>
      </c>
      <c r="H2162" t="s">
        <v>38</v>
      </c>
      <c r="I2162" t="s">
        <v>17</v>
      </c>
      <c r="J2162" t="s">
        <v>25</v>
      </c>
    </row>
    <row r="2163" spans="1:11" x14ac:dyDescent="0.2">
      <c r="A2163" t="s">
        <v>7869</v>
      </c>
      <c r="B2163" t="s">
        <v>7870</v>
      </c>
      <c r="C2163" t="s">
        <v>7871</v>
      </c>
      <c r="E2163" t="s">
        <v>7872</v>
      </c>
      <c r="F2163" s="2">
        <v>525112345</v>
      </c>
      <c r="G2163" s="2">
        <v>133879451</v>
      </c>
      <c r="H2163" t="s">
        <v>38</v>
      </c>
      <c r="I2163" t="s">
        <v>17</v>
      </c>
      <c r="J2163" t="s">
        <v>25</v>
      </c>
    </row>
    <row r="2164" spans="1:11" x14ac:dyDescent="0.2">
      <c r="A2164" t="s">
        <v>7873</v>
      </c>
      <c r="B2164" t="s">
        <v>7874</v>
      </c>
      <c r="E2164" t="s">
        <v>7875</v>
      </c>
      <c r="F2164" s="2">
        <v>525514755</v>
      </c>
      <c r="G2164" s="2">
        <v>134411758</v>
      </c>
      <c r="H2164" t="s">
        <v>34</v>
      </c>
      <c r="I2164" t="s">
        <v>17</v>
      </c>
      <c r="J2164" t="s">
        <v>25</v>
      </c>
    </row>
    <row r="2165" spans="1:11" x14ac:dyDescent="0.2">
      <c r="A2165" t="s">
        <v>7876</v>
      </c>
      <c r="C2165" t="s">
        <v>7877</v>
      </c>
      <c r="D2165" t="s">
        <v>7878</v>
      </c>
      <c r="F2165" s="2">
        <v>525032891</v>
      </c>
      <c r="G2165" s="2">
        <v>133301993</v>
      </c>
      <c r="H2165" t="s">
        <v>24</v>
      </c>
      <c r="I2165" t="s">
        <v>17</v>
      </c>
      <c r="J2165" t="s">
        <v>25</v>
      </c>
    </row>
    <row r="2166" spans="1:11" x14ac:dyDescent="0.2">
      <c r="A2166" t="s">
        <v>7879</v>
      </c>
      <c r="B2166" t="s">
        <v>7880</v>
      </c>
      <c r="F2166" s="2">
        <v>525005942</v>
      </c>
      <c r="G2166" s="2">
        <v>133290656</v>
      </c>
      <c r="H2166" t="s">
        <v>28</v>
      </c>
      <c r="I2166" t="s">
        <v>17</v>
      </c>
      <c r="J2166" t="s">
        <v>25</v>
      </c>
    </row>
    <row r="2167" spans="1:11" x14ac:dyDescent="0.2">
      <c r="A2167" t="s">
        <v>7881</v>
      </c>
      <c r="B2167" t="s">
        <v>7882</v>
      </c>
      <c r="C2167" t="s">
        <v>7883</v>
      </c>
      <c r="D2167" t="s">
        <v>7884</v>
      </c>
      <c r="E2167" t="s">
        <v>7885</v>
      </c>
      <c r="F2167" s="2">
        <v>525202088</v>
      </c>
      <c r="G2167" s="2">
        <v>134096443</v>
      </c>
      <c r="H2167" t="s">
        <v>51</v>
      </c>
      <c r="I2167" t="s">
        <v>17</v>
      </c>
      <c r="J2167" t="s">
        <v>25</v>
      </c>
      <c r="K2167" t="s">
        <v>7886</v>
      </c>
    </row>
    <row r="2168" spans="1:11" x14ac:dyDescent="0.2">
      <c r="A2168" t="s">
        <v>7887</v>
      </c>
      <c r="B2168" t="s">
        <v>7888</v>
      </c>
      <c r="F2168" s="2">
        <v>525566345</v>
      </c>
      <c r="G2168" s="2">
        <v>132073219</v>
      </c>
      <c r="H2168" t="s">
        <v>28</v>
      </c>
      <c r="I2168" t="s">
        <v>17</v>
      </c>
      <c r="J2168" t="s">
        <v>25</v>
      </c>
    </row>
    <row r="2169" spans="1:11" x14ac:dyDescent="0.2">
      <c r="A2169" t="s">
        <v>7889</v>
      </c>
      <c r="F2169" s="2">
        <v>525029278</v>
      </c>
      <c r="G2169" s="2">
        <v>133729484</v>
      </c>
      <c r="H2169" t="s">
        <v>28</v>
      </c>
      <c r="I2169" t="s">
        <v>17</v>
      </c>
      <c r="J2169" t="s">
        <v>25</v>
      </c>
    </row>
    <row r="2170" spans="1:11" x14ac:dyDescent="0.2">
      <c r="A2170" t="s">
        <v>7890</v>
      </c>
      <c r="B2170" t="s">
        <v>7891</v>
      </c>
      <c r="C2170" t="s">
        <v>7892</v>
      </c>
      <c r="E2170" t="s">
        <v>7893</v>
      </c>
      <c r="F2170" s="2">
        <v>525478277</v>
      </c>
      <c r="G2170" s="2">
        <v>134233765</v>
      </c>
      <c r="H2170" t="s">
        <v>38</v>
      </c>
      <c r="I2170" t="s">
        <v>17</v>
      </c>
      <c r="J2170" t="s">
        <v>25</v>
      </c>
    </row>
    <row r="2171" spans="1:11" x14ac:dyDescent="0.2">
      <c r="A2171" t="s">
        <v>7894</v>
      </c>
      <c r="B2171" t="s">
        <v>7895</v>
      </c>
      <c r="C2171" t="s">
        <v>7896</v>
      </c>
      <c r="D2171" t="s">
        <v>7897</v>
      </c>
      <c r="E2171" t="s">
        <v>7898</v>
      </c>
      <c r="F2171" s="2">
        <v>525053653</v>
      </c>
      <c r="G2171" s="2">
        <v>133382317</v>
      </c>
      <c r="H2171" t="s">
        <v>51</v>
      </c>
      <c r="I2171" t="s">
        <v>17</v>
      </c>
      <c r="J2171" t="s">
        <v>25</v>
      </c>
      <c r="K2171" t="s">
        <v>7696</v>
      </c>
    </row>
    <row r="2172" spans="1:11" x14ac:dyDescent="0.2">
      <c r="A2172" t="s">
        <v>7899</v>
      </c>
      <c r="B2172" t="s">
        <v>7900</v>
      </c>
      <c r="C2172" t="s">
        <v>7901</v>
      </c>
      <c r="D2172" t="s">
        <v>7902</v>
      </c>
      <c r="E2172" t="s">
        <v>7903</v>
      </c>
      <c r="F2172" s="2">
        <v>525394696</v>
      </c>
      <c r="G2172" s="2">
        <v>134067649</v>
      </c>
      <c r="H2172" t="s">
        <v>51</v>
      </c>
      <c r="I2172" t="s">
        <v>17</v>
      </c>
      <c r="J2172" t="s">
        <v>25</v>
      </c>
      <c r="K2172" t="s">
        <v>7904</v>
      </c>
    </row>
    <row r="2173" spans="1:11" x14ac:dyDescent="0.2">
      <c r="A2173" t="s">
        <v>7905</v>
      </c>
      <c r="B2173" t="s">
        <v>7906</v>
      </c>
      <c r="C2173" t="s">
        <v>7907</v>
      </c>
      <c r="E2173">
        <v>4915782708334</v>
      </c>
      <c r="F2173" s="2">
        <v>525145113</v>
      </c>
      <c r="G2173" s="2">
        <v>133050125</v>
      </c>
      <c r="H2173" t="s">
        <v>38</v>
      </c>
      <c r="I2173" t="s">
        <v>17</v>
      </c>
      <c r="J2173" t="s">
        <v>25</v>
      </c>
    </row>
    <row r="2174" spans="1:11" x14ac:dyDescent="0.2">
      <c r="A2174" t="s">
        <v>7908</v>
      </c>
      <c r="B2174" t="s">
        <v>7909</v>
      </c>
      <c r="C2174" t="s">
        <v>7910</v>
      </c>
      <c r="D2174" t="s">
        <v>7911</v>
      </c>
      <c r="E2174" t="s">
        <v>7912</v>
      </c>
      <c r="F2174" s="2">
        <v>525185096</v>
      </c>
      <c r="G2174" s="2">
        <v>134659365</v>
      </c>
      <c r="H2174" t="s">
        <v>24</v>
      </c>
      <c r="I2174" t="s">
        <v>17</v>
      </c>
      <c r="J2174" t="s">
        <v>25</v>
      </c>
    </row>
    <row r="2175" spans="1:11" x14ac:dyDescent="0.2">
      <c r="A2175" t="s">
        <v>7913</v>
      </c>
      <c r="B2175" t="s">
        <v>7914</v>
      </c>
      <c r="F2175" s="2">
        <v>525107032</v>
      </c>
      <c r="G2175" s="2">
        <v>133013777</v>
      </c>
      <c r="H2175" t="s">
        <v>28</v>
      </c>
      <c r="I2175" t="s">
        <v>17</v>
      </c>
      <c r="J2175" t="s">
        <v>25</v>
      </c>
    </row>
    <row r="2176" spans="1:11" x14ac:dyDescent="0.2">
      <c r="A2176" t="s">
        <v>7915</v>
      </c>
      <c r="B2176" t="s">
        <v>7916</v>
      </c>
      <c r="E2176" t="s">
        <v>7917</v>
      </c>
      <c r="F2176" s="2">
        <v>52493689</v>
      </c>
      <c r="G2176" s="2">
        <v>133665609</v>
      </c>
      <c r="H2176" t="s">
        <v>34</v>
      </c>
      <c r="I2176" t="s">
        <v>17</v>
      </c>
      <c r="J2176" t="s">
        <v>25</v>
      </c>
    </row>
    <row r="2177" spans="1:11" x14ac:dyDescent="0.2">
      <c r="A2177" t="s">
        <v>7918</v>
      </c>
      <c r="B2177" t="s">
        <v>7919</v>
      </c>
      <c r="C2177" t="s">
        <v>7920</v>
      </c>
      <c r="E2177" t="s">
        <v>7921</v>
      </c>
      <c r="F2177" s="2">
        <v>525121973</v>
      </c>
      <c r="G2177" s="2">
        <v>133121352</v>
      </c>
      <c r="H2177" t="s">
        <v>38</v>
      </c>
      <c r="I2177" t="s">
        <v>17</v>
      </c>
      <c r="J2177" t="s">
        <v>25</v>
      </c>
    </row>
    <row r="2178" spans="1:11" x14ac:dyDescent="0.2">
      <c r="A2178" t="s">
        <v>7922</v>
      </c>
      <c r="B2178" t="s">
        <v>7923</v>
      </c>
      <c r="C2178" t="s">
        <v>7924</v>
      </c>
      <c r="F2178" s="2">
        <v>525163319</v>
      </c>
      <c r="G2178" s="2">
        <v>133063845</v>
      </c>
      <c r="H2178" t="s">
        <v>255</v>
      </c>
      <c r="I2178" t="s">
        <v>17</v>
      </c>
      <c r="J2178" t="s">
        <v>25</v>
      </c>
    </row>
    <row r="2179" spans="1:11" x14ac:dyDescent="0.2">
      <c r="A2179" t="s">
        <v>7925</v>
      </c>
      <c r="B2179" t="s">
        <v>534</v>
      </c>
      <c r="F2179" s="2">
        <v>525097902</v>
      </c>
      <c r="G2179" s="2">
        <v>134581776</v>
      </c>
      <c r="H2179" t="s">
        <v>28</v>
      </c>
      <c r="I2179" t="s">
        <v>17</v>
      </c>
      <c r="J2179" t="s">
        <v>25</v>
      </c>
    </row>
    <row r="2180" spans="1:11" x14ac:dyDescent="0.2">
      <c r="A2180" t="s">
        <v>7926</v>
      </c>
      <c r="B2180" t="s">
        <v>7927</v>
      </c>
      <c r="C2180" t="s">
        <v>7928</v>
      </c>
      <c r="E2180" t="s">
        <v>7929</v>
      </c>
      <c r="F2180" s="2">
        <v>525069719</v>
      </c>
      <c r="G2180" s="2">
        <v>132964818</v>
      </c>
      <c r="H2180" t="s">
        <v>38</v>
      </c>
      <c r="I2180" t="s">
        <v>17</v>
      </c>
      <c r="J2180" t="s">
        <v>25</v>
      </c>
    </row>
    <row r="2181" spans="1:11" x14ac:dyDescent="0.2">
      <c r="A2181" t="s">
        <v>7930</v>
      </c>
      <c r="B2181" t="s">
        <v>7931</v>
      </c>
      <c r="C2181" t="s">
        <v>7932</v>
      </c>
      <c r="D2181" t="s">
        <v>7933</v>
      </c>
      <c r="E2181" t="s">
        <v>7934</v>
      </c>
      <c r="F2181" s="2">
        <v>525065349</v>
      </c>
      <c r="G2181" s="2">
        <v>132962613</v>
      </c>
      <c r="H2181" t="s">
        <v>24</v>
      </c>
      <c r="I2181" t="s">
        <v>17</v>
      </c>
      <c r="J2181" t="s">
        <v>25</v>
      </c>
    </row>
    <row r="2182" spans="1:11" x14ac:dyDescent="0.2">
      <c r="A2182" t="s">
        <v>7935</v>
      </c>
      <c r="F2182" s="2">
        <v>525474328</v>
      </c>
      <c r="G2182" s="2">
        <v>131967191</v>
      </c>
      <c r="H2182" t="s">
        <v>28</v>
      </c>
      <c r="I2182" t="s">
        <v>17</v>
      </c>
      <c r="J2182" t="s">
        <v>25</v>
      </c>
    </row>
    <row r="2183" spans="1:11" x14ac:dyDescent="0.2">
      <c r="A2183" t="s">
        <v>7936</v>
      </c>
      <c r="B2183" t="s">
        <v>7937</v>
      </c>
      <c r="C2183" t="s">
        <v>7938</v>
      </c>
      <c r="D2183" t="s">
        <v>7939</v>
      </c>
      <c r="F2183" s="2">
        <v>525148567</v>
      </c>
      <c r="G2183" s="2">
        <v>133980296</v>
      </c>
      <c r="H2183" t="s">
        <v>51</v>
      </c>
      <c r="I2183" t="s">
        <v>17</v>
      </c>
      <c r="J2183" t="s">
        <v>25</v>
      </c>
      <c r="K2183" t="s">
        <v>7940</v>
      </c>
    </row>
    <row r="2184" spans="1:11" x14ac:dyDescent="0.2">
      <c r="A2184" t="s">
        <v>7941</v>
      </c>
      <c r="B2184" t="s">
        <v>7942</v>
      </c>
      <c r="C2184" t="s">
        <v>7943</v>
      </c>
      <c r="D2184" t="s">
        <v>7944</v>
      </c>
      <c r="E2184" t="s">
        <v>7945</v>
      </c>
      <c r="F2184" s="2">
        <v>525053879</v>
      </c>
      <c r="G2184" s="2">
        <v>133905401</v>
      </c>
      <c r="H2184" t="s">
        <v>51</v>
      </c>
      <c r="I2184" t="s">
        <v>17</v>
      </c>
      <c r="J2184" t="s">
        <v>25</v>
      </c>
      <c r="K2184" t="s">
        <v>7946</v>
      </c>
    </row>
    <row r="2185" spans="1:11" x14ac:dyDescent="0.2">
      <c r="A2185" t="s">
        <v>7947</v>
      </c>
      <c r="B2185" t="s">
        <v>274</v>
      </c>
      <c r="F2185" s="2">
        <v>524894156</v>
      </c>
      <c r="G2185" s="2">
        <v>133198047</v>
      </c>
      <c r="H2185" t="s">
        <v>28</v>
      </c>
      <c r="I2185" t="s">
        <v>17</v>
      </c>
      <c r="J2185" t="s">
        <v>25</v>
      </c>
    </row>
    <row r="2186" spans="1:11" x14ac:dyDescent="0.2">
      <c r="A2186" t="s">
        <v>7948</v>
      </c>
      <c r="B2186" t="s">
        <v>274</v>
      </c>
      <c r="F2186" s="2">
        <v>52489357</v>
      </c>
      <c r="G2186" s="2">
        <v>133199152</v>
      </c>
      <c r="H2186" t="s">
        <v>28</v>
      </c>
      <c r="I2186" t="s">
        <v>17</v>
      </c>
      <c r="J2186" t="s">
        <v>25</v>
      </c>
    </row>
    <row r="2187" spans="1:11" x14ac:dyDescent="0.2">
      <c r="A2187" t="s">
        <v>7949</v>
      </c>
      <c r="B2187" t="s">
        <v>7950</v>
      </c>
      <c r="C2187" t="s">
        <v>7951</v>
      </c>
      <c r="F2187" s="2">
        <v>525517346</v>
      </c>
      <c r="G2187" s="2">
        <v>133580754</v>
      </c>
      <c r="H2187" t="s">
        <v>3120</v>
      </c>
      <c r="I2187" t="s">
        <v>17</v>
      </c>
      <c r="J2187" t="s">
        <v>25</v>
      </c>
      <c r="K2187" t="s">
        <v>7952</v>
      </c>
    </row>
    <row r="2188" spans="1:11" x14ac:dyDescent="0.2">
      <c r="A2188" t="s">
        <v>7953</v>
      </c>
      <c r="B2188" t="s">
        <v>7954</v>
      </c>
      <c r="C2188" t="s">
        <v>7955</v>
      </c>
      <c r="D2188" t="s">
        <v>7956</v>
      </c>
      <c r="E2188" t="s">
        <v>7957</v>
      </c>
      <c r="F2188" s="2">
        <v>525314952</v>
      </c>
      <c r="G2188" s="2">
        <v>134325551</v>
      </c>
      <c r="H2188" t="s">
        <v>51</v>
      </c>
      <c r="I2188" t="s">
        <v>17</v>
      </c>
      <c r="J2188" t="s">
        <v>25</v>
      </c>
      <c r="K2188" t="s">
        <v>7958</v>
      </c>
    </row>
    <row r="2189" spans="1:11" x14ac:dyDescent="0.2">
      <c r="A2189" t="s">
        <v>7959</v>
      </c>
      <c r="B2189" t="s">
        <v>7960</v>
      </c>
      <c r="F2189" s="2">
        <v>52470161</v>
      </c>
      <c r="G2189" s="2">
        <v>134300578</v>
      </c>
      <c r="H2189" t="s">
        <v>28</v>
      </c>
      <c r="I2189" t="s">
        <v>17</v>
      </c>
      <c r="J2189" t="s">
        <v>25</v>
      </c>
    </row>
    <row r="2190" spans="1:11" x14ac:dyDescent="0.2">
      <c r="A2190" t="s">
        <v>7961</v>
      </c>
      <c r="B2190" t="s">
        <v>7962</v>
      </c>
      <c r="C2190" t="s">
        <v>7963</v>
      </c>
      <c r="D2190" t="s">
        <v>7964</v>
      </c>
      <c r="E2190" t="s">
        <v>7965</v>
      </c>
      <c r="F2190" s="2">
        <v>525154352</v>
      </c>
      <c r="G2190" s="2">
        <v>134709892</v>
      </c>
      <c r="H2190" t="s">
        <v>51</v>
      </c>
      <c r="I2190" t="s">
        <v>17</v>
      </c>
      <c r="J2190" t="s">
        <v>25</v>
      </c>
      <c r="K2190" t="s">
        <v>7966</v>
      </c>
    </row>
    <row r="2191" spans="1:11" x14ac:dyDescent="0.2">
      <c r="A2191" t="s">
        <v>7967</v>
      </c>
      <c r="B2191" t="s">
        <v>7968</v>
      </c>
      <c r="C2191" t="s">
        <v>7969</v>
      </c>
      <c r="D2191" t="s">
        <v>7970</v>
      </c>
      <c r="E2191" t="s">
        <v>7971</v>
      </c>
      <c r="F2191" s="2">
        <v>525281875</v>
      </c>
      <c r="G2191" s="2">
        <v>133914357</v>
      </c>
      <c r="H2191" t="s">
        <v>24</v>
      </c>
      <c r="I2191" t="s">
        <v>17</v>
      </c>
      <c r="J2191" t="s">
        <v>25</v>
      </c>
    </row>
    <row r="2192" spans="1:11" x14ac:dyDescent="0.2">
      <c r="A2192" t="s">
        <v>7972</v>
      </c>
      <c r="B2192" t="s">
        <v>7973</v>
      </c>
      <c r="C2192" t="s">
        <v>7974</v>
      </c>
      <c r="D2192" t="s">
        <v>7975</v>
      </c>
      <c r="E2192">
        <v>493084712142</v>
      </c>
      <c r="F2192" s="2">
        <v>525282871</v>
      </c>
      <c r="G2192" s="2">
        <v>133919758</v>
      </c>
      <c r="H2192" t="s">
        <v>51</v>
      </c>
      <c r="I2192" t="s">
        <v>17</v>
      </c>
      <c r="J2192" t="s">
        <v>25</v>
      </c>
      <c r="K2192" t="s">
        <v>7976</v>
      </c>
    </row>
    <row r="2193" spans="1:11" x14ac:dyDescent="0.2">
      <c r="A2193" t="s">
        <v>7977</v>
      </c>
      <c r="B2193" t="s">
        <v>7978</v>
      </c>
      <c r="C2193" t="s">
        <v>7979</v>
      </c>
      <c r="F2193" s="2">
        <v>525291711</v>
      </c>
      <c r="G2193" s="2">
        <v>133883043</v>
      </c>
      <c r="H2193" t="s">
        <v>255</v>
      </c>
      <c r="I2193" t="s">
        <v>17</v>
      </c>
      <c r="J2193" t="s">
        <v>25</v>
      </c>
    </row>
    <row r="2194" spans="1:11" x14ac:dyDescent="0.2">
      <c r="A2194" t="s">
        <v>7980</v>
      </c>
      <c r="B2194" t="s">
        <v>7981</v>
      </c>
      <c r="E2194" t="s">
        <v>7982</v>
      </c>
      <c r="F2194" s="2">
        <v>524796829</v>
      </c>
      <c r="G2194" s="2">
        <v>135303056</v>
      </c>
      <c r="H2194" t="s">
        <v>34</v>
      </c>
      <c r="I2194" t="s">
        <v>17</v>
      </c>
      <c r="J2194" t="s">
        <v>25</v>
      </c>
    </row>
    <row r="2195" spans="1:11" x14ac:dyDescent="0.2">
      <c r="A2195" t="s">
        <v>7983</v>
      </c>
      <c r="B2195" t="s">
        <v>7984</v>
      </c>
      <c r="E2195">
        <v>493062922447</v>
      </c>
      <c r="F2195" s="2">
        <v>525141069</v>
      </c>
      <c r="G2195" s="2">
        <v>134541391</v>
      </c>
      <c r="H2195" t="s">
        <v>34</v>
      </c>
      <c r="I2195" t="s">
        <v>17</v>
      </c>
      <c r="J2195" t="s">
        <v>25</v>
      </c>
    </row>
    <row r="2196" spans="1:11" x14ac:dyDescent="0.2">
      <c r="A2196" t="s">
        <v>7985</v>
      </c>
      <c r="B2196" t="s">
        <v>7986</v>
      </c>
      <c r="C2196" t="s">
        <v>7987</v>
      </c>
      <c r="E2196" t="s">
        <v>7988</v>
      </c>
      <c r="F2196" s="2">
        <v>525271579</v>
      </c>
      <c r="G2196" s="2">
        <v>13385968</v>
      </c>
      <c r="H2196" t="s">
        <v>38</v>
      </c>
      <c r="I2196" t="s">
        <v>17</v>
      </c>
      <c r="J2196" t="s">
        <v>25</v>
      </c>
    </row>
    <row r="2197" spans="1:11" x14ac:dyDescent="0.2">
      <c r="A2197" t="s">
        <v>7989</v>
      </c>
      <c r="B2197" t="s">
        <v>7990</v>
      </c>
      <c r="C2197" t="s">
        <v>7991</v>
      </c>
      <c r="D2197" t="s">
        <v>7992</v>
      </c>
      <c r="E2197">
        <v>4915216895410</v>
      </c>
      <c r="F2197" s="2">
        <v>525018591</v>
      </c>
      <c r="G2197" s="2">
        <v>134112163</v>
      </c>
      <c r="H2197" t="s">
        <v>51</v>
      </c>
      <c r="I2197" t="s">
        <v>17</v>
      </c>
      <c r="J2197" t="s">
        <v>25</v>
      </c>
      <c r="K2197" t="s">
        <v>7993</v>
      </c>
    </row>
    <row r="2198" spans="1:11" x14ac:dyDescent="0.2">
      <c r="A2198" t="s">
        <v>7994</v>
      </c>
      <c r="B2198" t="s">
        <v>7995</v>
      </c>
      <c r="C2198" t="s">
        <v>7996</v>
      </c>
      <c r="D2198" t="s">
        <v>7997</v>
      </c>
      <c r="E2198" t="s">
        <v>7998</v>
      </c>
      <c r="F2198" s="2">
        <v>525275377</v>
      </c>
      <c r="G2198" s="2">
        <v>133870868</v>
      </c>
      <c r="H2198" t="s">
        <v>51</v>
      </c>
      <c r="I2198" t="s">
        <v>17</v>
      </c>
      <c r="J2198" t="s">
        <v>25</v>
      </c>
      <c r="K2198" t="s">
        <v>7999</v>
      </c>
    </row>
    <row r="2199" spans="1:11" x14ac:dyDescent="0.2">
      <c r="A2199" t="s">
        <v>8000</v>
      </c>
      <c r="B2199" t="s">
        <v>8001</v>
      </c>
      <c r="F2199" s="2">
        <v>524817697</v>
      </c>
      <c r="G2199" s="2">
        <v>13526421</v>
      </c>
      <c r="H2199" t="s">
        <v>28</v>
      </c>
      <c r="I2199" t="s">
        <v>17</v>
      </c>
      <c r="J2199" t="s">
        <v>25</v>
      </c>
    </row>
    <row r="2200" spans="1:11" x14ac:dyDescent="0.2">
      <c r="A2200" t="s">
        <v>8002</v>
      </c>
      <c r="B2200" t="s">
        <v>3667</v>
      </c>
      <c r="F2200" s="2">
        <v>52510608</v>
      </c>
      <c r="G2200" s="2">
        <v>134574274</v>
      </c>
      <c r="H2200" t="s">
        <v>28</v>
      </c>
      <c r="I2200" t="s">
        <v>17</v>
      </c>
      <c r="J2200" t="s">
        <v>25</v>
      </c>
    </row>
    <row r="2201" spans="1:11" x14ac:dyDescent="0.2">
      <c r="A2201" t="s">
        <v>8003</v>
      </c>
      <c r="B2201" t="s">
        <v>8004</v>
      </c>
      <c r="C2201" t="s">
        <v>8005</v>
      </c>
      <c r="D2201" t="s">
        <v>8006</v>
      </c>
      <c r="E2201" t="s">
        <v>8007</v>
      </c>
      <c r="F2201" s="2">
        <v>525036438</v>
      </c>
      <c r="G2201" s="2">
        <v>134472167</v>
      </c>
      <c r="H2201" t="s">
        <v>24</v>
      </c>
      <c r="I2201" t="s">
        <v>17</v>
      </c>
      <c r="J2201" t="s">
        <v>25</v>
      </c>
    </row>
    <row r="2202" spans="1:11" x14ac:dyDescent="0.2">
      <c r="A2202" t="s">
        <v>8008</v>
      </c>
      <c r="B2202" t="s">
        <v>8009</v>
      </c>
      <c r="C2202" t="s">
        <v>8010</v>
      </c>
      <c r="D2202" t="s">
        <v>8011</v>
      </c>
      <c r="E2202" t="s">
        <v>8012</v>
      </c>
      <c r="F2202" s="2">
        <v>524571597</v>
      </c>
      <c r="G2202" s="2">
        <v>131594587</v>
      </c>
      <c r="H2202" t="s">
        <v>51</v>
      </c>
      <c r="I2202" t="s">
        <v>17</v>
      </c>
      <c r="J2202" t="s">
        <v>25</v>
      </c>
      <c r="K2202" t="s">
        <v>8013</v>
      </c>
    </row>
    <row r="2203" spans="1:11" x14ac:dyDescent="0.2">
      <c r="A2203" t="s">
        <v>8014</v>
      </c>
      <c r="F2203" s="2">
        <v>525050741</v>
      </c>
      <c r="G2203" s="2">
        <v>13448317</v>
      </c>
      <c r="H2203" t="s">
        <v>28</v>
      </c>
      <c r="I2203" t="s">
        <v>17</v>
      </c>
      <c r="J2203" t="s">
        <v>25</v>
      </c>
    </row>
    <row r="2204" spans="1:11" x14ac:dyDescent="0.2">
      <c r="A2204" t="s">
        <v>8015</v>
      </c>
      <c r="B2204" t="s">
        <v>8016</v>
      </c>
      <c r="E2204" t="s">
        <v>8017</v>
      </c>
      <c r="F2204" s="2">
        <v>52523466</v>
      </c>
      <c r="G2204" s="2">
        <v>133358852</v>
      </c>
      <c r="H2204" t="s">
        <v>34</v>
      </c>
      <c r="I2204" t="s">
        <v>17</v>
      </c>
      <c r="J2204" t="s">
        <v>25</v>
      </c>
    </row>
    <row r="2205" spans="1:11" x14ac:dyDescent="0.2">
      <c r="A2205" t="s">
        <v>8018</v>
      </c>
      <c r="B2205" t="s">
        <v>8019</v>
      </c>
      <c r="C2205" t="s">
        <v>8020</v>
      </c>
      <c r="E2205" t="s">
        <v>8021</v>
      </c>
      <c r="F2205" s="2">
        <v>525462067</v>
      </c>
      <c r="G2205" s="2">
        <v>133584709</v>
      </c>
      <c r="H2205" t="s">
        <v>277</v>
      </c>
      <c r="I2205" t="s">
        <v>17</v>
      </c>
      <c r="J2205" t="s">
        <v>25</v>
      </c>
      <c r="K2205" t="s">
        <v>8022</v>
      </c>
    </row>
    <row r="2206" spans="1:11" x14ac:dyDescent="0.2">
      <c r="A2206" t="s">
        <v>8023</v>
      </c>
      <c r="B2206" t="s">
        <v>8024</v>
      </c>
      <c r="C2206" t="s">
        <v>8025</v>
      </c>
      <c r="D2206" t="s">
        <v>8026</v>
      </c>
      <c r="E2206" t="s">
        <v>8027</v>
      </c>
      <c r="F2206" s="2">
        <v>525360641</v>
      </c>
      <c r="G2206" s="2">
        <v>134227876</v>
      </c>
      <c r="H2206" t="s">
        <v>24</v>
      </c>
      <c r="I2206" t="s">
        <v>17</v>
      </c>
      <c r="J2206" t="s">
        <v>25</v>
      </c>
    </row>
    <row r="2207" spans="1:11" x14ac:dyDescent="0.2">
      <c r="A2207" t="s">
        <v>8028</v>
      </c>
      <c r="B2207" t="s">
        <v>8029</v>
      </c>
      <c r="C2207" t="s">
        <v>8030</v>
      </c>
      <c r="E2207" t="s">
        <v>8031</v>
      </c>
      <c r="F2207" s="2">
        <v>524990027</v>
      </c>
      <c r="G2207" s="2">
        <v>13521311</v>
      </c>
      <c r="H2207" t="s">
        <v>38</v>
      </c>
      <c r="I2207" t="s">
        <v>17</v>
      </c>
      <c r="J2207" t="s">
        <v>25</v>
      </c>
    </row>
    <row r="2208" spans="1:11" x14ac:dyDescent="0.2">
      <c r="A2208" t="s">
        <v>8032</v>
      </c>
      <c r="B2208" t="s">
        <v>8033</v>
      </c>
      <c r="F2208" s="2">
        <v>525642802</v>
      </c>
      <c r="G2208" s="2">
        <v>135060851</v>
      </c>
      <c r="H2208" t="s">
        <v>28</v>
      </c>
      <c r="I2208" t="s">
        <v>17</v>
      </c>
      <c r="J2208" t="s">
        <v>25</v>
      </c>
    </row>
    <row r="2209" spans="1:11" x14ac:dyDescent="0.2">
      <c r="A2209" t="s">
        <v>8034</v>
      </c>
      <c r="B2209" t="s">
        <v>8033</v>
      </c>
      <c r="F2209" s="2">
        <v>525642979</v>
      </c>
      <c r="G2209" s="2">
        <v>135062127</v>
      </c>
      <c r="H2209" t="s">
        <v>28</v>
      </c>
      <c r="I2209" t="s">
        <v>17</v>
      </c>
      <c r="J2209" t="s">
        <v>25</v>
      </c>
    </row>
    <row r="2210" spans="1:11" x14ac:dyDescent="0.2">
      <c r="A2210" t="s">
        <v>8035</v>
      </c>
      <c r="B2210" t="s">
        <v>8033</v>
      </c>
      <c r="F2210" s="2">
        <v>525643286</v>
      </c>
      <c r="G2210" s="2">
        <v>135064116</v>
      </c>
      <c r="H2210" t="s">
        <v>28</v>
      </c>
      <c r="I2210" t="s">
        <v>17</v>
      </c>
      <c r="J2210" t="s">
        <v>25</v>
      </c>
    </row>
    <row r="2211" spans="1:11" x14ac:dyDescent="0.2">
      <c r="A2211" t="s">
        <v>8036</v>
      </c>
      <c r="F2211" s="2">
        <v>524838907</v>
      </c>
      <c r="G2211" s="2">
        <v>133615988</v>
      </c>
      <c r="H2211" t="s">
        <v>28</v>
      </c>
      <c r="I2211" t="s">
        <v>17</v>
      </c>
      <c r="J2211" t="s">
        <v>25</v>
      </c>
    </row>
    <row r="2212" spans="1:11" x14ac:dyDescent="0.2">
      <c r="A2212" t="s">
        <v>8037</v>
      </c>
      <c r="B2212" t="s">
        <v>8038</v>
      </c>
      <c r="C2212" t="s">
        <v>8039</v>
      </c>
      <c r="D2212" t="s">
        <v>8040</v>
      </c>
      <c r="E2212" t="s">
        <v>8041</v>
      </c>
      <c r="F2212" s="2">
        <v>525185938</v>
      </c>
      <c r="G2212" s="2">
        <v>133766755</v>
      </c>
      <c r="H2212" t="s">
        <v>51</v>
      </c>
      <c r="I2212" t="s">
        <v>17</v>
      </c>
      <c r="J2212" t="s">
        <v>25</v>
      </c>
      <c r="K2212" t="s">
        <v>8042</v>
      </c>
    </row>
    <row r="2213" spans="1:11" x14ac:dyDescent="0.2">
      <c r="A2213" t="s">
        <v>8043</v>
      </c>
      <c r="B2213" t="s">
        <v>8044</v>
      </c>
      <c r="C2213" t="s">
        <v>8045</v>
      </c>
      <c r="E2213" t="s">
        <v>8046</v>
      </c>
      <c r="F2213" s="2">
        <v>524871816</v>
      </c>
      <c r="G2213" s="2">
        <v>134315727</v>
      </c>
      <c r="H2213" t="s">
        <v>277</v>
      </c>
      <c r="I2213" t="s">
        <v>17</v>
      </c>
      <c r="J2213" t="s">
        <v>25</v>
      </c>
      <c r="K2213" t="s">
        <v>8047</v>
      </c>
    </row>
    <row r="2214" spans="1:11" x14ac:dyDescent="0.2">
      <c r="A2214" t="s">
        <v>8048</v>
      </c>
      <c r="B2214" t="s">
        <v>8049</v>
      </c>
      <c r="C2214" t="s">
        <v>8050</v>
      </c>
      <c r="E2214" t="s">
        <v>8051</v>
      </c>
      <c r="F2214" s="2">
        <v>523726313</v>
      </c>
      <c r="G2214" s="2">
        <v>136958942</v>
      </c>
      <c r="H2214" t="s">
        <v>38</v>
      </c>
      <c r="I2214" t="s">
        <v>17</v>
      </c>
      <c r="J2214" t="s">
        <v>25</v>
      </c>
    </row>
    <row r="2215" spans="1:11" x14ac:dyDescent="0.2">
      <c r="A2215" t="s">
        <v>8052</v>
      </c>
      <c r="B2215" t="s">
        <v>8053</v>
      </c>
      <c r="C2215" t="s">
        <v>8054</v>
      </c>
      <c r="E2215" t="s">
        <v>8055</v>
      </c>
      <c r="F2215" s="2">
        <v>524263934</v>
      </c>
      <c r="G2215" s="2">
        <v>134828281</v>
      </c>
      <c r="H2215" t="s">
        <v>38</v>
      </c>
      <c r="I2215" t="s">
        <v>17</v>
      </c>
      <c r="J2215" t="s">
        <v>25</v>
      </c>
    </row>
    <row r="2216" spans="1:11" x14ac:dyDescent="0.2">
      <c r="A2216" t="s">
        <v>8056</v>
      </c>
      <c r="B2216" t="s">
        <v>8057</v>
      </c>
      <c r="E2216" t="s">
        <v>8058</v>
      </c>
      <c r="F2216" s="2">
        <v>524865176</v>
      </c>
      <c r="G2216" s="2">
        <v>133515135</v>
      </c>
      <c r="H2216" t="s">
        <v>34</v>
      </c>
      <c r="I2216" t="s">
        <v>17</v>
      </c>
      <c r="J2216" t="s">
        <v>25</v>
      </c>
    </row>
    <row r="2217" spans="1:11" x14ac:dyDescent="0.2">
      <c r="A2217" t="s">
        <v>8059</v>
      </c>
      <c r="B2217" t="s">
        <v>8060</v>
      </c>
      <c r="C2217" t="s">
        <v>8061</v>
      </c>
      <c r="D2217" t="s">
        <v>8062</v>
      </c>
      <c r="E2217" t="s">
        <v>8063</v>
      </c>
      <c r="F2217" s="2">
        <v>525500408</v>
      </c>
      <c r="G2217" s="2">
        <v>134648392</v>
      </c>
      <c r="H2217" t="s">
        <v>51</v>
      </c>
      <c r="I2217" t="s">
        <v>17</v>
      </c>
      <c r="J2217" t="s">
        <v>25</v>
      </c>
      <c r="K2217" t="s">
        <v>8064</v>
      </c>
    </row>
    <row r="2218" spans="1:11" x14ac:dyDescent="0.2">
      <c r="A2218" t="s">
        <v>8065</v>
      </c>
      <c r="F2218" s="2">
        <v>525003761</v>
      </c>
      <c r="G2218" s="2">
        <v>135208341</v>
      </c>
      <c r="H2218" t="s">
        <v>28</v>
      </c>
      <c r="I2218" t="s">
        <v>17</v>
      </c>
      <c r="J2218" t="s">
        <v>25</v>
      </c>
    </row>
    <row r="2219" spans="1:11" x14ac:dyDescent="0.2">
      <c r="A2219" t="s">
        <v>8066</v>
      </c>
      <c r="B2219" t="s">
        <v>8067</v>
      </c>
      <c r="C2219" t="s">
        <v>8068</v>
      </c>
      <c r="E2219" t="s">
        <v>8069</v>
      </c>
      <c r="F2219" s="2">
        <v>524978603</v>
      </c>
      <c r="G2219" s="2">
        <v>133873565</v>
      </c>
      <c r="H2219" t="s">
        <v>38</v>
      </c>
      <c r="I2219" t="s">
        <v>17</v>
      </c>
      <c r="J2219" t="s">
        <v>25</v>
      </c>
    </row>
    <row r="2220" spans="1:11" x14ac:dyDescent="0.2">
      <c r="A2220" t="s">
        <v>8070</v>
      </c>
      <c r="B2220" t="s">
        <v>7684</v>
      </c>
      <c r="F2220" s="2">
        <v>524624171</v>
      </c>
      <c r="G2220" s="2">
        <v>13514682</v>
      </c>
      <c r="H2220" t="s">
        <v>28</v>
      </c>
      <c r="I2220" t="s">
        <v>17</v>
      </c>
      <c r="J2220" t="s">
        <v>25</v>
      </c>
    </row>
    <row r="2221" spans="1:11" x14ac:dyDescent="0.2">
      <c r="A2221" t="s">
        <v>8071</v>
      </c>
      <c r="B2221" t="s">
        <v>8072</v>
      </c>
      <c r="C2221" t="s">
        <v>8073</v>
      </c>
      <c r="E2221" t="s">
        <v>8074</v>
      </c>
      <c r="F2221" s="2">
        <v>524980087</v>
      </c>
      <c r="G2221" s="2">
        <v>133218562</v>
      </c>
      <c r="H2221" t="s">
        <v>38</v>
      </c>
      <c r="I2221" t="s">
        <v>17</v>
      </c>
      <c r="J2221" t="s">
        <v>25</v>
      </c>
    </row>
    <row r="2222" spans="1:11" x14ac:dyDescent="0.2">
      <c r="A2222" t="s">
        <v>8075</v>
      </c>
      <c r="B2222" t="s">
        <v>8076</v>
      </c>
      <c r="E2222" t="s">
        <v>8077</v>
      </c>
      <c r="F2222" s="2">
        <v>524616163</v>
      </c>
      <c r="G2222" s="2">
        <v>135182523</v>
      </c>
      <c r="H2222" t="s">
        <v>34</v>
      </c>
      <c r="I2222" t="s">
        <v>17</v>
      </c>
      <c r="J2222" t="s">
        <v>25</v>
      </c>
    </row>
    <row r="2223" spans="1:11" x14ac:dyDescent="0.2">
      <c r="A2223" t="s">
        <v>8078</v>
      </c>
      <c r="B2223" t="s">
        <v>8079</v>
      </c>
      <c r="F2223" s="2">
        <v>525426068</v>
      </c>
      <c r="G2223" s="2">
        <v>133563172</v>
      </c>
      <c r="H2223" t="s">
        <v>28</v>
      </c>
      <c r="I2223" t="s">
        <v>17</v>
      </c>
      <c r="J2223" t="s">
        <v>25</v>
      </c>
    </row>
    <row r="2224" spans="1:11" x14ac:dyDescent="0.2">
      <c r="A2224" t="s">
        <v>8080</v>
      </c>
      <c r="B2224" t="s">
        <v>8081</v>
      </c>
      <c r="C2224" t="s">
        <v>8082</v>
      </c>
      <c r="E2224" t="s">
        <v>8083</v>
      </c>
      <c r="F2224" s="2">
        <v>524559343</v>
      </c>
      <c r="G2224" s="2">
        <v>133247142</v>
      </c>
      <c r="H2224" t="s">
        <v>38</v>
      </c>
      <c r="I2224" t="s">
        <v>17</v>
      </c>
      <c r="J2224" t="s">
        <v>25</v>
      </c>
    </row>
    <row r="2225" spans="1:11" x14ac:dyDescent="0.2">
      <c r="A2225" t="s">
        <v>8084</v>
      </c>
      <c r="B2225" t="s">
        <v>8085</v>
      </c>
      <c r="E2225">
        <v>493086395300</v>
      </c>
      <c r="F2225" s="2">
        <v>524926332</v>
      </c>
      <c r="G2225" s="2">
        <v>13330411</v>
      </c>
      <c r="H2225" t="s">
        <v>34</v>
      </c>
      <c r="I2225" t="s">
        <v>17</v>
      </c>
      <c r="J2225" t="s">
        <v>25</v>
      </c>
    </row>
    <row r="2226" spans="1:11" x14ac:dyDescent="0.2">
      <c r="A2226" t="s">
        <v>8086</v>
      </c>
      <c r="C2226" t="s">
        <v>8087</v>
      </c>
      <c r="D2226" t="s">
        <v>8088</v>
      </c>
      <c r="F2226" s="2">
        <v>525041709</v>
      </c>
      <c r="G2226" s="2">
        <v>133289202</v>
      </c>
      <c r="H2226" t="s">
        <v>51</v>
      </c>
      <c r="I2226" t="s">
        <v>17</v>
      </c>
      <c r="J2226" t="s">
        <v>25</v>
      </c>
      <c r="K2226" t="s">
        <v>8089</v>
      </c>
    </row>
    <row r="2227" spans="1:11" x14ac:dyDescent="0.2">
      <c r="A2227" t="s">
        <v>8090</v>
      </c>
      <c r="B2227" t="s">
        <v>8091</v>
      </c>
      <c r="F2227" s="2">
        <v>524995884</v>
      </c>
      <c r="G2227" s="2">
        <v>134294236</v>
      </c>
      <c r="H2227" t="s">
        <v>28</v>
      </c>
      <c r="I2227" t="s">
        <v>17</v>
      </c>
      <c r="J2227" t="s">
        <v>25</v>
      </c>
    </row>
    <row r="2228" spans="1:11" x14ac:dyDescent="0.2">
      <c r="A2228" t="s">
        <v>8092</v>
      </c>
      <c r="B2228" t="s">
        <v>8093</v>
      </c>
      <c r="C2228" t="s">
        <v>8094</v>
      </c>
      <c r="D2228" t="s">
        <v>8095</v>
      </c>
      <c r="E2228" t="s">
        <v>8096</v>
      </c>
      <c r="F2228" s="2">
        <v>524678265</v>
      </c>
      <c r="G2228" s="2">
        <v>133090657</v>
      </c>
      <c r="H2228" t="s">
        <v>51</v>
      </c>
      <c r="I2228" t="s">
        <v>17</v>
      </c>
      <c r="J2228" t="s">
        <v>25</v>
      </c>
      <c r="K2228" t="s">
        <v>8097</v>
      </c>
    </row>
    <row r="2229" spans="1:11" x14ac:dyDescent="0.2">
      <c r="A2229" t="s">
        <v>8098</v>
      </c>
      <c r="B2229" t="s">
        <v>8099</v>
      </c>
      <c r="C2229" t="s">
        <v>8100</v>
      </c>
      <c r="D2229" t="s">
        <v>8101</v>
      </c>
      <c r="E2229" t="s">
        <v>8102</v>
      </c>
      <c r="F2229" s="2">
        <v>524598884</v>
      </c>
      <c r="G2229" s="2">
        <v>135802489</v>
      </c>
      <c r="H2229" t="s">
        <v>51</v>
      </c>
      <c r="I2229" t="s">
        <v>17</v>
      </c>
      <c r="J2229" t="s">
        <v>25</v>
      </c>
      <c r="K2229" t="s">
        <v>8103</v>
      </c>
    </row>
    <row r="2230" spans="1:11" x14ac:dyDescent="0.2">
      <c r="A2230" t="s">
        <v>8104</v>
      </c>
      <c r="B2230" t="s">
        <v>8105</v>
      </c>
      <c r="F2230" s="2">
        <v>525226033</v>
      </c>
      <c r="G2230" s="2">
        <v>133789956</v>
      </c>
      <c r="H2230" t="s">
        <v>28</v>
      </c>
      <c r="I2230" t="s">
        <v>17</v>
      </c>
      <c r="J2230" t="s">
        <v>25</v>
      </c>
    </row>
    <row r="2231" spans="1:11" x14ac:dyDescent="0.2">
      <c r="A2231" t="s">
        <v>8106</v>
      </c>
      <c r="B2231" t="s">
        <v>8107</v>
      </c>
      <c r="C2231" t="s">
        <v>8108</v>
      </c>
      <c r="E2231" t="s">
        <v>8109</v>
      </c>
      <c r="F2231" s="2">
        <v>525026189</v>
      </c>
      <c r="G2231" s="2">
        <v>134140039</v>
      </c>
      <c r="H2231" t="s">
        <v>277</v>
      </c>
      <c r="I2231" t="s">
        <v>17</v>
      </c>
      <c r="J2231" t="s">
        <v>25</v>
      </c>
      <c r="K2231" t="s">
        <v>8110</v>
      </c>
    </row>
    <row r="2232" spans="1:11" x14ac:dyDescent="0.2">
      <c r="A2232" t="s">
        <v>8111</v>
      </c>
      <c r="C2232" t="s">
        <v>8112</v>
      </c>
      <c r="D2232" t="s">
        <v>8113</v>
      </c>
      <c r="E2232" t="s">
        <v>8114</v>
      </c>
      <c r="F2232" s="2">
        <v>525866337</v>
      </c>
      <c r="G2232" s="2">
        <v>132850889</v>
      </c>
      <c r="H2232" t="s">
        <v>51</v>
      </c>
      <c r="I2232" t="s">
        <v>17</v>
      </c>
      <c r="J2232" t="s">
        <v>25</v>
      </c>
      <c r="K2232" t="s">
        <v>8115</v>
      </c>
    </row>
    <row r="2233" spans="1:11" x14ac:dyDescent="0.2">
      <c r="A2233" t="s">
        <v>8116</v>
      </c>
      <c r="B2233" t="s">
        <v>8117</v>
      </c>
      <c r="C2233" t="s">
        <v>8118</v>
      </c>
      <c r="E2233" t="s">
        <v>8119</v>
      </c>
      <c r="F2233" s="2">
        <v>525177027</v>
      </c>
      <c r="G2233" s="2">
        <v>133173359</v>
      </c>
      <c r="H2233" t="s">
        <v>38</v>
      </c>
      <c r="I2233" t="s">
        <v>17</v>
      </c>
      <c r="J2233" t="s">
        <v>25</v>
      </c>
    </row>
    <row r="2234" spans="1:11" x14ac:dyDescent="0.2">
      <c r="A2234" t="s">
        <v>8120</v>
      </c>
      <c r="B2234" t="s">
        <v>8121</v>
      </c>
      <c r="C2234" t="s">
        <v>8122</v>
      </c>
      <c r="E2234" t="s">
        <v>8123</v>
      </c>
      <c r="F2234" s="2">
        <v>525072885</v>
      </c>
      <c r="G2234" s="2">
        <v>133293369</v>
      </c>
      <c r="H2234" t="s">
        <v>38</v>
      </c>
      <c r="I2234" t="s">
        <v>17</v>
      </c>
      <c r="J2234" t="s">
        <v>25</v>
      </c>
    </row>
    <row r="2235" spans="1:11" x14ac:dyDescent="0.2">
      <c r="A2235" t="s">
        <v>8124</v>
      </c>
      <c r="F2235" s="2">
        <v>52503726</v>
      </c>
      <c r="G2235" s="2">
        <v>133277591</v>
      </c>
      <c r="H2235" t="s">
        <v>28</v>
      </c>
      <c r="I2235" t="s">
        <v>17</v>
      </c>
      <c r="J2235" t="s">
        <v>25</v>
      </c>
    </row>
    <row r="2236" spans="1:11" x14ac:dyDescent="0.2">
      <c r="A2236" t="s">
        <v>8125</v>
      </c>
      <c r="B2236" t="s">
        <v>8126</v>
      </c>
      <c r="C2236" t="s">
        <v>8127</v>
      </c>
      <c r="E2236" t="s">
        <v>8128</v>
      </c>
      <c r="F2236" s="2">
        <v>525002297</v>
      </c>
      <c r="G2236" s="2">
        <v>13319425</v>
      </c>
      <c r="H2236" t="s">
        <v>38</v>
      </c>
      <c r="I2236" t="s">
        <v>17</v>
      </c>
      <c r="J2236" t="s">
        <v>25</v>
      </c>
    </row>
    <row r="2237" spans="1:11" x14ac:dyDescent="0.2">
      <c r="A2237" t="s">
        <v>8129</v>
      </c>
      <c r="B2237" t="s">
        <v>8130</v>
      </c>
      <c r="C2237" t="s">
        <v>8131</v>
      </c>
      <c r="D2237" t="s">
        <v>8132</v>
      </c>
      <c r="E2237" t="s">
        <v>8133</v>
      </c>
      <c r="F2237" s="2">
        <v>524736542</v>
      </c>
      <c r="G2237" s="2">
        <v>133217586</v>
      </c>
      <c r="H2237" t="s">
        <v>24</v>
      </c>
      <c r="I2237" t="s">
        <v>17</v>
      </c>
      <c r="J2237" t="s">
        <v>25</v>
      </c>
    </row>
    <row r="2238" spans="1:11" x14ac:dyDescent="0.2">
      <c r="A2238" t="s">
        <v>8134</v>
      </c>
      <c r="B2238" t="s">
        <v>8135</v>
      </c>
      <c r="C2238" t="s">
        <v>8136</v>
      </c>
      <c r="E2238" t="s">
        <v>8137</v>
      </c>
      <c r="F2238" s="2">
        <v>524983215</v>
      </c>
      <c r="G2238" s="2">
        <v>133538709</v>
      </c>
      <c r="H2238" t="s">
        <v>38</v>
      </c>
      <c r="I2238" t="s">
        <v>17</v>
      </c>
      <c r="J2238" t="s">
        <v>25</v>
      </c>
    </row>
    <row r="2239" spans="1:11" x14ac:dyDescent="0.2">
      <c r="A2239" t="s">
        <v>8138</v>
      </c>
      <c r="B2239" t="s">
        <v>8139</v>
      </c>
      <c r="F2239" s="2">
        <v>525023359</v>
      </c>
      <c r="G2239" s="2">
        <v>133535998</v>
      </c>
      <c r="H2239" t="s">
        <v>28</v>
      </c>
      <c r="I2239" t="s">
        <v>17</v>
      </c>
      <c r="J2239" t="s">
        <v>25</v>
      </c>
    </row>
    <row r="2240" spans="1:11" x14ac:dyDescent="0.2">
      <c r="A2240" t="s">
        <v>8140</v>
      </c>
      <c r="F2240" s="2">
        <v>525054444</v>
      </c>
      <c r="G2240" s="2">
        <v>133540388</v>
      </c>
      <c r="H2240" t="s">
        <v>28</v>
      </c>
      <c r="I2240" t="s">
        <v>17</v>
      </c>
      <c r="J2240" t="s">
        <v>25</v>
      </c>
    </row>
    <row r="2241" spans="1:11" x14ac:dyDescent="0.2">
      <c r="A2241" t="s">
        <v>8141</v>
      </c>
      <c r="B2241" t="s">
        <v>8142</v>
      </c>
      <c r="F2241" s="2">
        <v>525007261</v>
      </c>
      <c r="G2241" s="2">
        <v>133041071</v>
      </c>
      <c r="H2241" t="s">
        <v>28</v>
      </c>
      <c r="I2241" t="s">
        <v>17</v>
      </c>
      <c r="J2241" t="s">
        <v>25</v>
      </c>
    </row>
    <row r="2242" spans="1:11" x14ac:dyDescent="0.2">
      <c r="A2242" t="s">
        <v>8143</v>
      </c>
      <c r="B2242" t="s">
        <v>8144</v>
      </c>
      <c r="F2242" s="2">
        <v>525263637</v>
      </c>
      <c r="G2242" s="2">
        <v>133376512</v>
      </c>
      <c r="H2242" t="s">
        <v>28</v>
      </c>
      <c r="I2242" t="s">
        <v>17</v>
      </c>
      <c r="J2242" t="s">
        <v>25</v>
      </c>
    </row>
    <row r="2243" spans="1:11" x14ac:dyDescent="0.2">
      <c r="A2243" t="s">
        <v>8145</v>
      </c>
      <c r="B2243" t="s">
        <v>8146</v>
      </c>
      <c r="C2243" t="s">
        <v>8147</v>
      </c>
      <c r="E2243" t="s">
        <v>8148</v>
      </c>
      <c r="F2243" s="2">
        <v>525026314</v>
      </c>
      <c r="G2243" s="2">
        <v>133655794</v>
      </c>
      <c r="H2243" t="s">
        <v>38</v>
      </c>
      <c r="I2243" t="s">
        <v>17</v>
      </c>
      <c r="J2243" t="s">
        <v>25</v>
      </c>
    </row>
    <row r="2244" spans="1:11" x14ac:dyDescent="0.2">
      <c r="A2244" t="s">
        <v>8149</v>
      </c>
      <c r="B2244" t="s">
        <v>8150</v>
      </c>
      <c r="C2244" t="s">
        <v>8151</v>
      </c>
      <c r="D2244" t="s">
        <v>8152</v>
      </c>
      <c r="E2244" t="s">
        <v>8153</v>
      </c>
      <c r="F2244" s="2">
        <v>525008585</v>
      </c>
      <c r="G2244" s="2">
        <v>133666412</v>
      </c>
      <c r="H2244" t="s">
        <v>24</v>
      </c>
      <c r="I2244" t="s">
        <v>17</v>
      </c>
      <c r="J2244" t="s">
        <v>25</v>
      </c>
    </row>
    <row r="2245" spans="1:11" x14ac:dyDescent="0.2">
      <c r="A2245" t="s">
        <v>8154</v>
      </c>
      <c r="B2245" t="s">
        <v>8155</v>
      </c>
      <c r="E2245" t="s">
        <v>8156</v>
      </c>
      <c r="F2245" s="2">
        <v>525034375</v>
      </c>
      <c r="G2245" s="2">
        <v>133656711</v>
      </c>
      <c r="H2245" t="s">
        <v>34</v>
      </c>
      <c r="I2245" t="s">
        <v>17</v>
      </c>
      <c r="J2245" t="s">
        <v>25</v>
      </c>
    </row>
    <row r="2246" spans="1:11" x14ac:dyDescent="0.2">
      <c r="A2246" t="s">
        <v>8157</v>
      </c>
      <c r="F2246" s="2">
        <v>525006945</v>
      </c>
      <c r="G2246" s="2">
        <v>133632355</v>
      </c>
      <c r="H2246" t="s">
        <v>28</v>
      </c>
      <c r="I2246" t="s">
        <v>17</v>
      </c>
      <c r="J2246" t="s">
        <v>25</v>
      </c>
    </row>
    <row r="2247" spans="1:11" x14ac:dyDescent="0.2">
      <c r="A2247" t="s">
        <v>8158</v>
      </c>
      <c r="B2247" t="s">
        <v>8159</v>
      </c>
      <c r="C2247" t="s">
        <v>8160</v>
      </c>
      <c r="F2247" s="2">
        <v>525028878</v>
      </c>
      <c r="G2247" s="2">
        <v>133671324</v>
      </c>
      <c r="H2247" t="s">
        <v>255</v>
      </c>
      <c r="I2247" t="s">
        <v>17</v>
      </c>
      <c r="J2247" t="s">
        <v>25</v>
      </c>
    </row>
    <row r="2248" spans="1:11" x14ac:dyDescent="0.2">
      <c r="A2248" t="s">
        <v>8161</v>
      </c>
      <c r="B2248" t="s">
        <v>8162</v>
      </c>
      <c r="F2248" s="2">
        <v>52548799</v>
      </c>
      <c r="G2248" s="2">
        <v>134097142</v>
      </c>
      <c r="H2248" t="s">
        <v>28</v>
      </c>
      <c r="I2248" t="s">
        <v>17</v>
      </c>
      <c r="J2248" t="s">
        <v>25</v>
      </c>
    </row>
    <row r="2249" spans="1:11" x14ac:dyDescent="0.2">
      <c r="A2249" t="s">
        <v>8163</v>
      </c>
      <c r="B2249" t="s">
        <v>8164</v>
      </c>
      <c r="C2249" t="s">
        <v>8165</v>
      </c>
      <c r="E2249" t="s">
        <v>8166</v>
      </c>
      <c r="F2249" s="2">
        <v>52517437</v>
      </c>
      <c r="G2249" s="2">
        <v>134053296</v>
      </c>
      <c r="H2249" t="s">
        <v>277</v>
      </c>
      <c r="I2249" t="s">
        <v>17</v>
      </c>
      <c r="J2249" t="s">
        <v>25</v>
      </c>
      <c r="K2249" t="s">
        <v>8167</v>
      </c>
    </row>
    <row r="2250" spans="1:11" x14ac:dyDescent="0.2">
      <c r="A2250" t="s">
        <v>8168</v>
      </c>
      <c r="F2250" s="2">
        <v>52531996</v>
      </c>
      <c r="G2250" s="2">
        <v>134698142</v>
      </c>
      <c r="H2250" t="s">
        <v>28</v>
      </c>
      <c r="I2250" t="s">
        <v>17</v>
      </c>
      <c r="J2250" t="s">
        <v>25</v>
      </c>
    </row>
    <row r="2251" spans="1:11" x14ac:dyDescent="0.2">
      <c r="A2251" t="s">
        <v>8169</v>
      </c>
      <c r="B2251" t="s">
        <v>8170</v>
      </c>
      <c r="C2251" t="s">
        <v>8171</v>
      </c>
      <c r="E2251" t="s">
        <v>8172</v>
      </c>
      <c r="F2251" s="2">
        <v>524851263</v>
      </c>
      <c r="G2251" s="2">
        <v>133465936</v>
      </c>
      <c r="H2251" t="s">
        <v>38</v>
      </c>
      <c r="I2251" t="s">
        <v>17</v>
      </c>
      <c r="J2251" t="s">
        <v>25</v>
      </c>
    </row>
    <row r="2252" spans="1:11" x14ac:dyDescent="0.2">
      <c r="A2252" t="s">
        <v>8173</v>
      </c>
      <c r="B2252" t="s">
        <v>8174</v>
      </c>
      <c r="F2252" s="2">
        <v>52497137</v>
      </c>
      <c r="G2252" s="2">
        <v>133620376</v>
      </c>
      <c r="H2252" t="s">
        <v>28</v>
      </c>
      <c r="I2252" t="s">
        <v>17</v>
      </c>
      <c r="J2252" t="s">
        <v>25</v>
      </c>
    </row>
    <row r="2253" spans="1:11" x14ac:dyDescent="0.2">
      <c r="A2253" t="s">
        <v>8175</v>
      </c>
      <c r="B2253" t="s">
        <v>8176</v>
      </c>
      <c r="C2253" t="s">
        <v>8177</v>
      </c>
      <c r="F2253" s="2">
        <v>524972438</v>
      </c>
      <c r="G2253" s="2">
        <v>133620566</v>
      </c>
      <c r="H2253" t="s">
        <v>255</v>
      </c>
      <c r="I2253" t="s">
        <v>17</v>
      </c>
      <c r="J2253" t="s">
        <v>25</v>
      </c>
    </row>
    <row r="2254" spans="1:11" x14ac:dyDescent="0.2">
      <c r="A2254" t="s">
        <v>8178</v>
      </c>
      <c r="B2254" t="s">
        <v>8179</v>
      </c>
      <c r="C2254" t="s">
        <v>8180</v>
      </c>
      <c r="E2254" t="s">
        <v>8181</v>
      </c>
      <c r="F2254" s="2">
        <v>524962069</v>
      </c>
      <c r="G2254" s="2">
        <v>133616498</v>
      </c>
      <c r="H2254" t="s">
        <v>38</v>
      </c>
      <c r="I2254" t="s">
        <v>17</v>
      </c>
      <c r="J2254" t="s">
        <v>25</v>
      </c>
    </row>
    <row r="2255" spans="1:11" x14ac:dyDescent="0.2">
      <c r="A2255" t="s">
        <v>8182</v>
      </c>
      <c r="B2255" t="s">
        <v>8183</v>
      </c>
      <c r="F2255" s="2">
        <v>524968724</v>
      </c>
      <c r="G2255" s="2">
        <v>133619338</v>
      </c>
      <c r="H2255" t="s">
        <v>28</v>
      </c>
      <c r="I2255" t="s">
        <v>17</v>
      </c>
      <c r="J2255" t="s">
        <v>25</v>
      </c>
    </row>
    <row r="2256" spans="1:11" x14ac:dyDescent="0.2">
      <c r="A2256" t="s">
        <v>8184</v>
      </c>
      <c r="B2256" t="s">
        <v>8185</v>
      </c>
      <c r="E2256" t="s">
        <v>8186</v>
      </c>
      <c r="F2256" s="2">
        <v>524863591</v>
      </c>
      <c r="G2256" s="2">
        <v>133242826</v>
      </c>
      <c r="H2256" t="s">
        <v>34</v>
      </c>
      <c r="I2256" t="s">
        <v>17</v>
      </c>
      <c r="J2256" t="s">
        <v>25</v>
      </c>
    </row>
    <row r="2257" spans="1:11" x14ac:dyDescent="0.2">
      <c r="A2257" t="s">
        <v>8187</v>
      </c>
      <c r="B2257" t="s">
        <v>8188</v>
      </c>
      <c r="C2257" t="s">
        <v>8189</v>
      </c>
      <c r="E2257" t="s">
        <v>8190</v>
      </c>
      <c r="F2257" s="2">
        <v>524948917</v>
      </c>
      <c r="G2257" s="2">
        <v>133240659</v>
      </c>
      <c r="H2257" t="s">
        <v>38</v>
      </c>
      <c r="I2257" t="s">
        <v>17</v>
      </c>
      <c r="J2257" t="s">
        <v>25</v>
      </c>
    </row>
    <row r="2258" spans="1:11" x14ac:dyDescent="0.2">
      <c r="A2258" t="s">
        <v>8191</v>
      </c>
      <c r="B2258" t="s">
        <v>8192</v>
      </c>
      <c r="F2258" s="2">
        <v>524935341</v>
      </c>
      <c r="G2258" s="2">
        <v>133217046</v>
      </c>
      <c r="H2258" t="s">
        <v>28</v>
      </c>
      <c r="I2258" t="s">
        <v>17</v>
      </c>
      <c r="J2258" t="s">
        <v>25</v>
      </c>
    </row>
    <row r="2259" spans="1:11" x14ac:dyDescent="0.2">
      <c r="A2259" t="s">
        <v>8193</v>
      </c>
      <c r="B2259" t="s">
        <v>8194</v>
      </c>
      <c r="C2259" t="s">
        <v>8195</v>
      </c>
      <c r="E2259" t="s">
        <v>8196</v>
      </c>
      <c r="F2259" s="2">
        <v>524942231</v>
      </c>
      <c r="G2259" s="2">
        <v>134216164</v>
      </c>
      <c r="H2259" t="s">
        <v>277</v>
      </c>
      <c r="I2259" t="s">
        <v>17</v>
      </c>
      <c r="J2259" t="s">
        <v>25</v>
      </c>
      <c r="K2259" t="s">
        <v>8197</v>
      </c>
    </row>
    <row r="2260" spans="1:11" x14ac:dyDescent="0.2">
      <c r="A2260" t="s">
        <v>8198</v>
      </c>
      <c r="B2260" t="s">
        <v>2799</v>
      </c>
      <c r="F2260" s="2">
        <v>525020466</v>
      </c>
      <c r="G2260" s="2">
        <v>133171864</v>
      </c>
      <c r="H2260" t="s">
        <v>28</v>
      </c>
      <c r="I2260" t="s">
        <v>17</v>
      </c>
      <c r="J2260" t="s">
        <v>25</v>
      </c>
    </row>
    <row r="2261" spans="1:11" x14ac:dyDescent="0.2">
      <c r="A2261" t="s">
        <v>8199</v>
      </c>
      <c r="B2261" t="s">
        <v>8200</v>
      </c>
      <c r="C2261" t="s">
        <v>8201</v>
      </c>
      <c r="D2261" t="s">
        <v>8202</v>
      </c>
      <c r="E2261" t="s">
        <v>8203</v>
      </c>
      <c r="F2261" s="2">
        <v>524808814</v>
      </c>
      <c r="G2261" s="2">
        <v>13436058</v>
      </c>
      <c r="H2261" t="s">
        <v>24</v>
      </c>
      <c r="I2261" t="s">
        <v>17</v>
      </c>
      <c r="J2261" t="s">
        <v>25</v>
      </c>
    </row>
    <row r="2262" spans="1:11" x14ac:dyDescent="0.2">
      <c r="A2262" t="s">
        <v>8204</v>
      </c>
      <c r="F2262" s="2">
        <v>525008929</v>
      </c>
      <c r="G2262" s="2">
        <v>133076498</v>
      </c>
      <c r="H2262" t="s">
        <v>28</v>
      </c>
      <c r="I2262" t="s">
        <v>17</v>
      </c>
      <c r="J2262" t="s">
        <v>25</v>
      </c>
    </row>
    <row r="2263" spans="1:11" x14ac:dyDescent="0.2">
      <c r="A2263" t="s">
        <v>8205</v>
      </c>
      <c r="B2263" t="s">
        <v>8206</v>
      </c>
      <c r="C2263" t="s">
        <v>8207</v>
      </c>
      <c r="D2263" t="s">
        <v>8208</v>
      </c>
      <c r="E2263" t="s">
        <v>8209</v>
      </c>
      <c r="F2263" s="2">
        <v>525411956</v>
      </c>
      <c r="G2263" s="2">
        <v>133863657</v>
      </c>
      <c r="H2263" t="s">
        <v>51</v>
      </c>
      <c r="I2263" t="s">
        <v>17</v>
      </c>
      <c r="J2263" t="s">
        <v>25</v>
      </c>
      <c r="K2263" t="s">
        <v>8210</v>
      </c>
    </row>
    <row r="2264" spans="1:11" x14ac:dyDescent="0.2">
      <c r="A2264" t="s">
        <v>8211</v>
      </c>
      <c r="B2264" t="s">
        <v>8212</v>
      </c>
      <c r="F2264" s="2">
        <v>524970056</v>
      </c>
      <c r="G2264" s="2">
        <v>133128929</v>
      </c>
      <c r="H2264" t="s">
        <v>28</v>
      </c>
      <c r="I2264" t="s">
        <v>17</v>
      </c>
      <c r="J2264" t="s">
        <v>25</v>
      </c>
    </row>
    <row r="2265" spans="1:11" x14ac:dyDescent="0.2">
      <c r="A2265" t="s">
        <v>8213</v>
      </c>
      <c r="B2265" t="s">
        <v>8214</v>
      </c>
      <c r="C2265" t="s">
        <v>8215</v>
      </c>
      <c r="D2265" t="s">
        <v>8216</v>
      </c>
      <c r="E2265" t="s">
        <v>8217</v>
      </c>
      <c r="F2265" s="2">
        <v>524969271</v>
      </c>
      <c r="G2265" s="2">
        <v>133135486</v>
      </c>
      <c r="H2265" t="s">
        <v>304</v>
      </c>
      <c r="I2265" t="s">
        <v>17</v>
      </c>
      <c r="J2265" t="s">
        <v>25</v>
      </c>
      <c r="K2265" t="s">
        <v>8218</v>
      </c>
    </row>
    <row r="2266" spans="1:11" x14ac:dyDescent="0.2">
      <c r="A2266" t="s">
        <v>8219</v>
      </c>
      <c r="B2266" t="s">
        <v>8220</v>
      </c>
      <c r="C2266" t="s">
        <v>8221</v>
      </c>
      <c r="E2266" t="s">
        <v>8222</v>
      </c>
      <c r="F2266" s="2">
        <v>525035016</v>
      </c>
      <c r="G2266" s="2">
        <v>134732595</v>
      </c>
      <c r="H2266" t="s">
        <v>277</v>
      </c>
      <c r="I2266" t="s">
        <v>17</v>
      </c>
      <c r="J2266" t="s">
        <v>25</v>
      </c>
      <c r="K2266" t="s">
        <v>8223</v>
      </c>
    </row>
    <row r="2267" spans="1:11" x14ac:dyDescent="0.2">
      <c r="A2267" t="s">
        <v>8224</v>
      </c>
      <c r="B2267" t="s">
        <v>8225</v>
      </c>
      <c r="C2267" t="s">
        <v>8226</v>
      </c>
      <c r="D2267" t="s">
        <v>8227</v>
      </c>
      <c r="F2267" s="2">
        <v>52491587</v>
      </c>
      <c r="G2267" s="2">
        <v>133241419</v>
      </c>
      <c r="H2267" t="s">
        <v>24</v>
      </c>
      <c r="I2267" t="s">
        <v>17</v>
      </c>
      <c r="J2267" t="s">
        <v>25</v>
      </c>
    </row>
    <row r="2268" spans="1:11" x14ac:dyDescent="0.2">
      <c r="A2268" t="s">
        <v>8228</v>
      </c>
      <c r="B2268" t="s">
        <v>8229</v>
      </c>
      <c r="E2268" t="s">
        <v>8230</v>
      </c>
      <c r="F2268" s="2">
        <v>524916546</v>
      </c>
      <c r="G2268" s="2">
        <v>134463573</v>
      </c>
      <c r="H2268" t="s">
        <v>34</v>
      </c>
      <c r="I2268" t="s">
        <v>17</v>
      </c>
      <c r="J2268" t="s">
        <v>25</v>
      </c>
    </row>
    <row r="2269" spans="1:11" x14ac:dyDescent="0.2">
      <c r="A2269" t="s">
        <v>8231</v>
      </c>
      <c r="B2269" t="s">
        <v>8232</v>
      </c>
      <c r="C2269" t="s">
        <v>8233</v>
      </c>
      <c r="D2269" t="s">
        <v>8234</v>
      </c>
      <c r="E2269" t="s">
        <v>8235</v>
      </c>
      <c r="F2269" s="2">
        <v>525084245</v>
      </c>
      <c r="G2269" s="2">
        <v>133939439</v>
      </c>
      <c r="H2269" t="s">
        <v>16</v>
      </c>
      <c r="I2269" t="s">
        <v>17</v>
      </c>
      <c r="J2269" t="s">
        <v>25</v>
      </c>
    </row>
    <row r="2270" spans="1:11" x14ac:dyDescent="0.2">
      <c r="A2270" t="s">
        <v>8236</v>
      </c>
      <c r="B2270" t="s">
        <v>8237</v>
      </c>
      <c r="F2270" s="2">
        <v>525460665</v>
      </c>
      <c r="G2270" s="2">
        <v>134273602</v>
      </c>
      <c r="H2270" t="s">
        <v>28</v>
      </c>
      <c r="I2270" t="s">
        <v>17</v>
      </c>
      <c r="J2270" t="s">
        <v>25</v>
      </c>
    </row>
    <row r="2271" spans="1:11" x14ac:dyDescent="0.2">
      <c r="A2271" t="s">
        <v>8238</v>
      </c>
      <c r="B2271" t="s">
        <v>8239</v>
      </c>
      <c r="C2271" t="s">
        <v>8240</v>
      </c>
      <c r="D2271" t="s">
        <v>8241</v>
      </c>
      <c r="F2271" s="2">
        <v>524968877</v>
      </c>
      <c r="G2271" s="2">
        <v>13313966</v>
      </c>
      <c r="H2271" t="s">
        <v>51</v>
      </c>
      <c r="I2271" t="s">
        <v>17</v>
      </c>
      <c r="J2271" t="s">
        <v>25</v>
      </c>
      <c r="K2271" t="s">
        <v>8242</v>
      </c>
    </row>
    <row r="2272" spans="1:11" x14ac:dyDescent="0.2">
      <c r="A2272" t="s">
        <v>8243</v>
      </c>
      <c r="B2272" t="s">
        <v>8244</v>
      </c>
      <c r="C2272" t="s">
        <v>8245</v>
      </c>
      <c r="D2272" t="s">
        <v>8246</v>
      </c>
      <c r="E2272" t="s">
        <v>8247</v>
      </c>
      <c r="F2272" s="2">
        <v>524624926</v>
      </c>
      <c r="G2272" s="2">
        <v>135170152</v>
      </c>
      <c r="H2272" t="s">
        <v>16</v>
      </c>
      <c r="I2272" t="s">
        <v>17</v>
      </c>
      <c r="J2272" t="s">
        <v>25</v>
      </c>
    </row>
    <row r="2273" spans="1:11" x14ac:dyDescent="0.2">
      <c r="A2273" t="s">
        <v>8248</v>
      </c>
      <c r="B2273" t="s">
        <v>8249</v>
      </c>
      <c r="F2273" s="2">
        <v>524613116</v>
      </c>
      <c r="G2273" s="2">
        <v>135196151</v>
      </c>
      <c r="H2273" t="s">
        <v>28</v>
      </c>
      <c r="I2273" t="s">
        <v>17</v>
      </c>
      <c r="J2273" t="s">
        <v>25</v>
      </c>
    </row>
    <row r="2274" spans="1:11" x14ac:dyDescent="0.2">
      <c r="A2274" t="s">
        <v>8250</v>
      </c>
      <c r="B2274" t="s">
        <v>8251</v>
      </c>
      <c r="F2274" s="2">
        <v>524611388</v>
      </c>
      <c r="G2274" s="2">
        <v>13520388</v>
      </c>
      <c r="H2274" t="s">
        <v>28</v>
      </c>
      <c r="I2274" t="s">
        <v>17</v>
      </c>
      <c r="J2274" t="s">
        <v>25</v>
      </c>
    </row>
    <row r="2275" spans="1:11" x14ac:dyDescent="0.2">
      <c r="A2275" t="s">
        <v>8252</v>
      </c>
      <c r="B2275" t="s">
        <v>8253</v>
      </c>
      <c r="F2275" s="2">
        <v>524611564</v>
      </c>
      <c r="G2275" s="2">
        <v>13518837</v>
      </c>
      <c r="H2275" t="s">
        <v>28</v>
      </c>
      <c r="I2275" t="s">
        <v>17</v>
      </c>
      <c r="J2275" t="s">
        <v>25</v>
      </c>
    </row>
    <row r="2276" spans="1:11" x14ac:dyDescent="0.2">
      <c r="A2276" t="s">
        <v>8254</v>
      </c>
      <c r="B2276" t="s">
        <v>8255</v>
      </c>
      <c r="C2276" t="s">
        <v>8256</v>
      </c>
      <c r="D2276" t="s">
        <v>8257</v>
      </c>
      <c r="F2276" s="2">
        <v>524896214</v>
      </c>
      <c r="G2276" s="2">
        <v>134136461</v>
      </c>
      <c r="H2276" t="s">
        <v>51</v>
      </c>
      <c r="I2276" t="s">
        <v>17</v>
      </c>
      <c r="J2276" t="s">
        <v>25</v>
      </c>
      <c r="K2276" t="s">
        <v>8258</v>
      </c>
    </row>
    <row r="2277" spans="1:11" x14ac:dyDescent="0.2">
      <c r="A2277" t="s">
        <v>8259</v>
      </c>
      <c r="B2277" t="s">
        <v>8260</v>
      </c>
      <c r="C2277" t="s">
        <v>8261</v>
      </c>
      <c r="E2277" t="s">
        <v>8262</v>
      </c>
      <c r="F2277" s="2">
        <v>526009151</v>
      </c>
      <c r="G2277" s="2">
        <v>133305922</v>
      </c>
      <c r="H2277" t="s">
        <v>38</v>
      </c>
      <c r="I2277" t="s">
        <v>17</v>
      </c>
      <c r="J2277" t="s">
        <v>25</v>
      </c>
    </row>
    <row r="2278" spans="1:11" x14ac:dyDescent="0.2">
      <c r="A2278" t="s">
        <v>8263</v>
      </c>
      <c r="B2278" t="s">
        <v>8264</v>
      </c>
      <c r="C2278" t="s">
        <v>8265</v>
      </c>
      <c r="D2278" t="s">
        <v>8266</v>
      </c>
      <c r="F2278" s="2">
        <v>525107163</v>
      </c>
      <c r="G2278" s="2">
        <v>134496074</v>
      </c>
      <c r="H2278" t="s">
        <v>304</v>
      </c>
      <c r="I2278" t="s">
        <v>17</v>
      </c>
      <c r="J2278" t="s">
        <v>25</v>
      </c>
      <c r="K2278" t="s">
        <v>8267</v>
      </c>
    </row>
    <row r="2279" spans="1:11" x14ac:dyDescent="0.2">
      <c r="A2279" t="s">
        <v>8268</v>
      </c>
      <c r="B2279" t="s">
        <v>8269</v>
      </c>
      <c r="C2279" t="s">
        <v>8270</v>
      </c>
      <c r="D2279" t="s">
        <v>8271</v>
      </c>
      <c r="E2279">
        <v>49303125449</v>
      </c>
      <c r="F2279" s="2">
        <v>525073326</v>
      </c>
      <c r="G2279" s="2">
        <v>133204875</v>
      </c>
      <c r="H2279" t="s">
        <v>51</v>
      </c>
      <c r="I2279" t="s">
        <v>17</v>
      </c>
      <c r="J2279" t="s">
        <v>25</v>
      </c>
      <c r="K2279" t="s">
        <v>8272</v>
      </c>
    </row>
    <row r="2280" spans="1:11" x14ac:dyDescent="0.2">
      <c r="A2280" t="s">
        <v>8273</v>
      </c>
      <c r="B2280" t="s">
        <v>8274</v>
      </c>
      <c r="C2280" t="s">
        <v>8275</v>
      </c>
      <c r="D2280" t="s">
        <v>8276</v>
      </c>
      <c r="E2280" t="s">
        <v>8277</v>
      </c>
      <c r="F2280" s="2">
        <v>525230968</v>
      </c>
      <c r="G2280" s="2">
        <v>134072315</v>
      </c>
      <c r="H2280" t="s">
        <v>51</v>
      </c>
      <c r="I2280" t="s">
        <v>17</v>
      </c>
      <c r="J2280" t="s">
        <v>25</v>
      </c>
      <c r="K2280" t="s">
        <v>8278</v>
      </c>
    </row>
    <row r="2281" spans="1:11" x14ac:dyDescent="0.2">
      <c r="A2281" t="s">
        <v>8279</v>
      </c>
      <c r="B2281" t="s">
        <v>8280</v>
      </c>
      <c r="C2281" t="s">
        <v>8281</v>
      </c>
      <c r="D2281" t="s">
        <v>7538</v>
      </c>
      <c r="E2281" t="s">
        <v>8282</v>
      </c>
      <c r="F2281" s="2">
        <v>525232426</v>
      </c>
      <c r="G2281" s="2">
        <v>134083586</v>
      </c>
      <c r="H2281" t="s">
        <v>51</v>
      </c>
      <c r="I2281" t="s">
        <v>17</v>
      </c>
      <c r="J2281" t="s">
        <v>25</v>
      </c>
      <c r="K2281" t="s">
        <v>7540</v>
      </c>
    </row>
    <row r="2282" spans="1:11" x14ac:dyDescent="0.2">
      <c r="A2282" t="s">
        <v>8283</v>
      </c>
      <c r="B2282" t="s">
        <v>8280</v>
      </c>
      <c r="F2282" s="2">
        <v>525233173</v>
      </c>
      <c r="G2282" s="2">
        <v>134081119</v>
      </c>
      <c r="H2282" t="s">
        <v>28</v>
      </c>
      <c r="I2282" t="s">
        <v>17</v>
      </c>
      <c r="J2282" t="s">
        <v>25</v>
      </c>
    </row>
    <row r="2283" spans="1:11" x14ac:dyDescent="0.2">
      <c r="A2283" t="s">
        <v>8284</v>
      </c>
      <c r="F2283" s="2">
        <v>525226494</v>
      </c>
      <c r="G2283" s="2">
        <v>134111269</v>
      </c>
      <c r="H2283" t="s">
        <v>28</v>
      </c>
      <c r="I2283" t="s">
        <v>17</v>
      </c>
      <c r="J2283" t="s">
        <v>25</v>
      </c>
    </row>
    <row r="2284" spans="1:11" x14ac:dyDescent="0.2">
      <c r="A2284" t="s">
        <v>8285</v>
      </c>
      <c r="B2284" t="s">
        <v>8286</v>
      </c>
      <c r="C2284" t="s">
        <v>8287</v>
      </c>
      <c r="E2284" t="s">
        <v>8288</v>
      </c>
      <c r="F2284" s="2">
        <v>52607241</v>
      </c>
      <c r="G2284" s="2">
        <v>134254169</v>
      </c>
      <c r="H2284" t="s">
        <v>38</v>
      </c>
      <c r="I2284" t="s">
        <v>17</v>
      </c>
      <c r="J2284" t="s">
        <v>25</v>
      </c>
    </row>
    <row r="2285" spans="1:11" x14ac:dyDescent="0.2">
      <c r="A2285" t="s">
        <v>8289</v>
      </c>
      <c r="B2285" t="s">
        <v>8290</v>
      </c>
      <c r="C2285" t="s">
        <v>8291</v>
      </c>
      <c r="D2285" t="s">
        <v>8292</v>
      </c>
      <c r="E2285" t="s">
        <v>8293</v>
      </c>
      <c r="F2285" s="2">
        <v>526076972</v>
      </c>
      <c r="G2285" s="2">
        <v>13434513</v>
      </c>
      <c r="H2285" t="s">
        <v>24</v>
      </c>
      <c r="I2285" t="s">
        <v>17</v>
      </c>
      <c r="J2285" t="s">
        <v>25</v>
      </c>
    </row>
    <row r="2286" spans="1:11" x14ac:dyDescent="0.2">
      <c r="A2286" t="s">
        <v>8294</v>
      </c>
      <c r="B2286" t="s">
        <v>8295</v>
      </c>
      <c r="C2286" t="s">
        <v>8296</v>
      </c>
      <c r="D2286" t="s">
        <v>8297</v>
      </c>
      <c r="E2286" t="s">
        <v>8298</v>
      </c>
      <c r="F2286" s="2">
        <v>52538216</v>
      </c>
      <c r="G2286" s="2">
        <v>134173908</v>
      </c>
      <c r="H2286" t="s">
        <v>24</v>
      </c>
      <c r="I2286" t="s">
        <v>17</v>
      </c>
      <c r="J2286" t="s">
        <v>25</v>
      </c>
    </row>
    <row r="2287" spans="1:11" x14ac:dyDescent="0.2">
      <c r="A2287" t="s">
        <v>8299</v>
      </c>
      <c r="B2287" t="s">
        <v>8300</v>
      </c>
      <c r="C2287" t="s">
        <v>8301</v>
      </c>
      <c r="D2287" t="s">
        <v>8302</v>
      </c>
      <c r="E2287">
        <v>493044044743</v>
      </c>
      <c r="F2287" s="2">
        <v>525385418</v>
      </c>
      <c r="G2287" s="2">
        <v>134161732</v>
      </c>
      <c r="H2287" t="s">
        <v>51</v>
      </c>
      <c r="I2287" t="s">
        <v>17</v>
      </c>
      <c r="J2287" t="s">
        <v>25</v>
      </c>
      <c r="K2287" t="s">
        <v>8303</v>
      </c>
    </row>
    <row r="2288" spans="1:11" x14ac:dyDescent="0.2">
      <c r="A2288" t="s">
        <v>8304</v>
      </c>
      <c r="B2288" t="s">
        <v>8305</v>
      </c>
      <c r="E2288" t="s">
        <v>8306</v>
      </c>
      <c r="F2288" s="2">
        <v>525374701</v>
      </c>
      <c r="G2288" s="2">
        <v>13417669</v>
      </c>
      <c r="H2288" t="s">
        <v>34</v>
      </c>
      <c r="I2288" t="s">
        <v>17</v>
      </c>
      <c r="J2288" t="s">
        <v>25</v>
      </c>
    </row>
    <row r="2289" spans="1:11" x14ac:dyDescent="0.2">
      <c r="A2289" t="s">
        <v>8307</v>
      </c>
      <c r="B2289" t="s">
        <v>8308</v>
      </c>
      <c r="C2289" t="s">
        <v>8309</v>
      </c>
      <c r="D2289" t="s">
        <v>8310</v>
      </c>
      <c r="F2289" s="2">
        <v>525401963</v>
      </c>
      <c r="G2289" s="2">
        <v>134161226</v>
      </c>
      <c r="H2289" t="s">
        <v>51</v>
      </c>
      <c r="I2289" t="s">
        <v>17</v>
      </c>
      <c r="J2289" t="s">
        <v>25</v>
      </c>
      <c r="K2289" t="s">
        <v>8311</v>
      </c>
    </row>
    <row r="2290" spans="1:11" x14ac:dyDescent="0.2">
      <c r="A2290" t="s">
        <v>8312</v>
      </c>
      <c r="B2290" t="s">
        <v>8313</v>
      </c>
      <c r="C2290" t="s">
        <v>8314</v>
      </c>
      <c r="D2290" t="s">
        <v>8315</v>
      </c>
      <c r="E2290" t="s">
        <v>8316</v>
      </c>
      <c r="F2290" s="2">
        <v>525382403</v>
      </c>
      <c r="G2290" s="2">
        <v>134169587</v>
      </c>
      <c r="H2290" t="s">
        <v>24</v>
      </c>
      <c r="I2290" t="s">
        <v>17</v>
      </c>
      <c r="J2290" t="s">
        <v>25</v>
      </c>
    </row>
    <row r="2291" spans="1:11" x14ac:dyDescent="0.2">
      <c r="A2291" t="s">
        <v>8317</v>
      </c>
      <c r="B2291" t="s">
        <v>8318</v>
      </c>
      <c r="C2291" t="s">
        <v>8319</v>
      </c>
      <c r="D2291" t="s">
        <v>8320</v>
      </c>
      <c r="E2291">
        <v>493041715100</v>
      </c>
      <c r="F2291" s="2">
        <v>525375649</v>
      </c>
      <c r="G2291" s="2">
        <v>134176731</v>
      </c>
      <c r="H2291" t="s">
        <v>51</v>
      </c>
      <c r="I2291" t="s">
        <v>17</v>
      </c>
      <c r="J2291" t="s">
        <v>25</v>
      </c>
      <c r="K2291" t="s">
        <v>8321</v>
      </c>
    </row>
    <row r="2292" spans="1:11" x14ac:dyDescent="0.2">
      <c r="A2292" t="s">
        <v>8322</v>
      </c>
      <c r="C2292" t="s">
        <v>8323</v>
      </c>
      <c r="D2292" t="s">
        <v>8324</v>
      </c>
      <c r="E2292" t="s">
        <v>8325</v>
      </c>
      <c r="F2292" s="2">
        <v>525401182</v>
      </c>
      <c r="G2292" s="2">
        <v>134061034</v>
      </c>
      <c r="H2292" t="s">
        <v>24</v>
      </c>
      <c r="I2292" t="s">
        <v>17</v>
      </c>
      <c r="J2292" t="s">
        <v>25</v>
      </c>
    </row>
    <row r="2293" spans="1:11" x14ac:dyDescent="0.2">
      <c r="A2293" t="s">
        <v>8326</v>
      </c>
      <c r="B2293" t="s">
        <v>8327</v>
      </c>
      <c r="C2293" t="s">
        <v>8328</v>
      </c>
      <c r="D2293" t="s">
        <v>8329</v>
      </c>
      <c r="F2293" s="2">
        <v>525288003</v>
      </c>
      <c r="G2293" s="2">
        <v>133974051</v>
      </c>
      <c r="H2293" t="s">
        <v>51</v>
      </c>
      <c r="I2293" t="s">
        <v>17</v>
      </c>
      <c r="J2293" t="s">
        <v>25</v>
      </c>
      <c r="K2293" t="s">
        <v>8330</v>
      </c>
    </row>
    <row r="2294" spans="1:11" x14ac:dyDescent="0.2">
      <c r="A2294" t="s">
        <v>8331</v>
      </c>
      <c r="F2294" s="2">
        <v>525294213</v>
      </c>
      <c r="G2294" s="2">
        <v>134000215</v>
      </c>
      <c r="H2294" t="s">
        <v>28</v>
      </c>
      <c r="I2294" t="s">
        <v>17</v>
      </c>
      <c r="J2294" t="s">
        <v>25</v>
      </c>
    </row>
    <row r="2295" spans="1:11" x14ac:dyDescent="0.2">
      <c r="A2295" t="s">
        <v>8332</v>
      </c>
      <c r="B2295" t="s">
        <v>8333</v>
      </c>
      <c r="C2295" t="s">
        <v>8334</v>
      </c>
      <c r="D2295" t="s">
        <v>8335</v>
      </c>
      <c r="E2295" t="s">
        <v>8336</v>
      </c>
      <c r="F2295" s="2">
        <v>525294244</v>
      </c>
      <c r="G2295" s="2">
        <v>134001532</v>
      </c>
      <c r="H2295" t="s">
        <v>51</v>
      </c>
      <c r="I2295" t="s">
        <v>17</v>
      </c>
      <c r="J2295" t="s">
        <v>25</v>
      </c>
      <c r="K2295" t="s">
        <v>8337</v>
      </c>
    </row>
    <row r="2296" spans="1:11" x14ac:dyDescent="0.2">
      <c r="A2296" t="s">
        <v>8338</v>
      </c>
      <c r="B2296" t="s">
        <v>8339</v>
      </c>
      <c r="C2296" t="s">
        <v>8340</v>
      </c>
      <c r="D2296" t="s">
        <v>8341</v>
      </c>
      <c r="E2296" t="s">
        <v>8342</v>
      </c>
      <c r="F2296" s="2">
        <v>525264584</v>
      </c>
      <c r="G2296" s="2">
        <v>133943167</v>
      </c>
      <c r="H2296" t="s">
        <v>51</v>
      </c>
      <c r="I2296" t="s">
        <v>17</v>
      </c>
      <c r="J2296" t="s">
        <v>25</v>
      </c>
      <c r="K2296" t="s">
        <v>8343</v>
      </c>
    </row>
    <row r="2297" spans="1:11" x14ac:dyDescent="0.2">
      <c r="A2297" t="s">
        <v>8344</v>
      </c>
      <c r="F2297" s="2">
        <v>525298328</v>
      </c>
      <c r="G2297" s="2">
        <v>134247258</v>
      </c>
      <c r="H2297" t="s">
        <v>28</v>
      </c>
      <c r="I2297" t="s">
        <v>17</v>
      </c>
      <c r="J2297" t="s">
        <v>25</v>
      </c>
    </row>
    <row r="2298" spans="1:11" x14ac:dyDescent="0.2">
      <c r="A2298" t="s">
        <v>8345</v>
      </c>
      <c r="B2298" t="s">
        <v>8346</v>
      </c>
      <c r="F2298" s="2">
        <v>525104783</v>
      </c>
      <c r="G2298" s="2">
        <v>134512725</v>
      </c>
      <c r="H2298" t="s">
        <v>28</v>
      </c>
      <c r="I2298" t="s">
        <v>17</v>
      </c>
      <c r="J2298" t="s">
        <v>25</v>
      </c>
    </row>
    <row r="2299" spans="1:11" x14ac:dyDescent="0.2">
      <c r="A2299" t="s">
        <v>8347</v>
      </c>
      <c r="B2299" t="s">
        <v>8348</v>
      </c>
      <c r="C2299" t="s">
        <v>8349</v>
      </c>
      <c r="D2299" t="s">
        <v>8350</v>
      </c>
      <c r="E2299" t="s">
        <v>8351</v>
      </c>
      <c r="F2299" s="2">
        <v>52512287</v>
      </c>
      <c r="G2299" s="2">
        <v>134484294</v>
      </c>
      <c r="H2299" t="s">
        <v>51</v>
      </c>
      <c r="I2299" t="s">
        <v>17</v>
      </c>
      <c r="J2299" t="s">
        <v>25</v>
      </c>
      <c r="K2299" t="s">
        <v>8352</v>
      </c>
    </row>
    <row r="2300" spans="1:11" x14ac:dyDescent="0.2">
      <c r="A2300" t="s">
        <v>8353</v>
      </c>
      <c r="B2300" t="s">
        <v>8354</v>
      </c>
      <c r="C2300" t="s">
        <v>8355</v>
      </c>
      <c r="D2300" t="s">
        <v>8356</v>
      </c>
      <c r="F2300" s="2">
        <v>524877665</v>
      </c>
      <c r="G2300" s="2">
        <v>133214999</v>
      </c>
      <c r="H2300" t="s">
        <v>51</v>
      </c>
      <c r="I2300" t="s">
        <v>17</v>
      </c>
      <c r="J2300" t="s">
        <v>25</v>
      </c>
      <c r="K2300" t="s">
        <v>7559</v>
      </c>
    </row>
    <row r="2301" spans="1:11" x14ac:dyDescent="0.2">
      <c r="A2301" t="s">
        <v>8357</v>
      </c>
      <c r="B2301" t="s">
        <v>8358</v>
      </c>
      <c r="E2301" t="s">
        <v>8359</v>
      </c>
      <c r="F2301" s="2">
        <v>524833347</v>
      </c>
      <c r="G2301" s="2">
        <v>13297861</v>
      </c>
      <c r="H2301" t="s">
        <v>34</v>
      </c>
      <c r="I2301" t="s">
        <v>17</v>
      </c>
      <c r="J2301" t="s">
        <v>25</v>
      </c>
    </row>
    <row r="2302" spans="1:11" x14ac:dyDescent="0.2">
      <c r="A2302" t="s">
        <v>8360</v>
      </c>
      <c r="F2302" s="2">
        <v>524820859</v>
      </c>
      <c r="G2302" s="2">
        <v>132972694</v>
      </c>
      <c r="H2302" t="s">
        <v>28</v>
      </c>
      <c r="I2302" t="s">
        <v>17</v>
      </c>
      <c r="J2302" t="s">
        <v>25</v>
      </c>
    </row>
    <row r="2303" spans="1:11" x14ac:dyDescent="0.2">
      <c r="A2303" t="s">
        <v>8361</v>
      </c>
      <c r="F2303" s="2">
        <v>524324073</v>
      </c>
      <c r="G2303" s="2">
        <v>133538507</v>
      </c>
      <c r="H2303" t="s">
        <v>28</v>
      </c>
      <c r="I2303" t="s">
        <v>17</v>
      </c>
      <c r="J2303" t="s">
        <v>25</v>
      </c>
    </row>
    <row r="2304" spans="1:11" x14ac:dyDescent="0.2">
      <c r="A2304" t="s">
        <v>8362</v>
      </c>
      <c r="B2304" t="s">
        <v>8363</v>
      </c>
      <c r="C2304" t="s">
        <v>8364</v>
      </c>
      <c r="D2304" t="s">
        <v>8365</v>
      </c>
      <c r="F2304" s="2">
        <v>524669245</v>
      </c>
      <c r="G2304" s="2">
        <v>133144131</v>
      </c>
      <c r="H2304" t="s">
        <v>16</v>
      </c>
      <c r="I2304" t="s">
        <v>17</v>
      </c>
      <c r="J2304" t="s">
        <v>25</v>
      </c>
    </row>
    <row r="2305" spans="1:11" x14ac:dyDescent="0.2">
      <c r="A2305" t="s">
        <v>8366</v>
      </c>
      <c r="B2305" t="s">
        <v>8367</v>
      </c>
      <c r="F2305" s="2">
        <v>524366182</v>
      </c>
      <c r="G2305" s="2">
        <v>134723917</v>
      </c>
      <c r="H2305" t="s">
        <v>28</v>
      </c>
      <c r="I2305" t="s">
        <v>17</v>
      </c>
      <c r="J2305" t="s">
        <v>25</v>
      </c>
    </row>
    <row r="2306" spans="1:11" x14ac:dyDescent="0.2">
      <c r="A2306" t="s">
        <v>8368</v>
      </c>
      <c r="B2306" t="s">
        <v>8369</v>
      </c>
      <c r="E2306" t="s">
        <v>8370</v>
      </c>
      <c r="F2306" s="2">
        <v>525065851</v>
      </c>
      <c r="G2306" s="2">
        <v>133161012</v>
      </c>
      <c r="H2306" t="s">
        <v>34</v>
      </c>
      <c r="I2306" t="s">
        <v>17</v>
      </c>
      <c r="J2306" t="s">
        <v>25</v>
      </c>
    </row>
    <row r="2307" spans="1:11" x14ac:dyDescent="0.2">
      <c r="A2307" t="s">
        <v>8371</v>
      </c>
      <c r="B2307" t="s">
        <v>7479</v>
      </c>
      <c r="F2307" s="2">
        <v>525323905</v>
      </c>
      <c r="G2307" s="2">
        <v>133972886</v>
      </c>
      <c r="H2307" t="s">
        <v>28</v>
      </c>
      <c r="I2307" t="s">
        <v>17</v>
      </c>
      <c r="J2307" t="s">
        <v>25</v>
      </c>
    </row>
    <row r="2308" spans="1:11" x14ac:dyDescent="0.2">
      <c r="A2308" t="s">
        <v>8372</v>
      </c>
      <c r="F2308" s="2">
        <v>525398343</v>
      </c>
      <c r="G2308" s="2">
        <v>134183924</v>
      </c>
      <c r="H2308" t="s">
        <v>28</v>
      </c>
      <c r="I2308" t="s">
        <v>17</v>
      </c>
      <c r="J2308" t="s">
        <v>25</v>
      </c>
    </row>
    <row r="2309" spans="1:11" x14ac:dyDescent="0.2">
      <c r="A2309" t="s">
        <v>8373</v>
      </c>
      <c r="B2309" t="s">
        <v>8374</v>
      </c>
      <c r="C2309" t="s">
        <v>8375</v>
      </c>
      <c r="E2309" t="s">
        <v>8376</v>
      </c>
    </row>
    <row r="2310" spans="1:11" x14ac:dyDescent="0.2">
      <c r="A2310" t="s">
        <v>8377</v>
      </c>
      <c r="F2310" s="2">
        <v>52499794</v>
      </c>
      <c r="G2310" s="2">
        <v>13323434</v>
      </c>
      <c r="H2310" t="s">
        <v>28</v>
      </c>
      <c r="I2310" t="s">
        <v>17</v>
      </c>
      <c r="J2310" t="s">
        <v>25</v>
      </c>
    </row>
    <row r="2311" spans="1:11" x14ac:dyDescent="0.2">
      <c r="A2311" t="s">
        <v>8378</v>
      </c>
      <c r="B2311" t="s">
        <v>8379</v>
      </c>
      <c r="C2311" t="s">
        <v>8380</v>
      </c>
      <c r="E2311" t="s">
        <v>8381</v>
      </c>
      <c r="F2311" s="2">
        <v>525084898</v>
      </c>
      <c r="G2311" s="2">
        <v>13391317</v>
      </c>
      <c r="H2311" t="s">
        <v>38</v>
      </c>
      <c r="I2311" t="s">
        <v>17</v>
      </c>
      <c r="J2311" t="s">
        <v>25</v>
      </c>
    </row>
    <row r="2312" spans="1:11" x14ac:dyDescent="0.2">
      <c r="A2312" t="s">
        <v>8382</v>
      </c>
      <c r="B2312" t="s">
        <v>8383</v>
      </c>
      <c r="C2312" t="s">
        <v>8384</v>
      </c>
      <c r="E2312" t="s">
        <v>8385</v>
      </c>
      <c r="F2312" s="2">
        <v>5254143</v>
      </c>
      <c r="G2312" s="2">
        <v>134236641</v>
      </c>
      <c r="H2312" t="s">
        <v>38</v>
      </c>
      <c r="I2312" t="s">
        <v>17</v>
      </c>
      <c r="J2312" t="s">
        <v>25</v>
      </c>
    </row>
    <row r="2313" spans="1:11" x14ac:dyDescent="0.2">
      <c r="A2313" t="s">
        <v>8386</v>
      </c>
      <c r="C2313" t="s">
        <v>8387</v>
      </c>
      <c r="E2313" t="s">
        <v>8388</v>
      </c>
      <c r="F2313" s="2">
        <v>524872094</v>
      </c>
      <c r="G2313" s="2">
        <v>133584096</v>
      </c>
      <c r="H2313" t="s">
        <v>38</v>
      </c>
      <c r="I2313" t="s">
        <v>17</v>
      </c>
      <c r="J2313" t="s">
        <v>25</v>
      </c>
    </row>
    <row r="2314" spans="1:11" x14ac:dyDescent="0.2">
      <c r="A2314" t="s">
        <v>8389</v>
      </c>
      <c r="B2314" t="s">
        <v>8390</v>
      </c>
      <c r="C2314" t="s">
        <v>8391</v>
      </c>
      <c r="E2314" t="s">
        <v>8392</v>
      </c>
      <c r="F2314" s="2">
        <v>524978784</v>
      </c>
      <c r="G2314" s="2">
        <v>133276609</v>
      </c>
      <c r="H2314" t="s">
        <v>38</v>
      </c>
      <c r="I2314" t="s">
        <v>17</v>
      </c>
      <c r="J2314" t="s">
        <v>25</v>
      </c>
    </row>
    <row r="2315" spans="1:11" x14ac:dyDescent="0.2">
      <c r="A2315" t="s">
        <v>8393</v>
      </c>
      <c r="B2315" t="s">
        <v>8394</v>
      </c>
      <c r="E2315" t="s">
        <v>8395</v>
      </c>
      <c r="F2315" s="2">
        <v>525087991</v>
      </c>
      <c r="G2315" s="2">
        <v>13318271</v>
      </c>
      <c r="H2315" t="s">
        <v>34</v>
      </c>
      <c r="I2315" t="s">
        <v>17</v>
      </c>
      <c r="J2315" t="s">
        <v>25</v>
      </c>
    </row>
    <row r="2316" spans="1:11" x14ac:dyDescent="0.2">
      <c r="A2316" t="s">
        <v>8396</v>
      </c>
      <c r="B2316" t="s">
        <v>5661</v>
      </c>
      <c r="F2316" s="2">
        <v>525080655</v>
      </c>
      <c r="G2316" s="2">
        <v>133729827</v>
      </c>
      <c r="H2316" t="s">
        <v>28</v>
      </c>
      <c r="I2316" t="s">
        <v>17</v>
      </c>
      <c r="J2316" t="s">
        <v>25</v>
      </c>
    </row>
    <row r="2317" spans="1:11" x14ac:dyDescent="0.2">
      <c r="A2317" t="s">
        <v>8397</v>
      </c>
      <c r="B2317" t="s">
        <v>5661</v>
      </c>
      <c r="F2317" s="2">
        <v>52507889</v>
      </c>
      <c r="G2317" s="2">
        <v>133725093</v>
      </c>
      <c r="H2317" t="s">
        <v>28</v>
      </c>
      <c r="I2317" t="s">
        <v>17</v>
      </c>
      <c r="J2317" t="s">
        <v>25</v>
      </c>
    </row>
    <row r="2318" spans="1:11" x14ac:dyDescent="0.2">
      <c r="A2318" t="s">
        <v>8398</v>
      </c>
      <c r="B2318" t="s">
        <v>8399</v>
      </c>
      <c r="C2318" t="s">
        <v>8400</v>
      </c>
      <c r="D2318" t="s">
        <v>8401</v>
      </c>
      <c r="E2318">
        <v>493081492544</v>
      </c>
      <c r="F2318" s="2">
        <v>524904882</v>
      </c>
      <c r="G2318" s="2">
        <v>133901184</v>
      </c>
      <c r="H2318" t="s">
        <v>51</v>
      </c>
      <c r="I2318" t="s">
        <v>17</v>
      </c>
      <c r="J2318" t="s">
        <v>25</v>
      </c>
      <c r="K2318" t="s">
        <v>8402</v>
      </c>
    </row>
    <row r="2319" spans="1:11" x14ac:dyDescent="0.2">
      <c r="A2319" t="s">
        <v>8403</v>
      </c>
      <c r="B2319" t="s">
        <v>8404</v>
      </c>
      <c r="C2319" t="s">
        <v>8405</v>
      </c>
      <c r="E2319" t="s">
        <v>8406</v>
      </c>
      <c r="F2319" s="2">
        <v>524601388</v>
      </c>
      <c r="G2319" s="2">
        <v>133738391</v>
      </c>
      <c r="H2319" t="s">
        <v>38</v>
      </c>
      <c r="I2319" t="s">
        <v>17</v>
      </c>
      <c r="J2319" t="s">
        <v>25</v>
      </c>
    </row>
    <row r="2320" spans="1:11" x14ac:dyDescent="0.2">
      <c r="A2320" t="s">
        <v>8407</v>
      </c>
      <c r="B2320" t="s">
        <v>8408</v>
      </c>
      <c r="C2320" t="s">
        <v>8409</v>
      </c>
      <c r="F2320" s="2">
        <v>524902121</v>
      </c>
      <c r="G2320" s="2">
        <v>133555115</v>
      </c>
      <c r="H2320" t="s">
        <v>255</v>
      </c>
      <c r="I2320" t="s">
        <v>17</v>
      </c>
      <c r="J2320" t="s">
        <v>25</v>
      </c>
    </row>
    <row r="2321" spans="1:11" x14ac:dyDescent="0.2">
      <c r="A2321" t="s">
        <v>8410</v>
      </c>
      <c r="B2321" t="s">
        <v>8411</v>
      </c>
      <c r="E2321">
        <v>493023632205</v>
      </c>
      <c r="F2321" s="2">
        <v>525001786</v>
      </c>
      <c r="G2321" s="2">
        <v>133358384</v>
      </c>
      <c r="H2321" t="s">
        <v>34</v>
      </c>
      <c r="I2321" t="s">
        <v>17</v>
      </c>
      <c r="J2321" t="s">
        <v>25</v>
      </c>
    </row>
    <row r="2322" spans="1:11" x14ac:dyDescent="0.2">
      <c r="A2322" t="s">
        <v>8412</v>
      </c>
      <c r="B2322" t="s">
        <v>8413</v>
      </c>
      <c r="C2322" t="s">
        <v>8414</v>
      </c>
      <c r="F2322" s="2">
        <v>524590842</v>
      </c>
      <c r="G2322" s="2">
        <v>132831876</v>
      </c>
      <c r="H2322" t="s">
        <v>255</v>
      </c>
      <c r="I2322" t="s">
        <v>17</v>
      </c>
      <c r="J2322" t="s">
        <v>25</v>
      </c>
    </row>
    <row r="2323" spans="1:11" x14ac:dyDescent="0.2">
      <c r="A2323" t="s">
        <v>8415</v>
      </c>
      <c r="B2323" t="s">
        <v>8416</v>
      </c>
      <c r="E2323" t="s">
        <v>8417</v>
      </c>
      <c r="F2323" s="2">
        <v>524559564</v>
      </c>
      <c r="G2323" s="2">
        <v>133239171</v>
      </c>
      <c r="H2323" t="s">
        <v>34</v>
      </c>
      <c r="I2323" t="s">
        <v>17</v>
      </c>
      <c r="J2323" t="s">
        <v>25</v>
      </c>
    </row>
    <row r="2324" spans="1:11" x14ac:dyDescent="0.2">
      <c r="A2324" t="s">
        <v>8418</v>
      </c>
      <c r="E2324" t="s">
        <v>8419</v>
      </c>
      <c r="F2324" s="2">
        <v>524560304</v>
      </c>
      <c r="G2324" s="2">
        <v>133236003</v>
      </c>
      <c r="H2324" t="s">
        <v>34</v>
      </c>
      <c r="I2324" t="s">
        <v>17</v>
      </c>
      <c r="J2324" t="s">
        <v>25</v>
      </c>
    </row>
    <row r="2325" spans="1:11" x14ac:dyDescent="0.2">
      <c r="A2325" t="s">
        <v>8420</v>
      </c>
      <c r="B2325" t="s">
        <v>8421</v>
      </c>
      <c r="C2325" t="s">
        <v>8422</v>
      </c>
      <c r="F2325" s="2">
        <v>525266022</v>
      </c>
      <c r="G2325" s="2">
        <v>133039531</v>
      </c>
      <c r="H2325" t="s">
        <v>255</v>
      </c>
      <c r="I2325" t="s">
        <v>17</v>
      </c>
      <c r="J2325" t="s">
        <v>25</v>
      </c>
    </row>
    <row r="2326" spans="1:11" x14ac:dyDescent="0.2">
      <c r="A2326" t="s">
        <v>8423</v>
      </c>
      <c r="B2326" t="s">
        <v>8421</v>
      </c>
      <c r="F2326" s="2">
        <v>525264304</v>
      </c>
      <c r="G2326" s="2">
        <v>133039173</v>
      </c>
      <c r="H2326" t="s">
        <v>28</v>
      </c>
      <c r="I2326" t="s">
        <v>17</v>
      </c>
      <c r="J2326" t="s">
        <v>25</v>
      </c>
    </row>
    <row r="2327" spans="1:11" x14ac:dyDescent="0.2">
      <c r="A2327" t="s">
        <v>8424</v>
      </c>
      <c r="F2327" s="2">
        <v>525712497</v>
      </c>
      <c r="G2327" s="2">
        <v>13360079</v>
      </c>
      <c r="H2327" t="s">
        <v>28</v>
      </c>
      <c r="I2327" t="s">
        <v>17</v>
      </c>
      <c r="J2327" t="s">
        <v>25</v>
      </c>
    </row>
    <row r="2328" spans="1:11" x14ac:dyDescent="0.2">
      <c r="A2328" t="s">
        <v>8425</v>
      </c>
      <c r="B2328" t="s">
        <v>8426</v>
      </c>
      <c r="C2328" t="s">
        <v>8427</v>
      </c>
      <c r="E2328" t="s">
        <v>8428</v>
      </c>
      <c r="F2328" s="2">
        <v>524457442</v>
      </c>
      <c r="G2328" s="2">
        <v>132949275</v>
      </c>
      <c r="H2328" t="s">
        <v>38</v>
      </c>
      <c r="I2328" t="s">
        <v>17</v>
      </c>
      <c r="J2328" t="s">
        <v>25</v>
      </c>
    </row>
    <row r="2329" spans="1:11" x14ac:dyDescent="0.2">
      <c r="A2329" t="s">
        <v>8429</v>
      </c>
      <c r="B2329" t="s">
        <v>8430</v>
      </c>
      <c r="C2329" t="s">
        <v>8431</v>
      </c>
      <c r="D2329" t="s">
        <v>8432</v>
      </c>
      <c r="E2329" t="s">
        <v>8433</v>
      </c>
      <c r="F2329" s="2">
        <v>524929328</v>
      </c>
      <c r="G2329" s="2">
        <v>133293261</v>
      </c>
      <c r="H2329" t="s">
        <v>51</v>
      </c>
      <c r="I2329" t="s">
        <v>17</v>
      </c>
      <c r="J2329" t="s">
        <v>25</v>
      </c>
      <c r="K2329" t="s">
        <v>8434</v>
      </c>
    </row>
    <row r="2330" spans="1:11" x14ac:dyDescent="0.2">
      <c r="A2330" t="s">
        <v>8435</v>
      </c>
      <c r="B2330" t="s">
        <v>8436</v>
      </c>
      <c r="E2330" t="s">
        <v>8437</v>
      </c>
      <c r="F2330" s="2">
        <v>524805757</v>
      </c>
      <c r="G2330" s="2">
        <v>134391538</v>
      </c>
      <c r="H2330" t="s">
        <v>34</v>
      </c>
      <c r="I2330" t="s">
        <v>17</v>
      </c>
      <c r="J2330" t="s">
        <v>25</v>
      </c>
    </row>
    <row r="2331" spans="1:11" x14ac:dyDescent="0.2">
      <c r="A2331" t="s">
        <v>8438</v>
      </c>
      <c r="B2331" t="s">
        <v>8439</v>
      </c>
      <c r="C2331" t="s">
        <v>8440</v>
      </c>
      <c r="D2331" t="s">
        <v>8441</v>
      </c>
      <c r="E2331" t="s">
        <v>8442</v>
      </c>
      <c r="F2331" s="2">
        <v>524715003</v>
      </c>
      <c r="G2331" s="2">
        <v>133654328</v>
      </c>
      <c r="H2331" t="s">
        <v>51</v>
      </c>
      <c r="I2331" t="s">
        <v>17</v>
      </c>
      <c r="J2331" t="s">
        <v>25</v>
      </c>
      <c r="K2331" t="s">
        <v>8443</v>
      </c>
    </row>
    <row r="2332" spans="1:11" x14ac:dyDescent="0.2">
      <c r="A2332" t="s">
        <v>8444</v>
      </c>
      <c r="C2332" t="s">
        <v>8445</v>
      </c>
      <c r="D2332" t="s">
        <v>8446</v>
      </c>
      <c r="F2332" s="2">
        <v>525003068</v>
      </c>
      <c r="G2332" s="2">
        <v>134224777</v>
      </c>
      <c r="H2332" t="s">
        <v>304</v>
      </c>
      <c r="I2332" t="s">
        <v>17</v>
      </c>
      <c r="J2332" t="s">
        <v>25</v>
      </c>
      <c r="K2332" t="s">
        <v>8447</v>
      </c>
    </row>
    <row r="2333" spans="1:11" x14ac:dyDescent="0.2">
      <c r="A2333" t="s">
        <v>8448</v>
      </c>
      <c r="B2333" t="s">
        <v>8449</v>
      </c>
      <c r="C2333" t="s">
        <v>8450</v>
      </c>
      <c r="F2333" s="2">
        <v>525292538</v>
      </c>
      <c r="G2333" s="2">
        <v>134282573</v>
      </c>
      <c r="H2333" t="s">
        <v>255</v>
      </c>
      <c r="I2333" t="s">
        <v>17</v>
      </c>
      <c r="J2333" t="s">
        <v>25</v>
      </c>
    </row>
    <row r="2334" spans="1:11" x14ac:dyDescent="0.2">
      <c r="A2334" t="s">
        <v>8451</v>
      </c>
      <c r="B2334" t="s">
        <v>8452</v>
      </c>
      <c r="C2334" t="s">
        <v>8453</v>
      </c>
      <c r="D2334" t="s">
        <v>8454</v>
      </c>
      <c r="E2334" t="s">
        <v>8455</v>
      </c>
      <c r="F2334" s="2">
        <v>524811108</v>
      </c>
      <c r="G2334" s="2">
        <v>133553763</v>
      </c>
      <c r="H2334" t="s">
        <v>51</v>
      </c>
      <c r="I2334" t="s">
        <v>17</v>
      </c>
      <c r="J2334" t="s">
        <v>25</v>
      </c>
      <c r="K2334" t="s">
        <v>6826</v>
      </c>
    </row>
    <row r="2335" spans="1:11" x14ac:dyDescent="0.2">
      <c r="A2335" t="s">
        <v>8456</v>
      </c>
      <c r="B2335" t="s">
        <v>8457</v>
      </c>
      <c r="C2335" t="s">
        <v>8458</v>
      </c>
      <c r="E2335" t="s">
        <v>8459</v>
      </c>
      <c r="F2335" s="2">
        <v>525045171</v>
      </c>
      <c r="G2335" s="2">
        <v>134681336</v>
      </c>
      <c r="H2335" t="s">
        <v>277</v>
      </c>
      <c r="I2335" t="s">
        <v>17</v>
      </c>
      <c r="J2335" t="s">
        <v>25</v>
      </c>
      <c r="K2335" t="s">
        <v>8460</v>
      </c>
    </row>
    <row r="2336" spans="1:11" x14ac:dyDescent="0.2">
      <c r="A2336" t="s">
        <v>8461</v>
      </c>
      <c r="B2336" t="s">
        <v>8462</v>
      </c>
      <c r="C2336" t="s">
        <v>8463</v>
      </c>
      <c r="E2336">
        <v>493023936961</v>
      </c>
      <c r="F2336" s="2">
        <v>525125016</v>
      </c>
      <c r="G2336" s="2">
        <v>133943233</v>
      </c>
      <c r="H2336" t="s">
        <v>277</v>
      </c>
      <c r="I2336" t="s">
        <v>17</v>
      </c>
      <c r="J2336" t="s">
        <v>25</v>
      </c>
      <c r="K2336" t="s">
        <v>8464</v>
      </c>
    </row>
    <row r="2337" spans="1:11" x14ac:dyDescent="0.2">
      <c r="A2337" t="s">
        <v>8465</v>
      </c>
      <c r="B2337" t="s">
        <v>8466</v>
      </c>
      <c r="C2337" t="s">
        <v>8467</v>
      </c>
      <c r="F2337" s="2">
        <v>524571376</v>
      </c>
      <c r="G2337" s="2">
        <v>133842463</v>
      </c>
      <c r="H2337" t="s">
        <v>255</v>
      </c>
      <c r="I2337" t="s">
        <v>17</v>
      </c>
      <c r="J2337" t="s">
        <v>25</v>
      </c>
    </row>
    <row r="2338" spans="1:11" x14ac:dyDescent="0.2">
      <c r="A2338" t="s">
        <v>8468</v>
      </c>
      <c r="B2338" t="s">
        <v>8469</v>
      </c>
      <c r="C2338" t="s">
        <v>8470</v>
      </c>
      <c r="D2338" t="s">
        <v>8471</v>
      </c>
      <c r="E2338">
        <v>493068231873</v>
      </c>
      <c r="F2338" s="2">
        <v>524810862</v>
      </c>
      <c r="G2338" s="2">
        <v>134252513</v>
      </c>
      <c r="H2338" t="s">
        <v>51</v>
      </c>
      <c r="I2338" t="s">
        <v>17</v>
      </c>
      <c r="J2338" t="s">
        <v>25</v>
      </c>
      <c r="K2338" t="s">
        <v>8472</v>
      </c>
    </row>
    <row r="2339" spans="1:11" x14ac:dyDescent="0.2">
      <c r="A2339" t="s">
        <v>8473</v>
      </c>
      <c r="B2339" t="s">
        <v>8474</v>
      </c>
      <c r="F2339" s="2">
        <v>525284118</v>
      </c>
      <c r="G2339" s="2">
        <v>133112495</v>
      </c>
      <c r="H2339" t="s">
        <v>28</v>
      </c>
      <c r="I2339" t="s">
        <v>17</v>
      </c>
      <c r="J2339" t="s">
        <v>25</v>
      </c>
    </row>
    <row r="2340" spans="1:11" x14ac:dyDescent="0.2">
      <c r="A2340" t="s">
        <v>8475</v>
      </c>
      <c r="B2340" t="s">
        <v>8476</v>
      </c>
      <c r="E2340" t="s">
        <v>8477</v>
      </c>
      <c r="F2340" s="2">
        <v>525125102</v>
      </c>
      <c r="G2340" s="2">
        <v>134515345</v>
      </c>
      <c r="H2340" t="s">
        <v>34</v>
      </c>
      <c r="I2340" t="s">
        <v>17</v>
      </c>
      <c r="J2340" t="s">
        <v>25</v>
      </c>
    </row>
    <row r="2341" spans="1:11" x14ac:dyDescent="0.2">
      <c r="A2341" t="s">
        <v>8478</v>
      </c>
      <c r="B2341" t="s">
        <v>8479</v>
      </c>
      <c r="C2341" t="s">
        <v>8480</v>
      </c>
      <c r="D2341" t="s">
        <v>8481</v>
      </c>
      <c r="E2341" t="s">
        <v>8482</v>
      </c>
      <c r="F2341" s="2">
        <v>525401175</v>
      </c>
      <c r="G2341" s="2">
        <v>133951374</v>
      </c>
      <c r="H2341" t="s">
        <v>304</v>
      </c>
      <c r="I2341" t="s">
        <v>17</v>
      </c>
      <c r="J2341" t="s">
        <v>25</v>
      </c>
      <c r="K2341" t="s">
        <v>8483</v>
      </c>
    </row>
    <row r="2342" spans="1:11" x14ac:dyDescent="0.2">
      <c r="A2342" t="s">
        <v>8484</v>
      </c>
      <c r="B2342" t="s">
        <v>8485</v>
      </c>
      <c r="C2342" t="s">
        <v>8486</v>
      </c>
      <c r="F2342" s="2">
        <v>525411947</v>
      </c>
      <c r="G2342" s="2">
        <v>132003377</v>
      </c>
      <c r="H2342" t="s">
        <v>255</v>
      </c>
      <c r="I2342" t="s">
        <v>17</v>
      </c>
      <c r="J2342" t="s">
        <v>25</v>
      </c>
    </row>
    <row r="2343" spans="1:11" x14ac:dyDescent="0.2">
      <c r="A2343" t="s">
        <v>8487</v>
      </c>
      <c r="B2343" t="s">
        <v>8488</v>
      </c>
      <c r="C2343" t="s">
        <v>8489</v>
      </c>
      <c r="E2343" t="s">
        <v>8490</v>
      </c>
      <c r="F2343" s="2">
        <v>524548549</v>
      </c>
      <c r="G2343" s="2">
        <v>131442024</v>
      </c>
      <c r="H2343" t="s">
        <v>277</v>
      </c>
      <c r="I2343" t="s">
        <v>17</v>
      </c>
      <c r="J2343" t="s">
        <v>25</v>
      </c>
      <c r="K2343" t="s">
        <v>8491</v>
      </c>
    </row>
    <row r="2344" spans="1:11" x14ac:dyDescent="0.2">
      <c r="A2344" t="s">
        <v>8492</v>
      </c>
      <c r="B2344" t="s">
        <v>8493</v>
      </c>
      <c r="C2344" t="s">
        <v>8494</v>
      </c>
      <c r="E2344" t="s">
        <v>8495</v>
      </c>
      <c r="F2344" s="2">
        <v>525064831</v>
      </c>
      <c r="G2344" s="2">
        <v>134708158</v>
      </c>
      <c r="H2344" t="s">
        <v>277</v>
      </c>
      <c r="I2344" t="s">
        <v>17</v>
      </c>
      <c r="J2344" t="s">
        <v>25</v>
      </c>
      <c r="K2344" t="s">
        <v>8496</v>
      </c>
    </row>
    <row r="2345" spans="1:11" x14ac:dyDescent="0.2">
      <c r="A2345" t="s">
        <v>8497</v>
      </c>
      <c r="B2345" t="s">
        <v>8498</v>
      </c>
      <c r="C2345" t="s">
        <v>8499</v>
      </c>
      <c r="E2345" t="s">
        <v>8500</v>
      </c>
      <c r="F2345" s="2">
        <v>525463211</v>
      </c>
      <c r="G2345" s="2">
        <v>134177846</v>
      </c>
      <c r="H2345" t="s">
        <v>277</v>
      </c>
      <c r="I2345" t="s">
        <v>17</v>
      </c>
      <c r="J2345" t="s">
        <v>25</v>
      </c>
      <c r="K2345" t="s">
        <v>8501</v>
      </c>
    </row>
    <row r="2346" spans="1:11" x14ac:dyDescent="0.2">
      <c r="A2346" t="s">
        <v>8502</v>
      </c>
      <c r="B2346" t="s">
        <v>8503</v>
      </c>
      <c r="C2346" t="s">
        <v>8504</v>
      </c>
      <c r="D2346" t="s">
        <v>8505</v>
      </c>
      <c r="E2346" t="s">
        <v>8506</v>
      </c>
      <c r="F2346" s="2">
        <v>525143716</v>
      </c>
      <c r="G2346" s="2">
        <v>134538268</v>
      </c>
      <c r="H2346" t="s">
        <v>304</v>
      </c>
      <c r="I2346" t="s">
        <v>17</v>
      </c>
      <c r="J2346" t="s">
        <v>25</v>
      </c>
      <c r="K2346" t="s">
        <v>8507</v>
      </c>
    </row>
    <row r="2347" spans="1:11" x14ac:dyDescent="0.2">
      <c r="A2347" t="s">
        <v>8508</v>
      </c>
      <c r="B2347" t="s">
        <v>8509</v>
      </c>
      <c r="F2347" s="2">
        <v>525019968</v>
      </c>
      <c r="G2347" s="2">
        <v>133328201</v>
      </c>
      <c r="H2347" t="s">
        <v>28</v>
      </c>
      <c r="I2347" t="s">
        <v>17</v>
      </c>
      <c r="J2347" t="s">
        <v>25</v>
      </c>
    </row>
    <row r="2348" spans="1:11" x14ac:dyDescent="0.2">
      <c r="A2348" t="s">
        <v>8510</v>
      </c>
      <c r="B2348" t="s">
        <v>8511</v>
      </c>
      <c r="C2348" t="s">
        <v>8512</v>
      </c>
      <c r="E2348" t="s">
        <v>8513</v>
      </c>
      <c r="F2348" s="2">
        <v>525227979</v>
      </c>
      <c r="G2348" s="2">
        <v>134014167</v>
      </c>
      <c r="H2348" t="s">
        <v>38</v>
      </c>
      <c r="I2348" t="s">
        <v>17</v>
      </c>
      <c r="J2348" t="s">
        <v>25</v>
      </c>
    </row>
    <row r="2349" spans="1:11" x14ac:dyDescent="0.2">
      <c r="A2349" t="s">
        <v>8514</v>
      </c>
      <c r="F2349" s="2">
        <v>525547734</v>
      </c>
      <c r="G2349" s="2">
        <v>133837858</v>
      </c>
      <c r="H2349" t="s">
        <v>28</v>
      </c>
      <c r="I2349" t="s">
        <v>17</v>
      </c>
      <c r="J2349" t="s">
        <v>25</v>
      </c>
    </row>
    <row r="2350" spans="1:11" x14ac:dyDescent="0.2">
      <c r="A2350" t="s">
        <v>8515</v>
      </c>
      <c r="B2350" t="s">
        <v>8516</v>
      </c>
      <c r="F2350" s="2">
        <v>525607907</v>
      </c>
      <c r="G2350" s="2">
        <v>133695775</v>
      </c>
      <c r="H2350" t="s">
        <v>28</v>
      </c>
      <c r="I2350" t="s">
        <v>17</v>
      </c>
      <c r="J2350" t="s">
        <v>25</v>
      </c>
    </row>
    <row r="2351" spans="1:11" x14ac:dyDescent="0.2">
      <c r="A2351" t="s">
        <v>8517</v>
      </c>
      <c r="B2351" t="s">
        <v>8518</v>
      </c>
      <c r="C2351" t="s">
        <v>8519</v>
      </c>
      <c r="E2351" t="s">
        <v>8520</v>
      </c>
      <c r="F2351" s="2">
        <v>525553674</v>
      </c>
      <c r="G2351" s="2">
        <v>133835475</v>
      </c>
      <c r="H2351" t="s">
        <v>38</v>
      </c>
      <c r="I2351" t="s">
        <v>17</v>
      </c>
      <c r="J2351" t="s">
        <v>25</v>
      </c>
    </row>
    <row r="2352" spans="1:11" x14ac:dyDescent="0.2">
      <c r="A2352" t="s">
        <v>8521</v>
      </c>
      <c r="B2352" t="s">
        <v>8522</v>
      </c>
      <c r="F2352" s="2">
        <v>5252544</v>
      </c>
      <c r="G2352" s="2">
        <v>133034677</v>
      </c>
      <c r="H2352" t="s">
        <v>28</v>
      </c>
      <c r="I2352" t="s">
        <v>17</v>
      </c>
      <c r="J2352" t="s">
        <v>25</v>
      </c>
    </row>
    <row r="2353" spans="1:11" x14ac:dyDescent="0.2">
      <c r="A2353" t="s">
        <v>8523</v>
      </c>
      <c r="B2353" t="s">
        <v>8524</v>
      </c>
      <c r="F2353" s="2">
        <v>525114123</v>
      </c>
      <c r="G2353" s="2">
        <v>13396851</v>
      </c>
      <c r="H2353" t="s">
        <v>28</v>
      </c>
      <c r="I2353" t="s">
        <v>17</v>
      </c>
      <c r="J2353" t="s">
        <v>25</v>
      </c>
    </row>
    <row r="2354" spans="1:11" x14ac:dyDescent="0.2">
      <c r="A2354" t="s">
        <v>8525</v>
      </c>
      <c r="B2354" t="s">
        <v>8526</v>
      </c>
      <c r="C2354" t="s">
        <v>8527</v>
      </c>
      <c r="E2354" t="s">
        <v>8528</v>
      </c>
      <c r="F2354" s="2">
        <v>525294431</v>
      </c>
      <c r="G2354" s="2">
        <v>134344438</v>
      </c>
      <c r="H2354" t="s">
        <v>38</v>
      </c>
      <c r="I2354" t="s">
        <v>17</v>
      </c>
      <c r="J2354" t="s">
        <v>25</v>
      </c>
    </row>
    <row r="2355" spans="1:11" x14ac:dyDescent="0.2">
      <c r="A2355" t="s">
        <v>8529</v>
      </c>
      <c r="B2355" t="s">
        <v>8530</v>
      </c>
      <c r="C2355" t="s">
        <v>8531</v>
      </c>
      <c r="E2355" t="s">
        <v>8532</v>
      </c>
      <c r="F2355" s="2">
        <v>524726684</v>
      </c>
      <c r="G2355" s="2">
        <v>133275854</v>
      </c>
      <c r="H2355" t="s">
        <v>277</v>
      </c>
      <c r="I2355" t="s">
        <v>17</v>
      </c>
      <c r="J2355" t="s">
        <v>25</v>
      </c>
      <c r="K2355" t="s">
        <v>8533</v>
      </c>
    </row>
    <row r="2356" spans="1:11" x14ac:dyDescent="0.2">
      <c r="A2356" t="s">
        <v>8534</v>
      </c>
      <c r="B2356" t="s">
        <v>8535</v>
      </c>
      <c r="C2356" t="s">
        <v>8536</v>
      </c>
      <c r="E2356" t="s">
        <v>8537</v>
      </c>
      <c r="F2356" s="2">
        <v>525015753</v>
      </c>
      <c r="G2356" s="2">
        <v>133410035</v>
      </c>
      <c r="H2356" t="s">
        <v>277</v>
      </c>
      <c r="I2356" t="s">
        <v>17</v>
      </c>
      <c r="J2356" t="s">
        <v>25</v>
      </c>
      <c r="K2356" t="s">
        <v>8538</v>
      </c>
    </row>
    <row r="2357" spans="1:11" x14ac:dyDescent="0.2">
      <c r="A2357" t="s">
        <v>8539</v>
      </c>
      <c r="F2357" s="2">
        <v>525170099</v>
      </c>
      <c r="G2357" s="2">
        <v>134679815</v>
      </c>
      <c r="H2357" t="s">
        <v>28</v>
      </c>
      <c r="I2357" t="s">
        <v>17</v>
      </c>
      <c r="J2357" t="s">
        <v>25</v>
      </c>
    </row>
    <row r="2358" spans="1:11" x14ac:dyDescent="0.2">
      <c r="A2358" t="s">
        <v>8540</v>
      </c>
      <c r="B2358" t="s">
        <v>8541</v>
      </c>
      <c r="F2358" s="2">
        <v>525433493</v>
      </c>
      <c r="G2358" s="2">
        <v>133924428</v>
      </c>
      <c r="H2358" t="s">
        <v>28</v>
      </c>
      <c r="I2358" t="s">
        <v>17</v>
      </c>
      <c r="J2358" t="s">
        <v>25</v>
      </c>
    </row>
    <row r="2359" spans="1:11" x14ac:dyDescent="0.2">
      <c r="A2359" t="s">
        <v>8542</v>
      </c>
      <c r="B2359" t="s">
        <v>8543</v>
      </c>
      <c r="E2359" t="s">
        <v>8544</v>
      </c>
      <c r="F2359" s="2">
        <v>525033408</v>
      </c>
      <c r="G2359" s="2">
        <v>134300698</v>
      </c>
      <c r="H2359" t="s">
        <v>34</v>
      </c>
      <c r="I2359" t="s">
        <v>17</v>
      </c>
      <c r="J2359" t="s">
        <v>25</v>
      </c>
    </row>
    <row r="2360" spans="1:11" x14ac:dyDescent="0.2">
      <c r="A2360" t="s">
        <v>8545</v>
      </c>
      <c r="B2360" t="s">
        <v>8546</v>
      </c>
      <c r="F2360" s="2">
        <v>525303862</v>
      </c>
      <c r="G2360" s="2">
        <v>134015681</v>
      </c>
      <c r="H2360" t="s">
        <v>28</v>
      </c>
      <c r="I2360" t="s">
        <v>17</v>
      </c>
      <c r="J2360" t="s">
        <v>25</v>
      </c>
    </row>
    <row r="2361" spans="1:11" x14ac:dyDescent="0.2">
      <c r="A2361" t="s">
        <v>8547</v>
      </c>
      <c r="B2361" t="s">
        <v>8548</v>
      </c>
      <c r="F2361" s="2">
        <v>525311505</v>
      </c>
      <c r="G2361" s="2">
        <v>1340029</v>
      </c>
      <c r="H2361" t="s">
        <v>28</v>
      </c>
      <c r="I2361" t="s">
        <v>17</v>
      </c>
      <c r="J2361" t="s">
        <v>25</v>
      </c>
    </row>
    <row r="2362" spans="1:11" x14ac:dyDescent="0.2">
      <c r="A2362" t="s">
        <v>8549</v>
      </c>
      <c r="C2362" t="s">
        <v>8550</v>
      </c>
      <c r="D2362" t="s">
        <v>8551</v>
      </c>
      <c r="F2362" s="2">
        <v>525358692</v>
      </c>
      <c r="G2362" s="2">
        <v>133890182</v>
      </c>
      <c r="H2362" t="s">
        <v>51</v>
      </c>
      <c r="I2362" t="s">
        <v>17</v>
      </c>
      <c r="J2362" t="s">
        <v>25</v>
      </c>
      <c r="K2362" t="s">
        <v>8552</v>
      </c>
    </row>
    <row r="2363" spans="1:11" x14ac:dyDescent="0.2">
      <c r="A2363" t="s">
        <v>8553</v>
      </c>
      <c r="B2363" t="s">
        <v>8554</v>
      </c>
      <c r="C2363" t="s">
        <v>8555</v>
      </c>
      <c r="E2363" t="s">
        <v>8556</v>
      </c>
      <c r="F2363" s="2">
        <v>524883185</v>
      </c>
      <c r="G2363" s="2">
        <v>133402483</v>
      </c>
      <c r="H2363" t="s">
        <v>38</v>
      </c>
      <c r="I2363" t="s">
        <v>17</v>
      </c>
      <c r="J2363" t="s">
        <v>25</v>
      </c>
    </row>
    <row r="2364" spans="1:11" x14ac:dyDescent="0.2">
      <c r="A2364" t="s">
        <v>8557</v>
      </c>
      <c r="C2364" t="s">
        <v>8558</v>
      </c>
      <c r="F2364" s="2">
        <v>524211089</v>
      </c>
      <c r="G2364" s="2">
        <v>131784697</v>
      </c>
      <c r="H2364" t="s">
        <v>3120</v>
      </c>
      <c r="I2364" t="s">
        <v>17</v>
      </c>
      <c r="J2364" t="s">
        <v>25</v>
      </c>
      <c r="K2364" t="s">
        <v>8559</v>
      </c>
    </row>
    <row r="2365" spans="1:11" x14ac:dyDescent="0.2">
      <c r="A2365" t="s">
        <v>8560</v>
      </c>
      <c r="B2365" t="s">
        <v>8561</v>
      </c>
      <c r="C2365" t="s">
        <v>8562</v>
      </c>
      <c r="F2365" s="2">
        <v>525259115</v>
      </c>
      <c r="G2365" s="2">
        <v>133103771</v>
      </c>
      <c r="H2365" t="s">
        <v>255</v>
      </c>
      <c r="I2365" t="s">
        <v>17</v>
      </c>
      <c r="J2365" t="s">
        <v>25</v>
      </c>
    </row>
    <row r="2366" spans="1:11" x14ac:dyDescent="0.2">
      <c r="A2366" t="s">
        <v>8563</v>
      </c>
      <c r="B2366" t="s">
        <v>8564</v>
      </c>
      <c r="F2366" s="2">
        <v>525255558</v>
      </c>
      <c r="G2366" s="2">
        <v>133102806</v>
      </c>
      <c r="H2366" t="s">
        <v>28</v>
      </c>
      <c r="I2366" t="s">
        <v>17</v>
      </c>
      <c r="J2366" t="s">
        <v>25</v>
      </c>
    </row>
    <row r="2367" spans="1:11" x14ac:dyDescent="0.2">
      <c r="A2367" t="s">
        <v>8565</v>
      </c>
      <c r="B2367" t="s">
        <v>8566</v>
      </c>
      <c r="C2367" t="s">
        <v>8567</v>
      </c>
      <c r="D2367" t="s">
        <v>8568</v>
      </c>
      <c r="E2367" t="s">
        <v>8569</v>
      </c>
      <c r="F2367" s="2">
        <v>525326065</v>
      </c>
      <c r="G2367" s="2">
        <v>134120496</v>
      </c>
      <c r="H2367" t="s">
        <v>304</v>
      </c>
      <c r="I2367" t="s">
        <v>17</v>
      </c>
      <c r="J2367" t="s">
        <v>25</v>
      </c>
      <c r="K2367" t="s">
        <v>8570</v>
      </c>
    </row>
    <row r="2368" spans="1:11" x14ac:dyDescent="0.2">
      <c r="A2368" t="s">
        <v>8571</v>
      </c>
      <c r="F2368" s="2">
        <v>525289242</v>
      </c>
      <c r="G2368" s="2">
        <v>135307833</v>
      </c>
      <c r="H2368" t="s">
        <v>28</v>
      </c>
      <c r="I2368" t="s">
        <v>17</v>
      </c>
      <c r="J2368" t="s">
        <v>25</v>
      </c>
    </row>
    <row r="2369" spans="1:11" x14ac:dyDescent="0.2">
      <c r="A2369" t="s">
        <v>8572</v>
      </c>
      <c r="B2369" t="s">
        <v>5210</v>
      </c>
      <c r="F2369" s="2">
        <v>525079907</v>
      </c>
      <c r="G2369" s="2">
        <v>133087526</v>
      </c>
      <c r="H2369" t="s">
        <v>28</v>
      </c>
      <c r="I2369" t="s">
        <v>17</v>
      </c>
      <c r="J2369" t="s">
        <v>25</v>
      </c>
    </row>
    <row r="2370" spans="1:11" x14ac:dyDescent="0.2">
      <c r="A2370" t="s">
        <v>8573</v>
      </c>
      <c r="B2370" t="s">
        <v>1670</v>
      </c>
      <c r="C2370" t="s">
        <v>8574</v>
      </c>
      <c r="D2370" t="s">
        <v>8575</v>
      </c>
      <c r="E2370" t="s">
        <v>8576</v>
      </c>
      <c r="F2370" s="2">
        <v>524755</v>
      </c>
      <c r="G2370" s="2">
        <v>13524016</v>
      </c>
      <c r="H2370" t="s">
        <v>51</v>
      </c>
      <c r="I2370" t="s">
        <v>17</v>
      </c>
      <c r="J2370" t="s">
        <v>25</v>
      </c>
      <c r="K2370" t="s">
        <v>8577</v>
      </c>
    </row>
    <row r="2371" spans="1:11" x14ac:dyDescent="0.2">
      <c r="A2371" t="s">
        <v>8578</v>
      </c>
      <c r="E2371" t="s">
        <v>8579</v>
      </c>
      <c r="F2371" s="2">
        <v>524442402</v>
      </c>
      <c r="G2371" s="2">
        <v>135058655</v>
      </c>
      <c r="H2371" t="s">
        <v>34</v>
      </c>
      <c r="I2371" t="s">
        <v>17</v>
      </c>
      <c r="J2371" t="s">
        <v>25</v>
      </c>
    </row>
    <row r="2372" spans="1:11" x14ac:dyDescent="0.2">
      <c r="A2372" t="s">
        <v>8580</v>
      </c>
      <c r="B2372" t="s">
        <v>8581</v>
      </c>
      <c r="C2372" t="s">
        <v>8582</v>
      </c>
      <c r="D2372" t="s">
        <v>8583</v>
      </c>
      <c r="E2372" t="s">
        <v>8584</v>
      </c>
      <c r="F2372" s="2">
        <v>525159555</v>
      </c>
      <c r="G2372" s="2">
        <v>133799024</v>
      </c>
      <c r="H2372" t="s">
        <v>51</v>
      </c>
      <c r="I2372" t="s">
        <v>17</v>
      </c>
      <c r="J2372" t="s">
        <v>25</v>
      </c>
      <c r="K2372" t="s">
        <v>8585</v>
      </c>
    </row>
    <row r="2373" spans="1:11" x14ac:dyDescent="0.2">
      <c r="A2373" t="s">
        <v>8586</v>
      </c>
      <c r="B2373" t="s">
        <v>8581</v>
      </c>
      <c r="C2373" t="s">
        <v>8587</v>
      </c>
      <c r="D2373" t="s">
        <v>8588</v>
      </c>
      <c r="E2373">
        <v>493022611959</v>
      </c>
      <c r="F2373" s="2">
        <v>525160887</v>
      </c>
      <c r="G2373" s="2">
        <v>133798808</v>
      </c>
      <c r="H2373" t="s">
        <v>51</v>
      </c>
      <c r="I2373" t="s">
        <v>17</v>
      </c>
      <c r="J2373" t="s">
        <v>25</v>
      </c>
      <c r="K2373" t="s">
        <v>8589</v>
      </c>
    </row>
    <row r="2374" spans="1:11" x14ac:dyDescent="0.2">
      <c r="A2374" t="s">
        <v>8590</v>
      </c>
      <c r="B2374" t="s">
        <v>8591</v>
      </c>
      <c r="C2374" t="s">
        <v>8592</v>
      </c>
      <c r="E2374" t="s">
        <v>8593</v>
      </c>
      <c r="F2374" s="2">
        <v>524878527</v>
      </c>
      <c r="G2374" s="2">
        <v>134191762</v>
      </c>
      <c r="H2374" t="s">
        <v>38</v>
      </c>
      <c r="I2374" t="s">
        <v>17</v>
      </c>
      <c r="J2374" t="s">
        <v>25</v>
      </c>
    </row>
    <row r="2375" spans="1:11" x14ac:dyDescent="0.2">
      <c r="A2375" t="s">
        <v>8594</v>
      </c>
      <c r="B2375" t="s">
        <v>8595</v>
      </c>
      <c r="C2375" t="s">
        <v>8596</v>
      </c>
      <c r="D2375" t="s">
        <v>8597</v>
      </c>
      <c r="E2375" t="s">
        <v>8598</v>
      </c>
      <c r="F2375" s="2">
        <v>524875641</v>
      </c>
      <c r="G2375" s="2">
        <v>135746803</v>
      </c>
      <c r="H2375" t="s">
        <v>51</v>
      </c>
      <c r="I2375" t="s">
        <v>17</v>
      </c>
      <c r="J2375" t="s">
        <v>25</v>
      </c>
      <c r="K2375" t="s">
        <v>8599</v>
      </c>
    </row>
    <row r="2376" spans="1:11" x14ac:dyDescent="0.2">
      <c r="A2376" t="s">
        <v>8600</v>
      </c>
      <c r="B2376" t="s">
        <v>8601</v>
      </c>
      <c r="C2376" t="s">
        <v>8602</v>
      </c>
      <c r="D2376" t="s">
        <v>8603</v>
      </c>
      <c r="E2376" t="s">
        <v>8604</v>
      </c>
      <c r="F2376" s="2">
        <v>524824772</v>
      </c>
      <c r="G2376" s="2">
        <v>136017837</v>
      </c>
      <c r="H2376" t="s">
        <v>51</v>
      </c>
      <c r="I2376" t="s">
        <v>17</v>
      </c>
      <c r="J2376" t="s">
        <v>25</v>
      </c>
      <c r="K2376" t="s">
        <v>8605</v>
      </c>
    </row>
    <row r="2377" spans="1:11" x14ac:dyDescent="0.2">
      <c r="A2377" t="s">
        <v>8606</v>
      </c>
      <c r="B2377" t="s">
        <v>8607</v>
      </c>
      <c r="C2377" t="s">
        <v>8608</v>
      </c>
      <c r="D2377" t="s">
        <v>8609</v>
      </c>
      <c r="E2377" t="s">
        <v>8610</v>
      </c>
      <c r="F2377" s="2">
        <v>525270272</v>
      </c>
      <c r="G2377" s="2">
        <v>133622678</v>
      </c>
      <c r="H2377" t="s">
        <v>51</v>
      </c>
      <c r="I2377" t="s">
        <v>17</v>
      </c>
      <c r="J2377" t="s">
        <v>25</v>
      </c>
      <c r="K2377" t="s">
        <v>8611</v>
      </c>
    </row>
    <row r="2378" spans="1:11" x14ac:dyDescent="0.2">
      <c r="A2378" t="s">
        <v>8612</v>
      </c>
      <c r="B2378" t="s">
        <v>8613</v>
      </c>
      <c r="C2378" t="s">
        <v>8614</v>
      </c>
      <c r="D2378" t="s">
        <v>8615</v>
      </c>
      <c r="E2378" t="s">
        <v>8616</v>
      </c>
      <c r="F2378" s="2">
        <v>525148587</v>
      </c>
      <c r="G2378" s="2">
        <v>13393238</v>
      </c>
      <c r="H2378" t="s">
        <v>24</v>
      </c>
      <c r="I2378" t="s">
        <v>17</v>
      </c>
      <c r="J2378" t="s">
        <v>25</v>
      </c>
    </row>
    <row r="2379" spans="1:11" x14ac:dyDescent="0.2">
      <c r="A2379" t="s">
        <v>8617</v>
      </c>
      <c r="B2379" t="s">
        <v>8618</v>
      </c>
      <c r="C2379" t="s">
        <v>8619</v>
      </c>
      <c r="D2379" t="s">
        <v>8620</v>
      </c>
      <c r="E2379" t="s">
        <v>8621</v>
      </c>
      <c r="F2379" s="2">
        <v>524994271</v>
      </c>
      <c r="G2379" s="2">
        <v>134447924</v>
      </c>
      <c r="H2379" t="s">
        <v>24</v>
      </c>
      <c r="I2379" t="s">
        <v>17</v>
      </c>
      <c r="J2379" t="s">
        <v>25</v>
      </c>
    </row>
    <row r="2380" spans="1:11" x14ac:dyDescent="0.2">
      <c r="A2380" t="s">
        <v>8622</v>
      </c>
      <c r="B2380" t="s">
        <v>8623</v>
      </c>
      <c r="C2380" t="s">
        <v>8624</v>
      </c>
      <c r="E2380" t="s">
        <v>8625</v>
      </c>
      <c r="F2380" s="2">
        <v>524274814</v>
      </c>
      <c r="G2380" s="2">
        <v>134813142</v>
      </c>
      <c r="H2380" t="s">
        <v>38</v>
      </c>
      <c r="I2380" t="s">
        <v>17</v>
      </c>
      <c r="J2380" t="s">
        <v>25</v>
      </c>
    </row>
    <row r="2381" spans="1:11" x14ac:dyDescent="0.2">
      <c r="A2381" t="s">
        <v>8626</v>
      </c>
      <c r="B2381" t="s">
        <v>8627</v>
      </c>
      <c r="F2381" s="2">
        <v>52474929</v>
      </c>
      <c r="G2381" s="2">
        <v>134276143</v>
      </c>
      <c r="H2381" t="s">
        <v>28</v>
      </c>
      <c r="I2381" t="s">
        <v>17</v>
      </c>
      <c r="J2381" t="s">
        <v>25</v>
      </c>
    </row>
    <row r="2382" spans="1:11" x14ac:dyDescent="0.2">
      <c r="A2382" t="s">
        <v>8628</v>
      </c>
      <c r="B2382" t="s">
        <v>8629</v>
      </c>
      <c r="F2382" s="2">
        <v>524764139</v>
      </c>
      <c r="G2382" s="2">
        <v>134263796</v>
      </c>
      <c r="H2382" t="s">
        <v>28</v>
      </c>
      <c r="I2382" t="s">
        <v>17</v>
      </c>
      <c r="J2382" t="s">
        <v>25</v>
      </c>
    </row>
    <row r="2383" spans="1:11" x14ac:dyDescent="0.2">
      <c r="A2383" t="s">
        <v>8630</v>
      </c>
      <c r="C2383" t="s">
        <v>8631</v>
      </c>
      <c r="F2383" s="2">
        <v>525207083</v>
      </c>
      <c r="G2383" s="2">
        <v>133256878</v>
      </c>
      <c r="H2383" t="s">
        <v>255</v>
      </c>
      <c r="I2383" t="s">
        <v>17</v>
      </c>
      <c r="J2383" t="s">
        <v>25</v>
      </c>
    </row>
    <row r="2384" spans="1:11" x14ac:dyDescent="0.2">
      <c r="A2384" t="s">
        <v>8632</v>
      </c>
      <c r="C2384" t="s">
        <v>8633</v>
      </c>
      <c r="F2384" s="2">
        <v>525188372</v>
      </c>
      <c r="G2384" s="2">
        <v>133269384</v>
      </c>
      <c r="H2384" t="s">
        <v>38</v>
      </c>
      <c r="I2384" t="s">
        <v>17</v>
      </c>
      <c r="J2384" t="s">
        <v>25</v>
      </c>
    </row>
    <row r="2385" spans="1:11" x14ac:dyDescent="0.2">
      <c r="A2385" t="s">
        <v>8634</v>
      </c>
      <c r="F2385" s="2">
        <v>525069244</v>
      </c>
      <c r="G2385" s="2">
        <v>133037293</v>
      </c>
      <c r="H2385" t="s">
        <v>28</v>
      </c>
      <c r="I2385" t="s">
        <v>17</v>
      </c>
      <c r="J2385" t="s">
        <v>25</v>
      </c>
    </row>
    <row r="2386" spans="1:11" x14ac:dyDescent="0.2">
      <c r="A2386" t="s">
        <v>8635</v>
      </c>
      <c r="B2386" t="s">
        <v>8636</v>
      </c>
      <c r="F2386" s="2">
        <v>525437517</v>
      </c>
      <c r="G2386" s="2">
        <v>133632991</v>
      </c>
      <c r="H2386" t="s">
        <v>28</v>
      </c>
      <c r="I2386" t="s">
        <v>17</v>
      </c>
      <c r="J2386" t="s">
        <v>25</v>
      </c>
    </row>
    <row r="2387" spans="1:11" x14ac:dyDescent="0.2">
      <c r="A2387" t="s">
        <v>8637</v>
      </c>
      <c r="B2387" t="s">
        <v>8638</v>
      </c>
      <c r="C2387" t="s">
        <v>8639</v>
      </c>
      <c r="D2387" t="s">
        <v>8640</v>
      </c>
      <c r="F2387" s="2">
        <v>525295749</v>
      </c>
      <c r="G2387" s="2">
        <v>133845817</v>
      </c>
      <c r="H2387" t="s">
        <v>51</v>
      </c>
      <c r="I2387" t="s">
        <v>17</v>
      </c>
      <c r="J2387" t="s">
        <v>25</v>
      </c>
      <c r="K2387" t="s">
        <v>8641</v>
      </c>
    </row>
    <row r="2388" spans="1:11" x14ac:dyDescent="0.2">
      <c r="A2388" t="s">
        <v>8642</v>
      </c>
      <c r="B2388" t="s">
        <v>4698</v>
      </c>
      <c r="C2388" t="s">
        <v>8643</v>
      </c>
      <c r="D2388" t="s">
        <v>8644</v>
      </c>
      <c r="E2388" t="s">
        <v>8645</v>
      </c>
      <c r="F2388" s="2">
        <v>525299539</v>
      </c>
      <c r="G2388" s="2">
        <v>133841237</v>
      </c>
      <c r="H2388" t="s">
        <v>51</v>
      </c>
      <c r="I2388" t="s">
        <v>17</v>
      </c>
      <c r="J2388" t="s">
        <v>25</v>
      </c>
      <c r="K2388" t="s">
        <v>8646</v>
      </c>
    </row>
    <row r="2389" spans="1:11" x14ac:dyDescent="0.2">
      <c r="A2389" t="s">
        <v>8647</v>
      </c>
      <c r="B2389" t="s">
        <v>8648</v>
      </c>
      <c r="F2389" s="2">
        <v>525513336</v>
      </c>
      <c r="G2389" s="2">
        <v>133510451</v>
      </c>
      <c r="H2389" t="s">
        <v>28</v>
      </c>
      <c r="I2389" t="s">
        <v>17</v>
      </c>
      <c r="J2389" t="s">
        <v>25</v>
      </c>
    </row>
    <row r="2390" spans="1:11" x14ac:dyDescent="0.2">
      <c r="A2390" t="s">
        <v>8649</v>
      </c>
      <c r="B2390" t="s">
        <v>8650</v>
      </c>
      <c r="C2390" t="s">
        <v>8651</v>
      </c>
      <c r="D2390" t="s">
        <v>8652</v>
      </c>
      <c r="E2390" t="s">
        <v>8653</v>
      </c>
      <c r="F2390" s="2">
        <v>525235496</v>
      </c>
      <c r="G2390" s="2">
        <v>1338628</v>
      </c>
      <c r="H2390" t="s">
        <v>51</v>
      </c>
      <c r="I2390" t="s">
        <v>17</v>
      </c>
      <c r="J2390" t="s">
        <v>25</v>
      </c>
      <c r="K2390" t="s">
        <v>8654</v>
      </c>
    </row>
    <row r="2391" spans="1:11" x14ac:dyDescent="0.2">
      <c r="A2391" t="s">
        <v>8655</v>
      </c>
      <c r="B2391" t="s">
        <v>8656</v>
      </c>
      <c r="E2391">
        <v>49305329040</v>
      </c>
      <c r="F2391" s="2">
        <v>524662696</v>
      </c>
      <c r="G2391" s="2">
        <v>134896291</v>
      </c>
      <c r="H2391" t="s">
        <v>34</v>
      </c>
      <c r="I2391" t="s">
        <v>17</v>
      </c>
      <c r="J2391" t="s">
        <v>25</v>
      </c>
    </row>
    <row r="2392" spans="1:11" x14ac:dyDescent="0.2">
      <c r="A2392" t="s">
        <v>8657</v>
      </c>
      <c r="B2392" t="s">
        <v>8658</v>
      </c>
      <c r="C2392" t="s">
        <v>8659</v>
      </c>
      <c r="E2392" t="s">
        <v>8660</v>
      </c>
      <c r="F2392" s="2">
        <v>524860063</v>
      </c>
      <c r="G2392" s="2">
        <v>133299189</v>
      </c>
      <c r="H2392" t="s">
        <v>277</v>
      </c>
      <c r="I2392" t="s">
        <v>17</v>
      </c>
      <c r="J2392" t="s">
        <v>25</v>
      </c>
      <c r="K2392" t="s">
        <v>8661</v>
      </c>
    </row>
    <row r="2393" spans="1:11" x14ac:dyDescent="0.2">
      <c r="A2393" t="s">
        <v>8662</v>
      </c>
      <c r="B2393" t="s">
        <v>8663</v>
      </c>
      <c r="F2393" s="2">
        <v>525310047</v>
      </c>
      <c r="G2393" s="2">
        <v>133822599</v>
      </c>
      <c r="H2393" t="s">
        <v>28</v>
      </c>
      <c r="I2393" t="s">
        <v>17</v>
      </c>
      <c r="J2393" t="s">
        <v>25</v>
      </c>
    </row>
    <row r="2394" spans="1:11" x14ac:dyDescent="0.2">
      <c r="A2394" t="s">
        <v>8664</v>
      </c>
      <c r="B2394" t="s">
        <v>2438</v>
      </c>
      <c r="E2394" t="s">
        <v>8665</v>
      </c>
      <c r="F2394" s="2">
        <v>525122367</v>
      </c>
      <c r="G2394" s="2">
        <v>132680681</v>
      </c>
      <c r="H2394" t="s">
        <v>34</v>
      </c>
      <c r="I2394" t="s">
        <v>17</v>
      </c>
      <c r="J2394" t="s">
        <v>25</v>
      </c>
    </row>
    <row r="2395" spans="1:11" x14ac:dyDescent="0.2">
      <c r="A2395" t="s">
        <v>8666</v>
      </c>
      <c r="B2395" t="s">
        <v>8667</v>
      </c>
      <c r="E2395" t="s">
        <v>8668</v>
      </c>
      <c r="F2395" s="2">
        <v>52538019</v>
      </c>
      <c r="G2395" s="2">
        <v>136032518</v>
      </c>
      <c r="H2395" t="s">
        <v>34</v>
      </c>
      <c r="I2395" t="s">
        <v>17</v>
      </c>
      <c r="J2395" t="s">
        <v>25</v>
      </c>
    </row>
    <row r="2396" spans="1:11" x14ac:dyDescent="0.2">
      <c r="A2396" t="s">
        <v>8669</v>
      </c>
      <c r="B2396" t="s">
        <v>8670</v>
      </c>
      <c r="C2396" t="s">
        <v>8671</v>
      </c>
      <c r="E2396" t="s">
        <v>8672</v>
      </c>
      <c r="F2396" s="2">
        <v>52529244</v>
      </c>
      <c r="G2396" s="2">
        <v>134019759</v>
      </c>
      <c r="H2396" t="s">
        <v>277</v>
      </c>
      <c r="I2396" t="s">
        <v>17</v>
      </c>
      <c r="J2396" t="s">
        <v>25</v>
      </c>
      <c r="K2396" t="s">
        <v>8673</v>
      </c>
    </row>
    <row r="2397" spans="1:11" x14ac:dyDescent="0.2">
      <c r="A2397" t="s">
        <v>8674</v>
      </c>
      <c r="F2397" s="2">
        <v>525290384</v>
      </c>
      <c r="G2397" s="2">
        <v>134016052</v>
      </c>
      <c r="H2397" t="s">
        <v>28</v>
      </c>
      <c r="I2397" t="s">
        <v>17</v>
      </c>
      <c r="J2397" t="s">
        <v>25</v>
      </c>
    </row>
    <row r="2398" spans="1:11" x14ac:dyDescent="0.2">
      <c r="A2398" t="s">
        <v>8675</v>
      </c>
      <c r="B2398" t="s">
        <v>8676</v>
      </c>
      <c r="F2398" s="2">
        <v>524821231</v>
      </c>
      <c r="G2398" s="2">
        <v>134387298</v>
      </c>
      <c r="H2398" t="s">
        <v>28</v>
      </c>
      <c r="I2398" t="s">
        <v>17</v>
      </c>
      <c r="J2398" t="s">
        <v>25</v>
      </c>
    </row>
    <row r="2399" spans="1:11" x14ac:dyDescent="0.2">
      <c r="A2399" t="s">
        <v>8677</v>
      </c>
      <c r="B2399" t="s">
        <v>8678</v>
      </c>
      <c r="C2399" t="s">
        <v>8679</v>
      </c>
      <c r="D2399" t="s">
        <v>8680</v>
      </c>
      <c r="F2399" s="2">
        <v>524776209</v>
      </c>
      <c r="G2399" s="2">
        <v>134223639</v>
      </c>
      <c r="H2399" t="s">
        <v>304</v>
      </c>
      <c r="I2399" t="s">
        <v>17</v>
      </c>
      <c r="J2399" t="s">
        <v>25</v>
      </c>
      <c r="K2399" t="s">
        <v>8681</v>
      </c>
    </row>
    <row r="2400" spans="1:11" x14ac:dyDescent="0.2">
      <c r="A2400" t="s">
        <v>8682</v>
      </c>
      <c r="B2400" t="s">
        <v>8683</v>
      </c>
      <c r="C2400" t="s">
        <v>8684</v>
      </c>
      <c r="E2400" t="s">
        <v>8685</v>
      </c>
      <c r="F2400" s="2">
        <v>524749578</v>
      </c>
      <c r="G2400" s="2">
        <v>134280181</v>
      </c>
      <c r="H2400" t="s">
        <v>38</v>
      </c>
      <c r="I2400" t="s">
        <v>17</v>
      </c>
      <c r="J2400" t="s">
        <v>25</v>
      </c>
    </row>
    <row r="2401" spans="1:11" x14ac:dyDescent="0.2">
      <c r="A2401" t="s">
        <v>8686</v>
      </c>
      <c r="B2401" t="s">
        <v>8687</v>
      </c>
      <c r="C2401" t="s">
        <v>8688</v>
      </c>
      <c r="E2401">
        <v>493055633594</v>
      </c>
      <c r="F2401" s="2">
        <v>524791175</v>
      </c>
      <c r="G2401" s="2">
        <v>134447689</v>
      </c>
      <c r="H2401" t="s">
        <v>38</v>
      </c>
      <c r="I2401" t="s">
        <v>17</v>
      </c>
      <c r="J2401" t="s">
        <v>25</v>
      </c>
    </row>
    <row r="2402" spans="1:11" x14ac:dyDescent="0.2">
      <c r="A2402" t="s">
        <v>8689</v>
      </c>
      <c r="F2402" s="2">
        <v>52529071</v>
      </c>
      <c r="G2402" s="2">
        <v>13402099</v>
      </c>
      <c r="H2402" t="s">
        <v>28</v>
      </c>
      <c r="I2402" t="s">
        <v>17</v>
      </c>
      <c r="J2402" t="s">
        <v>25</v>
      </c>
    </row>
    <row r="2403" spans="1:11" x14ac:dyDescent="0.2">
      <c r="A2403" t="s">
        <v>8690</v>
      </c>
      <c r="B2403" t="s">
        <v>8691</v>
      </c>
      <c r="C2403" t="s">
        <v>8692</v>
      </c>
      <c r="D2403" t="s">
        <v>8693</v>
      </c>
      <c r="F2403" s="2">
        <v>525225366</v>
      </c>
      <c r="G2403" s="2">
        <v>133875907</v>
      </c>
      <c r="H2403" t="s">
        <v>304</v>
      </c>
      <c r="I2403" t="s">
        <v>17</v>
      </c>
      <c r="J2403" t="s">
        <v>25</v>
      </c>
      <c r="K2403" t="s">
        <v>8694</v>
      </c>
    </row>
    <row r="2404" spans="1:11" x14ac:dyDescent="0.2">
      <c r="A2404" t="s">
        <v>8695</v>
      </c>
      <c r="B2404" t="s">
        <v>8696</v>
      </c>
      <c r="F2404" s="2">
        <v>525240313</v>
      </c>
      <c r="G2404" s="2">
        <v>133294843</v>
      </c>
      <c r="H2404" t="s">
        <v>28</v>
      </c>
      <c r="I2404" t="s">
        <v>17</v>
      </c>
      <c r="J2404" t="s">
        <v>25</v>
      </c>
    </row>
    <row r="2405" spans="1:11" x14ac:dyDescent="0.2">
      <c r="A2405" t="s">
        <v>8697</v>
      </c>
      <c r="B2405" t="s">
        <v>8698</v>
      </c>
      <c r="F2405" s="2">
        <v>525159628</v>
      </c>
      <c r="G2405" s="2">
        <v>13464726</v>
      </c>
      <c r="H2405" t="s">
        <v>28</v>
      </c>
      <c r="I2405" t="s">
        <v>17</v>
      </c>
      <c r="J2405" t="s">
        <v>25</v>
      </c>
    </row>
    <row r="2406" spans="1:11" x14ac:dyDescent="0.2">
      <c r="A2406" t="s">
        <v>8699</v>
      </c>
      <c r="F2406" s="2">
        <v>525038078</v>
      </c>
      <c r="G2406" s="2">
        <v>133156798</v>
      </c>
      <c r="H2406" t="s">
        <v>28</v>
      </c>
      <c r="I2406" t="s">
        <v>17</v>
      </c>
      <c r="J2406" t="s">
        <v>25</v>
      </c>
    </row>
    <row r="2407" spans="1:11" x14ac:dyDescent="0.2">
      <c r="A2407" t="s">
        <v>8700</v>
      </c>
      <c r="B2407" t="s">
        <v>8701</v>
      </c>
      <c r="F2407" s="2">
        <v>525088286</v>
      </c>
      <c r="G2407" s="2">
        <v>133923006</v>
      </c>
      <c r="H2407" t="s">
        <v>28</v>
      </c>
      <c r="I2407" t="s">
        <v>17</v>
      </c>
      <c r="J2407" t="s">
        <v>25</v>
      </c>
    </row>
    <row r="2408" spans="1:11" x14ac:dyDescent="0.2">
      <c r="A2408" t="s">
        <v>8702</v>
      </c>
      <c r="B2408" t="s">
        <v>8703</v>
      </c>
      <c r="F2408" s="2">
        <v>525381251</v>
      </c>
      <c r="G2408" s="2">
        <v>134802248</v>
      </c>
      <c r="H2408" t="s">
        <v>28</v>
      </c>
      <c r="I2408" t="s">
        <v>17</v>
      </c>
      <c r="J2408" t="s">
        <v>25</v>
      </c>
    </row>
    <row r="2409" spans="1:11" x14ac:dyDescent="0.2">
      <c r="A2409" t="s">
        <v>8704</v>
      </c>
      <c r="B2409" t="s">
        <v>8705</v>
      </c>
      <c r="C2409" t="s">
        <v>8706</v>
      </c>
      <c r="E2409" t="s">
        <v>8707</v>
      </c>
      <c r="F2409" s="2">
        <v>525344698</v>
      </c>
      <c r="G2409" s="2">
        <v>134359297</v>
      </c>
      <c r="H2409" t="s">
        <v>38</v>
      </c>
      <c r="I2409" t="s">
        <v>17</v>
      </c>
      <c r="J2409" t="s">
        <v>25</v>
      </c>
    </row>
    <row r="2410" spans="1:11" x14ac:dyDescent="0.2">
      <c r="A2410" t="s">
        <v>8708</v>
      </c>
      <c r="B2410" t="s">
        <v>8709</v>
      </c>
      <c r="F2410" s="2">
        <v>524744401</v>
      </c>
      <c r="G2410" s="2">
        <v>134399816</v>
      </c>
      <c r="H2410" t="s">
        <v>28</v>
      </c>
      <c r="I2410" t="s">
        <v>17</v>
      </c>
      <c r="J2410" t="s">
        <v>25</v>
      </c>
    </row>
    <row r="2411" spans="1:11" x14ac:dyDescent="0.2">
      <c r="A2411" t="s">
        <v>8710</v>
      </c>
      <c r="C2411" t="s">
        <v>8711</v>
      </c>
      <c r="D2411" t="s">
        <v>8712</v>
      </c>
      <c r="E2411" t="s">
        <v>8713</v>
      </c>
      <c r="F2411" s="2">
        <v>524853177</v>
      </c>
      <c r="G2411" s="2">
        <v>13439596</v>
      </c>
      <c r="H2411" t="s">
        <v>24</v>
      </c>
      <c r="I2411" t="s">
        <v>17</v>
      </c>
      <c r="J2411" t="s">
        <v>25</v>
      </c>
    </row>
    <row r="2412" spans="1:11" x14ac:dyDescent="0.2">
      <c r="A2412" t="s">
        <v>8714</v>
      </c>
      <c r="B2412" t="s">
        <v>8715</v>
      </c>
      <c r="C2412" t="s">
        <v>8716</v>
      </c>
      <c r="E2412" t="s">
        <v>8717</v>
      </c>
      <c r="F2412" s="2">
        <v>524951332</v>
      </c>
      <c r="G2412" s="2">
        <v>13377443</v>
      </c>
      <c r="H2412" t="s">
        <v>38</v>
      </c>
      <c r="I2412" t="s">
        <v>17</v>
      </c>
      <c r="J2412" t="s">
        <v>25</v>
      </c>
    </row>
    <row r="2413" spans="1:11" x14ac:dyDescent="0.2">
      <c r="A2413" t="s">
        <v>8718</v>
      </c>
      <c r="B2413" t="s">
        <v>8719</v>
      </c>
      <c r="F2413" s="2">
        <v>525708653</v>
      </c>
      <c r="G2413" s="2">
        <v>131965691</v>
      </c>
      <c r="H2413" t="s">
        <v>28</v>
      </c>
      <c r="I2413" t="s">
        <v>17</v>
      </c>
      <c r="J2413" t="s">
        <v>25</v>
      </c>
    </row>
    <row r="2414" spans="1:11" x14ac:dyDescent="0.2">
      <c r="A2414" t="s">
        <v>8720</v>
      </c>
      <c r="B2414" t="s">
        <v>8721</v>
      </c>
      <c r="C2414" t="s">
        <v>8722</v>
      </c>
      <c r="E2414">
        <v>493055129975</v>
      </c>
      <c r="F2414" s="2">
        <v>524902527</v>
      </c>
      <c r="G2414" s="2">
        <v>133618001</v>
      </c>
      <c r="H2414" t="s">
        <v>38</v>
      </c>
      <c r="I2414" t="s">
        <v>17</v>
      </c>
      <c r="J2414" t="s">
        <v>25</v>
      </c>
    </row>
    <row r="2415" spans="1:11" x14ac:dyDescent="0.2">
      <c r="A2415" t="s">
        <v>8723</v>
      </c>
      <c r="B2415" t="s">
        <v>8724</v>
      </c>
      <c r="C2415" t="s">
        <v>8725</v>
      </c>
      <c r="E2415" t="s">
        <v>8726</v>
      </c>
      <c r="F2415" s="2">
        <v>525439375</v>
      </c>
      <c r="G2415" s="2">
        <v>134180595</v>
      </c>
      <c r="H2415" t="s">
        <v>38</v>
      </c>
      <c r="I2415" t="s">
        <v>17</v>
      </c>
      <c r="J2415" t="s">
        <v>25</v>
      </c>
    </row>
    <row r="2416" spans="1:11" x14ac:dyDescent="0.2">
      <c r="A2416" t="s">
        <v>8727</v>
      </c>
      <c r="B2416" t="s">
        <v>8728</v>
      </c>
      <c r="F2416" s="2">
        <v>525108479</v>
      </c>
      <c r="G2416" s="2">
        <v>134572569</v>
      </c>
      <c r="H2416" t="s">
        <v>28</v>
      </c>
      <c r="I2416" t="s">
        <v>17</v>
      </c>
      <c r="J2416" t="s">
        <v>25</v>
      </c>
    </row>
    <row r="2417" spans="1:11" x14ac:dyDescent="0.2">
      <c r="A2417" t="s">
        <v>8729</v>
      </c>
      <c r="F2417" s="2">
        <v>5245607</v>
      </c>
      <c r="G2417" s="2">
        <v>13577582</v>
      </c>
      <c r="H2417" t="s">
        <v>28</v>
      </c>
      <c r="I2417" t="s">
        <v>17</v>
      </c>
      <c r="J2417" t="s">
        <v>25</v>
      </c>
    </row>
    <row r="2418" spans="1:11" x14ac:dyDescent="0.2">
      <c r="A2418" t="s">
        <v>8730</v>
      </c>
      <c r="B2418" t="s">
        <v>8731</v>
      </c>
      <c r="E2418">
        <v>493040532680</v>
      </c>
      <c r="F2418" s="2">
        <v>525419289</v>
      </c>
      <c r="G2418" s="2">
        <v>133506712</v>
      </c>
      <c r="H2418" t="s">
        <v>34</v>
      </c>
      <c r="I2418" t="s">
        <v>17</v>
      </c>
      <c r="J2418" t="s">
        <v>25</v>
      </c>
    </row>
    <row r="2419" spans="1:11" x14ac:dyDescent="0.2">
      <c r="A2419" t="s">
        <v>8732</v>
      </c>
      <c r="B2419" t="s">
        <v>8733</v>
      </c>
      <c r="C2419" t="s">
        <v>8734</v>
      </c>
      <c r="D2419" t="s">
        <v>8735</v>
      </c>
      <c r="E2419" t="s">
        <v>8736</v>
      </c>
      <c r="F2419" s="2">
        <v>525450792</v>
      </c>
      <c r="G2419" s="2">
        <v>13362279</v>
      </c>
      <c r="H2419" t="s">
        <v>51</v>
      </c>
      <c r="I2419" t="s">
        <v>17</v>
      </c>
      <c r="J2419" t="s">
        <v>25</v>
      </c>
      <c r="K2419" t="s">
        <v>8737</v>
      </c>
    </row>
    <row r="2420" spans="1:11" x14ac:dyDescent="0.2">
      <c r="A2420" t="s">
        <v>8738</v>
      </c>
      <c r="B2420" t="s">
        <v>8739</v>
      </c>
      <c r="C2420" t="s">
        <v>8740</v>
      </c>
      <c r="E2420" t="s">
        <v>8741</v>
      </c>
      <c r="F2420" s="2">
        <v>525176863</v>
      </c>
      <c r="G2420" s="2">
        <v>13461675</v>
      </c>
      <c r="H2420" t="s">
        <v>38</v>
      </c>
      <c r="I2420" t="s">
        <v>17</v>
      </c>
      <c r="J2420" t="s">
        <v>25</v>
      </c>
    </row>
    <row r="2421" spans="1:11" x14ac:dyDescent="0.2">
      <c r="A2421" t="s">
        <v>8742</v>
      </c>
      <c r="B2421" t="s">
        <v>8743</v>
      </c>
      <c r="F2421" s="2">
        <v>525244929</v>
      </c>
      <c r="G2421" s="2">
        <v>134097372</v>
      </c>
      <c r="H2421" t="s">
        <v>28</v>
      </c>
      <c r="I2421" t="s">
        <v>17</v>
      </c>
      <c r="J2421" t="s">
        <v>25</v>
      </c>
    </row>
    <row r="2422" spans="1:11" x14ac:dyDescent="0.2">
      <c r="A2422" t="s">
        <v>8744</v>
      </c>
      <c r="B2422" t="s">
        <v>8745</v>
      </c>
      <c r="C2422" t="s">
        <v>8746</v>
      </c>
      <c r="D2422" t="s">
        <v>8747</v>
      </c>
      <c r="E2422" t="s">
        <v>8748</v>
      </c>
      <c r="F2422" s="2">
        <v>525489671</v>
      </c>
      <c r="G2422" s="2">
        <v>133516959</v>
      </c>
      <c r="H2422" t="s">
        <v>24</v>
      </c>
      <c r="I2422" t="s">
        <v>17</v>
      </c>
      <c r="J2422" t="s">
        <v>25</v>
      </c>
    </row>
    <row r="2423" spans="1:11" x14ac:dyDescent="0.2">
      <c r="A2423" t="s">
        <v>8749</v>
      </c>
      <c r="B2423" t="s">
        <v>8750</v>
      </c>
      <c r="F2423" s="2">
        <v>525088014</v>
      </c>
      <c r="G2423" s="2">
        <v>133203124</v>
      </c>
      <c r="H2423" t="s">
        <v>28</v>
      </c>
      <c r="I2423" t="s">
        <v>17</v>
      </c>
      <c r="J2423" t="s">
        <v>25</v>
      </c>
    </row>
    <row r="2424" spans="1:11" x14ac:dyDescent="0.2">
      <c r="A2424" t="s">
        <v>8751</v>
      </c>
      <c r="B2424" t="s">
        <v>8752</v>
      </c>
      <c r="C2424" t="s">
        <v>8753</v>
      </c>
      <c r="D2424" t="s">
        <v>8754</v>
      </c>
      <c r="E2424" t="s">
        <v>8755</v>
      </c>
      <c r="F2424" s="2">
        <v>524296922</v>
      </c>
      <c r="G2424" s="2">
        <v>132571749</v>
      </c>
      <c r="H2424" t="s">
        <v>24</v>
      </c>
      <c r="I2424" t="s">
        <v>17</v>
      </c>
      <c r="J2424" t="s">
        <v>25</v>
      </c>
    </row>
    <row r="2425" spans="1:11" x14ac:dyDescent="0.2">
      <c r="A2425" t="s">
        <v>8756</v>
      </c>
      <c r="B2425" t="s">
        <v>8757</v>
      </c>
      <c r="F2425" s="2">
        <v>525878138</v>
      </c>
      <c r="G2425" s="2">
        <v>1328032</v>
      </c>
      <c r="H2425" t="s">
        <v>28</v>
      </c>
      <c r="I2425" t="s">
        <v>17</v>
      </c>
      <c r="J2425" t="s">
        <v>25</v>
      </c>
    </row>
    <row r="2426" spans="1:11" x14ac:dyDescent="0.2">
      <c r="A2426" t="s">
        <v>8758</v>
      </c>
      <c r="B2426" t="s">
        <v>8759</v>
      </c>
      <c r="F2426" s="2">
        <v>52565296</v>
      </c>
      <c r="G2426" s="2">
        <v>133632189</v>
      </c>
      <c r="H2426" t="s">
        <v>28</v>
      </c>
      <c r="I2426" t="s">
        <v>17</v>
      </c>
      <c r="J2426" t="s">
        <v>25</v>
      </c>
    </row>
    <row r="2427" spans="1:11" x14ac:dyDescent="0.2">
      <c r="A2427" t="s">
        <v>8760</v>
      </c>
      <c r="C2427" t="s">
        <v>8761</v>
      </c>
      <c r="E2427" t="s">
        <v>8762</v>
      </c>
      <c r="F2427" s="2">
        <v>525237816</v>
      </c>
      <c r="G2427" s="2">
        <v>133806791</v>
      </c>
      <c r="H2427" t="s">
        <v>38</v>
      </c>
      <c r="I2427" t="s">
        <v>17</v>
      </c>
      <c r="J2427" t="s">
        <v>25</v>
      </c>
    </row>
    <row r="2428" spans="1:11" x14ac:dyDescent="0.2">
      <c r="A2428" t="s">
        <v>8763</v>
      </c>
      <c r="B2428" t="s">
        <v>8764</v>
      </c>
      <c r="C2428" t="s">
        <v>8765</v>
      </c>
      <c r="D2428" t="s">
        <v>8766</v>
      </c>
      <c r="E2428" t="s">
        <v>8767</v>
      </c>
      <c r="F2428" s="2">
        <v>525111109</v>
      </c>
      <c r="G2428" s="2">
        <v>13438092</v>
      </c>
      <c r="H2428" t="s">
        <v>16</v>
      </c>
      <c r="I2428" t="s">
        <v>17</v>
      </c>
      <c r="J2428" t="s">
        <v>25</v>
      </c>
    </row>
    <row r="2429" spans="1:11" x14ac:dyDescent="0.2">
      <c r="A2429" t="s">
        <v>8768</v>
      </c>
      <c r="B2429" t="s">
        <v>8769</v>
      </c>
      <c r="C2429" t="s">
        <v>8770</v>
      </c>
      <c r="D2429" t="s">
        <v>8771</v>
      </c>
      <c r="E2429" t="s">
        <v>8772</v>
      </c>
      <c r="F2429" s="2">
        <v>52409526</v>
      </c>
      <c r="G2429" s="2">
        <v>134036178</v>
      </c>
      <c r="H2429" t="s">
        <v>51</v>
      </c>
      <c r="I2429" t="s">
        <v>17</v>
      </c>
      <c r="J2429" t="s">
        <v>25</v>
      </c>
      <c r="K2429" t="s">
        <v>8773</v>
      </c>
    </row>
    <row r="2430" spans="1:11" x14ac:dyDescent="0.2">
      <c r="A2430" t="s">
        <v>8774</v>
      </c>
      <c r="F2430" s="2">
        <v>524096346</v>
      </c>
      <c r="G2430" s="2">
        <v>134035222</v>
      </c>
      <c r="H2430" t="s">
        <v>28</v>
      </c>
      <c r="I2430" t="s">
        <v>17</v>
      </c>
      <c r="J2430" t="s">
        <v>25</v>
      </c>
    </row>
    <row r="2431" spans="1:11" x14ac:dyDescent="0.2">
      <c r="A2431" t="s">
        <v>8775</v>
      </c>
      <c r="B2431" t="s">
        <v>8776</v>
      </c>
      <c r="F2431" s="2">
        <v>524469419</v>
      </c>
      <c r="G2431" s="2">
        <v>136274176</v>
      </c>
      <c r="H2431" t="s">
        <v>28</v>
      </c>
      <c r="I2431" t="s">
        <v>17</v>
      </c>
      <c r="J2431" t="s">
        <v>25</v>
      </c>
    </row>
    <row r="2432" spans="1:11" x14ac:dyDescent="0.2">
      <c r="A2432" t="s">
        <v>8777</v>
      </c>
      <c r="B2432" t="s">
        <v>8778</v>
      </c>
      <c r="C2432" t="s">
        <v>8779</v>
      </c>
      <c r="E2432" t="s">
        <v>8780</v>
      </c>
      <c r="F2432" s="2">
        <v>524826342</v>
      </c>
      <c r="G2432" s="2">
        <v>134411407</v>
      </c>
      <c r="H2432" t="s">
        <v>38</v>
      </c>
      <c r="I2432" t="s">
        <v>17</v>
      </c>
      <c r="J2432" t="s">
        <v>25</v>
      </c>
    </row>
    <row r="2433" spans="1:11" x14ac:dyDescent="0.2">
      <c r="A2433" t="s">
        <v>8781</v>
      </c>
      <c r="B2433" t="s">
        <v>8782</v>
      </c>
      <c r="C2433" t="s">
        <v>8783</v>
      </c>
      <c r="D2433" t="s">
        <v>8784</v>
      </c>
      <c r="E2433" t="s">
        <v>8785</v>
      </c>
      <c r="F2433" s="2">
        <v>52534967</v>
      </c>
      <c r="G2433" s="2">
        <v>134311807</v>
      </c>
      <c r="H2433" t="s">
        <v>24</v>
      </c>
      <c r="I2433" t="s">
        <v>17</v>
      </c>
      <c r="J2433" t="s">
        <v>25</v>
      </c>
    </row>
    <row r="2434" spans="1:11" x14ac:dyDescent="0.2">
      <c r="A2434" t="s">
        <v>8786</v>
      </c>
      <c r="B2434" t="s">
        <v>8787</v>
      </c>
      <c r="E2434">
        <v>493037433731</v>
      </c>
      <c r="F2434" s="2">
        <v>525418377</v>
      </c>
      <c r="G2434" s="2">
        <v>135425565</v>
      </c>
      <c r="H2434" t="s">
        <v>34</v>
      </c>
      <c r="I2434" t="s">
        <v>17</v>
      </c>
      <c r="J2434" t="s">
        <v>25</v>
      </c>
    </row>
    <row r="2435" spans="1:11" x14ac:dyDescent="0.2">
      <c r="A2435" t="s">
        <v>8788</v>
      </c>
      <c r="F2435" s="2">
        <v>525455246</v>
      </c>
      <c r="G2435" s="2">
        <v>133582169</v>
      </c>
      <c r="H2435" t="s">
        <v>28</v>
      </c>
      <c r="I2435" t="s">
        <v>17</v>
      </c>
      <c r="J2435" t="s">
        <v>25</v>
      </c>
    </row>
    <row r="2436" spans="1:11" x14ac:dyDescent="0.2">
      <c r="A2436" t="s">
        <v>8789</v>
      </c>
      <c r="E2436" t="s">
        <v>8790</v>
      </c>
      <c r="F2436" s="2">
        <v>52500803</v>
      </c>
      <c r="G2436" s="2">
        <v>135142145</v>
      </c>
      <c r="H2436" t="s">
        <v>34</v>
      </c>
      <c r="I2436" t="s">
        <v>17</v>
      </c>
      <c r="J2436" t="s">
        <v>25</v>
      </c>
    </row>
    <row r="2437" spans="1:11" x14ac:dyDescent="0.2">
      <c r="A2437" t="s">
        <v>8791</v>
      </c>
      <c r="F2437" s="2">
        <v>525069224</v>
      </c>
      <c r="G2437" s="2">
        <v>133044073</v>
      </c>
      <c r="H2437" t="s">
        <v>28</v>
      </c>
      <c r="I2437" t="s">
        <v>17</v>
      </c>
      <c r="J2437" t="s">
        <v>25</v>
      </c>
    </row>
    <row r="2438" spans="1:11" x14ac:dyDescent="0.2">
      <c r="A2438" t="s">
        <v>8792</v>
      </c>
      <c r="C2438" t="s">
        <v>8793</v>
      </c>
      <c r="E2438">
        <v>49303236053</v>
      </c>
      <c r="F2438" s="2">
        <v>525069229</v>
      </c>
      <c r="G2438" s="2">
        <v>133042004</v>
      </c>
      <c r="H2438" t="s">
        <v>38</v>
      </c>
      <c r="I2438" t="s">
        <v>17</v>
      </c>
      <c r="J2438" t="s">
        <v>25</v>
      </c>
    </row>
    <row r="2439" spans="1:11" x14ac:dyDescent="0.2">
      <c r="A2439" t="s">
        <v>8794</v>
      </c>
      <c r="B2439" t="s">
        <v>8795</v>
      </c>
      <c r="C2439" t="s">
        <v>8796</v>
      </c>
      <c r="D2439" t="s">
        <v>8797</v>
      </c>
      <c r="F2439" s="2">
        <v>5250924</v>
      </c>
      <c r="G2439" s="2">
        <v>133796142</v>
      </c>
      <c r="H2439" t="s">
        <v>51</v>
      </c>
      <c r="I2439" t="s">
        <v>17</v>
      </c>
      <c r="J2439" t="s">
        <v>25</v>
      </c>
      <c r="K2439" t="s">
        <v>8798</v>
      </c>
    </row>
    <row r="2440" spans="1:11" x14ac:dyDescent="0.2">
      <c r="A2440" t="s">
        <v>8799</v>
      </c>
      <c r="B2440" t="s">
        <v>8800</v>
      </c>
      <c r="C2440" t="s">
        <v>8801</v>
      </c>
      <c r="D2440" t="s">
        <v>8802</v>
      </c>
      <c r="E2440" t="s">
        <v>8803</v>
      </c>
      <c r="F2440" s="2">
        <v>52460344</v>
      </c>
      <c r="G2440" s="2">
        <v>133172581</v>
      </c>
      <c r="H2440" t="s">
        <v>51</v>
      </c>
      <c r="I2440" t="s">
        <v>17</v>
      </c>
      <c r="J2440" t="s">
        <v>25</v>
      </c>
      <c r="K2440" t="s">
        <v>8804</v>
      </c>
    </row>
    <row r="2441" spans="1:11" x14ac:dyDescent="0.2">
      <c r="A2441" t="s">
        <v>8805</v>
      </c>
      <c r="B2441" t="s">
        <v>8806</v>
      </c>
      <c r="C2441" t="s">
        <v>8807</v>
      </c>
      <c r="D2441" t="s">
        <v>8808</v>
      </c>
      <c r="E2441" t="s">
        <v>8809</v>
      </c>
      <c r="F2441" s="2">
        <v>525170503</v>
      </c>
      <c r="G2441" s="2">
        <v>131796125</v>
      </c>
      <c r="H2441" t="s">
        <v>24</v>
      </c>
      <c r="I2441" t="s">
        <v>17</v>
      </c>
      <c r="J2441" t="s">
        <v>25</v>
      </c>
    </row>
    <row r="2442" spans="1:11" x14ac:dyDescent="0.2">
      <c r="A2442" t="s">
        <v>8810</v>
      </c>
      <c r="B2442" t="s">
        <v>8811</v>
      </c>
      <c r="C2442" t="s">
        <v>8812</v>
      </c>
      <c r="D2442" t="s">
        <v>8813</v>
      </c>
      <c r="E2442" t="s">
        <v>8814</v>
      </c>
      <c r="F2442" s="2">
        <v>524788803</v>
      </c>
      <c r="G2442" s="2">
        <v>133276714</v>
      </c>
      <c r="H2442" t="s">
        <v>24</v>
      </c>
      <c r="I2442" t="s">
        <v>17</v>
      </c>
      <c r="J2442" t="s">
        <v>25</v>
      </c>
    </row>
    <row r="2443" spans="1:11" x14ac:dyDescent="0.2">
      <c r="A2443" t="s">
        <v>8815</v>
      </c>
      <c r="B2443" t="s">
        <v>8816</v>
      </c>
      <c r="F2443" s="2">
        <v>524769046</v>
      </c>
      <c r="G2443" s="2">
        <v>133205594</v>
      </c>
      <c r="H2443" t="s">
        <v>28</v>
      </c>
      <c r="I2443" t="s">
        <v>17</v>
      </c>
      <c r="J2443" t="s">
        <v>25</v>
      </c>
    </row>
    <row r="2444" spans="1:11" x14ac:dyDescent="0.2">
      <c r="A2444" t="s">
        <v>8817</v>
      </c>
      <c r="B2444" t="s">
        <v>8818</v>
      </c>
      <c r="C2444" t="s">
        <v>8819</v>
      </c>
      <c r="E2444" t="s">
        <v>8820</v>
      </c>
      <c r="F2444" s="2">
        <v>524899519</v>
      </c>
      <c r="G2444" s="2">
        <v>134274368</v>
      </c>
      <c r="H2444" t="s">
        <v>277</v>
      </c>
      <c r="I2444" t="s">
        <v>17</v>
      </c>
      <c r="J2444" t="s">
        <v>25</v>
      </c>
      <c r="K2444" t="s">
        <v>8821</v>
      </c>
    </row>
    <row r="2445" spans="1:11" x14ac:dyDescent="0.2">
      <c r="A2445" t="s">
        <v>8822</v>
      </c>
      <c r="B2445" t="s">
        <v>8408</v>
      </c>
      <c r="C2445" t="s">
        <v>8823</v>
      </c>
      <c r="D2445" t="s">
        <v>8824</v>
      </c>
      <c r="E2445" t="s">
        <v>8825</v>
      </c>
      <c r="F2445" s="2">
        <v>524902219</v>
      </c>
      <c r="G2445" s="2">
        <v>133556219</v>
      </c>
      <c r="H2445" t="s">
        <v>304</v>
      </c>
      <c r="I2445" t="s">
        <v>17</v>
      </c>
      <c r="J2445" t="s">
        <v>25</v>
      </c>
      <c r="K2445" t="s">
        <v>8826</v>
      </c>
    </row>
    <row r="2446" spans="1:11" x14ac:dyDescent="0.2">
      <c r="A2446" t="s">
        <v>8827</v>
      </c>
      <c r="B2446" t="s">
        <v>8828</v>
      </c>
      <c r="C2446" t="s">
        <v>8829</v>
      </c>
      <c r="F2446" s="2">
        <v>524857761</v>
      </c>
      <c r="G2446" s="2">
        <v>133453796</v>
      </c>
      <c r="H2446" t="s">
        <v>255</v>
      </c>
      <c r="I2446" t="s">
        <v>17</v>
      </c>
      <c r="J2446" t="s">
        <v>25</v>
      </c>
    </row>
    <row r="2447" spans="1:11" x14ac:dyDescent="0.2">
      <c r="A2447" t="s">
        <v>8830</v>
      </c>
      <c r="B2447" t="s">
        <v>5184</v>
      </c>
      <c r="E2447" t="s">
        <v>8831</v>
      </c>
      <c r="F2447" s="2">
        <v>525020083</v>
      </c>
      <c r="G2447" s="2">
        <v>133910785</v>
      </c>
      <c r="H2447" t="s">
        <v>34</v>
      </c>
      <c r="I2447" t="s">
        <v>17</v>
      </c>
      <c r="J2447" t="s">
        <v>25</v>
      </c>
    </row>
    <row r="2448" spans="1:11" x14ac:dyDescent="0.2">
      <c r="A2448" t="s">
        <v>8832</v>
      </c>
      <c r="B2448" t="s">
        <v>8833</v>
      </c>
      <c r="F2448" s="2">
        <v>524869029</v>
      </c>
      <c r="G2448" s="2">
        <v>133946515</v>
      </c>
      <c r="H2448" t="s">
        <v>28</v>
      </c>
      <c r="I2448" t="s">
        <v>17</v>
      </c>
      <c r="J2448" t="s">
        <v>25</v>
      </c>
    </row>
    <row r="2449" spans="1:11" x14ac:dyDescent="0.2">
      <c r="A2449" t="s">
        <v>8834</v>
      </c>
      <c r="B2449" t="s">
        <v>8835</v>
      </c>
      <c r="E2449" t="s">
        <v>8836</v>
      </c>
      <c r="F2449" s="2">
        <v>525241216</v>
      </c>
      <c r="G2449" s="2">
        <v>133013523</v>
      </c>
      <c r="H2449" t="s">
        <v>34</v>
      </c>
      <c r="I2449" t="s">
        <v>17</v>
      </c>
      <c r="J2449" t="s">
        <v>25</v>
      </c>
    </row>
    <row r="2450" spans="1:11" x14ac:dyDescent="0.2">
      <c r="A2450" t="s">
        <v>8837</v>
      </c>
      <c r="B2450" t="s">
        <v>8838</v>
      </c>
      <c r="C2450" t="s">
        <v>8839</v>
      </c>
      <c r="D2450" t="s">
        <v>8840</v>
      </c>
      <c r="F2450" s="2">
        <v>524120061</v>
      </c>
      <c r="G2450" s="2">
        <v>136631749</v>
      </c>
      <c r="H2450" t="s">
        <v>16</v>
      </c>
      <c r="I2450" t="s">
        <v>17</v>
      </c>
      <c r="J2450" t="s">
        <v>25</v>
      </c>
    </row>
    <row r="2451" spans="1:11" x14ac:dyDescent="0.2">
      <c r="A2451" t="s">
        <v>8841</v>
      </c>
      <c r="B2451" t="s">
        <v>6962</v>
      </c>
      <c r="C2451" t="s">
        <v>8842</v>
      </c>
      <c r="D2451" t="s">
        <v>8843</v>
      </c>
      <c r="E2451" t="s">
        <v>8844</v>
      </c>
      <c r="F2451" s="2">
        <v>525430622</v>
      </c>
      <c r="G2451" s="2">
        <v>134148177</v>
      </c>
      <c r="H2451" t="s">
        <v>51</v>
      </c>
      <c r="I2451" t="s">
        <v>17</v>
      </c>
      <c r="J2451" t="s">
        <v>25</v>
      </c>
      <c r="K2451" t="s">
        <v>8845</v>
      </c>
    </row>
    <row r="2452" spans="1:11" x14ac:dyDescent="0.2">
      <c r="A2452" t="s">
        <v>8846</v>
      </c>
      <c r="B2452" t="s">
        <v>8847</v>
      </c>
      <c r="E2452" t="s">
        <v>8848</v>
      </c>
      <c r="F2452" s="2">
        <v>525241565</v>
      </c>
      <c r="G2452" s="2">
        <v>134074731</v>
      </c>
      <c r="H2452" t="s">
        <v>34</v>
      </c>
      <c r="I2452" t="s">
        <v>17</v>
      </c>
      <c r="J2452" t="s">
        <v>25</v>
      </c>
    </row>
    <row r="2453" spans="1:11" x14ac:dyDescent="0.2">
      <c r="A2453" t="s">
        <v>8849</v>
      </c>
      <c r="B2453" t="s">
        <v>6479</v>
      </c>
      <c r="C2453" t="s">
        <v>8850</v>
      </c>
      <c r="E2453" t="s">
        <v>8851</v>
      </c>
      <c r="F2453" s="2">
        <v>525278114</v>
      </c>
      <c r="G2453" s="2">
        <v>133383741</v>
      </c>
      <c r="H2453" t="s">
        <v>38</v>
      </c>
      <c r="I2453" t="s">
        <v>17</v>
      </c>
      <c r="J2453" t="s">
        <v>25</v>
      </c>
    </row>
    <row r="2454" spans="1:11" x14ac:dyDescent="0.2">
      <c r="A2454" t="s">
        <v>8852</v>
      </c>
      <c r="B2454" t="s">
        <v>8853</v>
      </c>
      <c r="F2454" s="2">
        <v>525489673</v>
      </c>
      <c r="G2454" s="2">
        <v>134140278</v>
      </c>
      <c r="H2454" t="s">
        <v>28</v>
      </c>
      <c r="I2454" t="s">
        <v>17</v>
      </c>
      <c r="J2454" t="s">
        <v>25</v>
      </c>
    </row>
    <row r="2455" spans="1:11" x14ac:dyDescent="0.2">
      <c r="A2455" t="s">
        <v>8854</v>
      </c>
      <c r="C2455" t="s">
        <v>8855</v>
      </c>
      <c r="F2455" s="2">
        <v>525383229</v>
      </c>
      <c r="G2455" s="2">
        <v>134869335</v>
      </c>
      <c r="H2455" t="s">
        <v>255</v>
      </c>
      <c r="I2455" t="s">
        <v>17</v>
      </c>
      <c r="J2455" t="s">
        <v>25</v>
      </c>
    </row>
    <row r="2456" spans="1:11" x14ac:dyDescent="0.2">
      <c r="A2456" t="s">
        <v>8856</v>
      </c>
      <c r="B2456" t="s">
        <v>8857</v>
      </c>
      <c r="E2456" t="s">
        <v>8858</v>
      </c>
      <c r="F2456" s="2">
        <v>524844115</v>
      </c>
      <c r="G2456" s="2">
        <v>134350114</v>
      </c>
      <c r="H2456" t="s">
        <v>34</v>
      </c>
      <c r="I2456" t="s">
        <v>17</v>
      </c>
      <c r="J2456" t="s">
        <v>25</v>
      </c>
    </row>
    <row r="2457" spans="1:11" x14ac:dyDescent="0.2">
      <c r="A2457" t="s">
        <v>8859</v>
      </c>
      <c r="B2457" t="s">
        <v>8860</v>
      </c>
      <c r="C2457" t="s">
        <v>8861</v>
      </c>
      <c r="E2457" t="s">
        <v>8862</v>
      </c>
      <c r="F2457" s="2">
        <v>524472342</v>
      </c>
      <c r="G2457" s="2">
        <v>133856974</v>
      </c>
      <c r="H2457" t="s">
        <v>38</v>
      </c>
      <c r="I2457" t="s">
        <v>17</v>
      </c>
      <c r="J2457" t="s">
        <v>25</v>
      </c>
    </row>
    <row r="2458" spans="1:11" x14ac:dyDescent="0.2">
      <c r="A2458" t="s">
        <v>8863</v>
      </c>
      <c r="B2458" t="s">
        <v>8864</v>
      </c>
      <c r="F2458" s="2">
        <v>525107095</v>
      </c>
      <c r="G2458" s="2">
        <v>133052409</v>
      </c>
      <c r="H2458" t="s">
        <v>28</v>
      </c>
      <c r="I2458" t="s">
        <v>17</v>
      </c>
      <c r="J2458" t="s">
        <v>25</v>
      </c>
    </row>
    <row r="2459" spans="1:11" x14ac:dyDescent="0.2">
      <c r="A2459" t="s">
        <v>8865</v>
      </c>
      <c r="B2459" t="s">
        <v>8866</v>
      </c>
      <c r="F2459" s="2">
        <v>525103958</v>
      </c>
      <c r="G2459" s="2">
        <v>13305337</v>
      </c>
      <c r="H2459" t="s">
        <v>28</v>
      </c>
      <c r="I2459" t="s">
        <v>17</v>
      </c>
      <c r="J2459" t="s">
        <v>25</v>
      </c>
    </row>
    <row r="2460" spans="1:11" x14ac:dyDescent="0.2">
      <c r="A2460" t="s">
        <v>8867</v>
      </c>
      <c r="B2460" t="s">
        <v>8868</v>
      </c>
      <c r="C2460" t="s">
        <v>8869</v>
      </c>
      <c r="E2460" t="s">
        <v>8870</v>
      </c>
      <c r="F2460" s="2">
        <v>526009331</v>
      </c>
      <c r="G2460" s="2">
        <v>133922604</v>
      </c>
      <c r="H2460" t="s">
        <v>38</v>
      </c>
      <c r="I2460" t="s">
        <v>17</v>
      </c>
      <c r="J2460" t="s">
        <v>25</v>
      </c>
    </row>
    <row r="2461" spans="1:11" x14ac:dyDescent="0.2">
      <c r="A2461" t="s">
        <v>8871</v>
      </c>
      <c r="B2461" t="s">
        <v>8872</v>
      </c>
      <c r="C2461" t="s">
        <v>8873</v>
      </c>
      <c r="D2461" t="s">
        <v>8874</v>
      </c>
      <c r="E2461" t="s">
        <v>8875</v>
      </c>
      <c r="F2461" s="2">
        <v>524990828</v>
      </c>
      <c r="G2461" s="2">
        <v>133418056</v>
      </c>
      <c r="H2461" t="s">
        <v>51</v>
      </c>
      <c r="I2461" t="s">
        <v>17</v>
      </c>
      <c r="J2461" t="s">
        <v>25</v>
      </c>
      <c r="K2461" t="s">
        <v>8876</v>
      </c>
    </row>
    <row r="2462" spans="1:11" x14ac:dyDescent="0.2">
      <c r="A2462" t="s">
        <v>8877</v>
      </c>
      <c r="B2462" t="s">
        <v>8878</v>
      </c>
      <c r="C2462" t="s">
        <v>8879</v>
      </c>
      <c r="D2462" t="s">
        <v>8880</v>
      </c>
      <c r="E2462" t="s">
        <v>8881</v>
      </c>
      <c r="F2462" s="2">
        <v>524428369</v>
      </c>
      <c r="G2462" s="2">
        <v>135695101</v>
      </c>
      <c r="H2462" t="s">
        <v>51</v>
      </c>
      <c r="I2462" t="s">
        <v>17</v>
      </c>
      <c r="J2462" t="s">
        <v>25</v>
      </c>
      <c r="K2462" t="s">
        <v>8882</v>
      </c>
    </row>
    <row r="2463" spans="1:11" x14ac:dyDescent="0.2">
      <c r="A2463" t="s">
        <v>8883</v>
      </c>
      <c r="B2463" t="s">
        <v>8884</v>
      </c>
      <c r="C2463" t="s">
        <v>8885</v>
      </c>
      <c r="F2463" s="2">
        <v>52586639</v>
      </c>
      <c r="G2463" s="2">
        <v>133739904</v>
      </c>
      <c r="H2463" t="s">
        <v>255</v>
      </c>
      <c r="I2463" t="s">
        <v>17</v>
      </c>
      <c r="J2463" t="s">
        <v>25</v>
      </c>
    </row>
    <row r="2464" spans="1:11" x14ac:dyDescent="0.2">
      <c r="A2464" t="s">
        <v>8886</v>
      </c>
      <c r="F2464" s="2">
        <v>525078022</v>
      </c>
      <c r="G2464" s="2">
        <v>133056669</v>
      </c>
      <c r="H2464" t="s">
        <v>28</v>
      </c>
      <c r="I2464" t="s">
        <v>17</v>
      </c>
      <c r="J2464" t="s">
        <v>25</v>
      </c>
    </row>
    <row r="2465" spans="1:11" x14ac:dyDescent="0.2">
      <c r="A2465" t="s">
        <v>8887</v>
      </c>
      <c r="C2465" t="s">
        <v>8888</v>
      </c>
      <c r="F2465" s="2">
        <v>525116329</v>
      </c>
      <c r="G2465" s="2">
        <v>13401428</v>
      </c>
      <c r="H2465" t="s">
        <v>3120</v>
      </c>
      <c r="I2465" t="s">
        <v>17</v>
      </c>
      <c r="J2465" t="s">
        <v>25</v>
      </c>
      <c r="K2465" t="s">
        <v>8889</v>
      </c>
    </row>
    <row r="2466" spans="1:11" x14ac:dyDescent="0.2">
      <c r="A2466" t="s">
        <v>8890</v>
      </c>
      <c r="B2466" t="s">
        <v>3901</v>
      </c>
      <c r="F2466" s="2">
        <v>525125369</v>
      </c>
      <c r="G2466" s="2">
        <v>134116364</v>
      </c>
      <c r="H2466" t="s">
        <v>28</v>
      </c>
      <c r="I2466" t="s">
        <v>17</v>
      </c>
      <c r="J2466" t="s">
        <v>25</v>
      </c>
    </row>
    <row r="2467" spans="1:11" x14ac:dyDescent="0.2">
      <c r="A2467" t="s">
        <v>8891</v>
      </c>
      <c r="B2467" t="s">
        <v>607</v>
      </c>
      <c r="C2467" t="s">
        <v>8892</v>
      </c>
      <c r="F2467" s="2">
        <v>524773252</v>
      </c>
      <c r="G2467" s="2">
        <v>134251237</v>
      </c>
      <c r="H2467" t="s">
        <v>38</v>
      </c>
      <c r="I2467" t="s">
        <v>17</v>
      </c>
      <c r="J2467" t="s">
        <v>25</v>
      </c>
    </row>
    <row r="2468" spans="1:11" x14ac:dyDescent="0.2">
      <c r="A2468" t="s">
        <v>8893</v>
      </c>
      <c r="B2468" t="s">
        <v>8894</v>
      </c>
      <c r="F2468" s="2">
        <v>524761432</v>
      </c>
      <c r="G2468" s="2">
        <v>134262315</v>
      </c>
      <c r="H2468" t="s">
        <v>28</v>
      </c>
      <c r="I2468" t="s">
        <v>17</v>
      </c>
      <c r="J2468" t="s">
        <v>25</v>
      </c>
    </row>
    <row r="2469" spans="1:11" x14ac:dyDescent="0.2">
      <c r="A2469" t="s">
        <v>8895</v>
      </c>
      <c r="B2469" t="s">
        <v>8896</v>
      </c>
      <c r="C2469" t="s">
        <v>8897</v>
      </c>
      <c r="D2469" t="s">
        <v>8898</v>
      </c>
      <c r="E2469" t="s">
        <v>8899</v>
      </c>
      <c r="F2469" s="2">
        <v>525114358</v>
      </c>
      <c r="G2469" s="2">
        <v>13457973</v>
      </c>
      <c r="H2469" t="s">
        <v>304</v>
      </c>
      <c r="I2469" t="s">
        <v>17</v>
      </c>
      <c r="J2469" t="s">
        <v>25</v>
      </c>
      <c r="K2469" t="s">
        <v>8900</v>
      </c>
    </row>
    <row r="2470" spans="1:11" x14ac:dyDescent="0.2">
      <c r="A2470" t="s">
        <v>8901</v>
      </c>
      <c r="B2470" t="s">
        <v>8902</v>
      </c>
      <c r="F2470" s="2">
        <v>524892148</v>
      </c>
      <c r="G2470" s="2">
        <v>13408692</v>
      </c>
      <c r="H2470" t="s">
        <v>28</v>
      </c>
      <c r="I2470" t="s">
        <v>17</v>
      </c>
      <c r="J2470" t="s">
        <v>25</v>
      </c>
    </row>
    <row r="2471" spans="1:11" x14ac:dyDescent="0.2">
      <c r="A2471" t="s">
        <v>8903</v>
      </c>
      <c r="B2471" t="s">
        <v>8904</v>
      </c>
      <c r="C2471" t="s">
        <v>8905</v>
      </c>
      <c r="D2471" t="s">
        <v>8906</v>
      </c>
      <c r="F2471" s="2">
        <v>524981664</v>
      </c>
      <c r="G2471" s="2">
        <v>134174272</v>
      </c>
      <c r="H2471" t="s">
        <v>24</v>
      </c>
      <c r="I2471" t="s">
        <v>17</v>
      </c>
      <c r="J2471" t="s">
        <v>25</v>
      </c>
    </row>
    <row r="2472" spans="1:11" x14ac:dyDescent="0.2">
      <c r="A2472" t="s">
        <v>8907</v>
      </c>
      <c r="B2472" t="s">
        <v>8908</v>
      </c>
      <c r="C2472" t="s">
        <v>8909</v>
      </c>
      <c r="E2472" t="s">
        <v>8910</v>
      </c>
      <c r="F2472" s="2">
        <v>52506304</v>
      </c>
      <c r="G2472" s="2">
        <v>133903978</v>
      </c>
      <c r="H2472" t="s">
        <v>277</v>
      </c>
      <c r="I2472" t="s">
        <v>17</v>
      </c>
      <c r="J2472" t="s">
        <v>25</v>
      </c>
      <c r="K2472" t="s">
        <v>8911</v>
      </c>
    </row>
    <row r="2473" spans="1:11" x14ac:dyDescent="0.2">
      <c r="A2473" t="s">
        <v>8912</v>
      </c>
      <c r="B2473" t="s">
        <v>8913</v>
      </c>
      <c r="C2473" t="s">
        <v>8914</v>
      </c>
      <c r="E2473" t="s">
        <v>8915</v>
      </c>
      <c r="F2473" s="2">
        <v>524665732</v>
      </c>
      <c r="G2473" s="2">
        <v>134321264</v>
      </c>
      <c r="H2473" t="s">
        <v>38</v>
      </c>
      <c r="I2473" t="s">
        <v>17</v>
      </c>
      <c r="J2473" t="s">
        <v>25</v>
      </c>
    </row>
    <row r="2474" spans="1:11" x14ac:dyDescent="0.2">
      <c r="A2474" t="s">
        <v>8916</v>
      </c>
      <c r="C2474" t="s">
        <v>8917</v>
      </c>
      <c r="D2474" t="s">
        <v>8918</v>
      </c>
      <c r="F2474" s="2">
        <v>524341016</v>
      </c>
      <c r="G2474" s="2">
        <v>133415945</v>
      </c>
      <c r="H2474" t="s">
        <v>51</v>
      </c>
      <c r="I2474" t="s">
        <v>17</v>
      </c>
      <c r="J2474" t="s">
        <v>25</v>
      </c>
      <c r="K2474" t="s">
        <v>8919</v>
      </c>
    </row>
    <row r="2475" spans="1:11" x14ac:dyDescent="0.2">
      <c r="A2475" t="s">
        <v>8920</v>
      </c>
      <c r="B2475" t="s">
        <v>8921</v>
      </c>
      <c r="F2475" s="2">
        <v>525272582</v>
      </c>
      <c r="G2475" s="2">
        <v>133283536</v>
      </c>
      <c r="H2475" t="s">
        <v>28</v>
      </c>
      <c r="I2475" t="s">
        <v>17</v>
      </c>
      <c r="J2475" t="s">
        <v>25</v>
      </c>
    </row>
    <row r="2476" spans="1:11" x14ac:dyDescent="0.2">
      <c r="A2476" t="s">
        <v>8922</v>
      </c>
      <c r="B2476" t="s">
        <v>8923</v>
      </c>
      <c r="F2476" s="2">
        <v>525496636</v>
      </c>
      <c r="G2476" s="2">
        <v>133512456</v>
      </c>
      <c r="H2476" t="s">
        <v>28</v>
      </c>
      <c r="I2476" t="s">
        <v>17</v>
      </c>
      <c r="J2476" t="s">
        <v>25</v>
      </c>
    </row>
    <row r="2477" spans="1:11" x14ac:dyDescent="0.2">
      <c r="A2477" t="s">
        <v>8924</v>
      </c>
      <c r="B2477" t="s">
        <v>8925</v>
      </c>
      <c r="E2477" t="s">
        <v>8926</v>
      </c>
      <c r="F2477" s="2">
        <v>52527418</v>
      </c>
      <c r="G2477" s="2">
        <v>133268279</v>
      </c>
      <c r="H2477" t="s">
        <v>34</v>
      </c>
      <c r="I2477" t="s">
        <v>17</v>
      </c>
      <c r="J2477" t="s">
        <v>25</v>
      </c>
    </row>
    <row r="2478" spans="1:11" x14ac:dyDescent="0.2">
      <c r="A2478" t="s">
        <v>8927</v>
      </c>
      <c r="B2478" t="s">
        <v>8928</v>
      </c>
      <c r="C2478" t="s">
        <v>8929</v>
      </c>
      <c r="E2478" t="s">
        <v>8930</v>
      </c>
      <c r="F2478" s="2">
        <v>524934086</v>
      </c>
      <c r="G2478" s="2">
        <v>134454081</v>
      </c>
      <c r="H2478" t="s">
        <v>38</v>
      </c>
      <c r="I2478" t="s">
        <v>17</v>
      </c>
      <c r="J2478" t="s">
        <v>25</v>
      </c>
    </row>
    <row r="2479" spans="1:11" x14ac:dyDescent="0.2">
      <c r="A2479" t="s">
        <v>8931</v>
      </c>
      <c r="B2479" t="s">
        <v>8932</v>
      </c>
      <c r="C2479" t="s">
        <v>8933</v>
      </c>
      <c r="D2479" t="s">
        <v>8934</v>
      </c>
      <c r="E2479" t="s">
        <v>8935</v>
      </c>
      <c r="F2479" s="2">
        <v>524695468</v>
      </c>
      <c r="G2479" s="2">
        <v>135880287</v>
      </c>
      <c r="H2479" t="s">
        <v>304</v>
      </c>
      <c r="I2479" t="s">
        <v>17</v>
      </c>
      <c r="J2479" t="s">
        <v>25</v>
      </c>
      <c r="K2479" t="s">
        <v>8936</v>
      </c>
    </row>
    <row r="2480" spans="1:11" x14ac:dyDescent="0.2">
      <c r="A2480" t="s">
        <v>8937</v>
      </c>
      <c r="B2480" t="s">
        <v>8938</v>
      </c>
      <c r="C2480" t="s">
        <v>8939</v>
      </c>
      <c r="E2480" t="s">
        <v>8940</v>
      </c>
      <c r="F2480" s="2">
        <v>525053082</v>
      </c>
      <c r="G2480" s="2">
        <v>132976179</v>
      </c>
      <c r="H2480" t="s">
        <v>38</v>
      </c>
      <c r="I2480" t="s">
        <v>17</v>
      </c>
      <c r="J2480" t="s">
        <v>25</v>
      </c>
    </row>
    <row r="2481" spans="1:11" x14ac:dyDescent="0.2">
      <c r="A2481" t="s">
        <v>8941</v>
      </c>
      <c r="B2481" t="s">
        <v>8942</v>
      </c>
      <c r="C2481" t="s">
        <v>8943</v>
      </c>
      <c r="D2481" t="s">
        <v>8944</v>
      </c>
      <c r="F2481" s="2">
        <v>525407901</v>
      </c>
      <c r="G2481" s="2">
        <v>134061691</v>
      </c>
      <c r="H2481" t="s">
        <v>51</v>
      </c>
      <c r="I2481" t="s">
        <v>17</v>
      </c>
      <c r="J2481" t="s">
        <v>25</v>
      </c>
      <c r="K2481" t="s">
        <v>8945</v>
      </c>
    </row>
    <row r="2482" spans="1:11" x14ac:dyDescent="0.2">
      <c r="A2482" t="s">
        <v>8946</v>
      </c>
      <c r="F2482" s="2">
        <v>525647657</v>
      </c>
      <c r="G2482" s="2">
        <v>135045486</v>
      </c>
      <c r="H2482" t="s">
        <v>28</v>
      </c>
      <c r="I2482" t="s">
        <v>17</v>
      </c>
      <c r="J2482" t="s">
        <v>25</v>
      </c>
    </row>
    <row r="2483" spans="1:11" x14ac:dyDescent="0.2">
      <c r="A2483" t="s">
        <v>8947</v>
      </c>
      <c r="B2483" t="s">
        <v>839</v>
      </c>
      <c r="C2483" t="s">
        <v>8948</v>
      </c>
      <c r="E2483" t="s">
        <v>8949</v>
      </c>
      <c r="F2483" s="2">
        <v>525235504</v>
      </c>
      <c r="G2483" s="2">
        <v>13407066</v>
      </c>
      <c r="H2483" t="s">
        <v>38</v>
      </c>
      <c r="I2483" t="s">
        <v>17</v>
      </c>
      <c r="J2483" t="s">
        <v>25</v>
      </c>
    </row>
    <row r="2484" spans="1:11" x14ac:dyDescent="0.2">
      <c r="A2484" t="s">
        <v>8950</v>
      </c>
      <c r="B2484" t="s">
        <v>8951</v>
      </c>
      <c r="C2484" t="s">
        <v>8952</v>
      </c>
      <c r="D2484" t="s">
        <v>8953</v>
      </c>
      <c r="E2484" t="s">
        <v>8954</v>
      </c>
      <c r="F2484" s="2">
        <v>524536885</v>
      </c>
      <c r="G2484" s="2">
        <v>133155531</v>
      </c>
      <c r="H2484" t="s">
        <v>51</v>
      </c>
      <c r="I2484" t="s">
        <v>17</v>
      </c>
      <c r="J2484" t="s">
        <v>25</v>
      </c>
      <c r="K2484" t="s">
        <v>8955</v>
      </c>
    </row>
    <row r="2485" spans="1:11" x14ac:dyDescent="0.2">
      <c r="A2485" t="s">
        <v>8956</v>
      </c>
      <c r="B2485" t="s">
        <v>8957</v>
      </c>
      <c r="C2485" t="s">
        <v>8958</v>
      </c>
      <c r="E2485" t="s">
        <v>8959</v>
      </c>
      <c r="F2485" s="2">
        <v>525245825</v>
      </c>
      <c r="G2485" s="2">
        <v>133950575</v>
      </c>
      <c r="H2485" t="s">
        <v>277</v>
      </c>
      <c r="I2485" t="s">
        <v>17</v>
      </c>
      <c r="J2485" t="s">
        <v>25</v>
      </c>
      <c r="K2485" t="s">
        <v>8960</v>
      </c>
    </row>
    <row r="2486" spans="1:11" x14ac:dyDescent="0.2">
      <c r="A2486" t="s">
        <v>8961</v>
      </c>
      <c r="E2486" t="s">
        <v>8962</v>
      </c>
      <c r="F2486" s="2">
        <v>525561222</v>
      </c>
      <c r="G2486" s="2">
        <v>133720692</v>
      </c>
      <c r="H2486" t="s">
        <v>34</v>
      </c>
      <c r="I2486" t="s">
        <v>17</v>
      </c>
      <c r="J2486" t="s">
        <v>25</v>
      </c>
    </row>
    <row r="2487" spans="1:11" x14ac:dyDescent="0.2">
      <c r="A2487" t="s">
        <v>8963</v>
      </c>
      <c r="B2487" t="s">
        <v>8964</v>
      </c>
      <c r="C2487" t="s">
        <v>8965</v>
      </c>
      <c r="D2487" t="s">
        <v>8966</v>
      </c>
      <c r="E2487" t="s">
        <v>8967</v>
      </c>
      <c r="F2487" s="2">
        <v>524967836</v>
      </c>
      <c r="G2487" s="2">
        <v>134216802</v>
      </c>
      <c r="H2487" t="s">
        <v>51</v>
      </c>
      <c r="I2487" t="s">
        <v>17</v>
      </c>
      <c r="J2487" t="s">
        <v>25</v>
      </c>
      <c r="K2487" t="s">
        <v>8968</v>
      </c>
    </row>
    <row r="2488" spans="1:11" x14ac:dyDescent="0.2">
      <c r="A2488" t="s">
        <v>8969</v>
      </c>
      <c r="B2488" t="s">
        <v>4369</v>
      </c>
      <c r="C2488" t="s">
        <v>8970</v>
      </c>
      <c r="D2488" t="s">
        <v>8971</v>
      </c>
      <c r="E2488" t="s">
        <v>8972</v>
      </c>
      <c r="F2488" s="2">
        <v>525063625</v>
      </c>
      <c r="G2488" s="2">
        <v>133094096</v>
      </c>
      <c r="H2488" t="s">
        <v>24</v>
      </c>
      <c r="I2488" t="s">
        <v>17</v>
      </c>
      <c r="J2488" t="s">
        <v>25</v>
      </c>
    </row>
    <row r="2489" spans="1:11" x14ac:dyDescent="0.2">
      <c r="A2489" t="s">
        <v>8973</v>
      </c>
      <c r="B2489" t="s">
        <v>8974</v>
      </c>
      <c r="C2489" t="s">
        <v>8975</v>
      </c>
      <c r="D2489" t="s">
        <v>8976</v>
      </c>
      <c r="E2489" t="s">
        <v>8977</v>
      </c>
      <c r="F2489" s="2">
        <v>524986722</v>
      </c>
      <c r="G2489" s="2">
        <v>134468359</v>
      </c>
      <c r="H2489" t="s">
        <v>24</v>
      </c>
      <c r="I2489" t="s">
        <v>17</v>
      </c>
      <c r="J2489" t="s">
        <v>25</v>
      </c>
    </row>
    <row r="2490" spans="1:11" x14ac:dyDescent="0.2">
      <c r="A2490" t="s">
        <v>8978</v>
      </c>
      <c r="B2490" t="s">
        <v>8979</v>
      </c>
      <c r="C2490" t="s">
        <v>8980</v>
      </c>
      <c r="E2490" t="s">
        <v>8981</v>
      </c>
      <c r="F2490" s="2">
        <v>525433319</v>
      </c>
      <c r="G2490" s="2">
        <v>134168786</v>
      </c>
      <c r="H2490" t="s">
        <v>277</v>
      </c>
      <c r="I2490" t="s">
        <v>17</v>
      </c>
      <c r="J2490" t="s">
        <v>25</v>
      </c>
      <c r="K2490" t="s">
        <v>8982</v>
      </c>
    </row>
    <row r="2491" spans="1:11" x14ac:dyDescent="0.2">
      <c r="A2491" t="s">
        <v>8983</v>
      </c>
      <c r="C2491" t="s">
        <v>8984</v>
      </c>
      <c r="F2491" s="2">
        <v>524961573</v>
      </c>
      <c r="G2491" s="2">
        <v>134422</v>
      </c>
      <c r="H2491" t="s">
        <v>255</v>
      </c>
      <c r="I2491" t="s">
        <v>17</v>
      </c>
      <c r="J2491" t="s">
        <v>25</v>
      </c>
    </row>
    <row r="2492" spans="1:11" x14ac:dyDescent="0.2">
      <c r="A2492" t="s">
        <v>8985</v>
      </c>
      <c r="F2492" s="2">
        <v>525006923</v>
      </c>
      <c r="G2492" s="2">
        <v>133430271</v>
      </c>
      <c r="H2492" t="s">
        <v>28</v>
      </c>
      <c r="I2492" t="s">
        <v>17</v>
      </c>
      <c r="J2492" t="s">
        <v>25</v>
      </c>
    </row>
    <row r="2493" spans="1:11" x14ac:dyDescent="0.2">
      <c r="A2493" t="s">
        <v>8986</v>
      </c>
      <c r="B2493" t="s">
        <v>2531</v>
      </c>
      <c r="F2493" s="2">
        <v>525101572</v>
      </c>
      <c r="G2493" s="2">
        <v>134580389</v>
      </c>
      <c r="H2493" t="s">
        <v>28</v>
      </c>
      <c r="I2493" t="s">
        <v>17</v>
      </c>
      <c r="J2493" t="s">
        <v>25</v>
      </c>
    </row>
    <row r="2494" spans="1:11" x14ac:dyDescent="0.2">
      <c r="A2494" t="s">
        <v>8987</v>
      </c>
      <c r="B2494" t="s">
        <v>8988</v>
      </c>
      <c r="C2494" t="s">
        <v>8989</v>
      </c>
      <c r="D2494" t="s">
        <v>8990</v>
      </c>
      <c r="E2494" t="s">
        <v>8991</v>
      </c>
      <c r="F2494" s="2">
        <v>525166524</v>
      </c>
      <c r="G2494" s="2">
        <v>133882153</v>
      </c>
      <c r="H2494" t="s">
        <v>24</v>
      </c>
      <c r="I2494" t="s">
        <v>17</v>
      </c>
      <c r="J2494" t="s">
        <v>25</v>
      </c>
    </row>
    <row r="2495" spans="1:11" x14ac:dyDescent="0.2">
      <c r="A2495" t="s">
        <v>8992</v>
      </c>
      <c r="B2495" t="s">
        <v>8993</v>
      </c>
      <c r="C2495" t="s">
        <v>8994</v>
      </c>
      <c r="D2495" t="s">
        <v>8995</v>
      </c>
      <c r="E2495" t="s">
        <v>8996</v>
      </c>
      <c r="F2495" s="2">
        <v>525520401</v>
      </c>
      <c r="G2495" s="2">
        <v>134188655</v>
      </c>
      <c r="H2495" t="s">
        <v>24</v>
      </c>
      <c r="I2495" t="s">
        <v>17</v>
      </c>
      <c r="J2495" t="s">
        <v>25</v>
      </c>
    </row>
    <row r="2496" spans="1:11" x14ac:dyDescent="0.2">
      <c r="A2496" t="s">
        <v>8997</v>
      </c>
      <c r="B2496" t="s">
        <v>8998</v>
      </c>
      <c r="C2496" t="s">
        <v>8999</v>
      </c>
      <c r="F2496" s="2">
        <v>525454518</v>
      </c>
      <c r="G2496" s="2">
        <v>134272874</v>
      </c>
      <c r="H2496" t="s">
        <v>3120</v>
      </c>
      <c r="I2496" t="s">
        <v>17</v>
      </c>
      <c r="J2496" t="s">
        <v>25</v>
      </c>
      <c r="K2496" t="s">
        <v>9000</v>
      </c>
    </row>
    <row r="2497" spans="1:11" x14ac:dyDescent="0.2">
      <c r="A2497" t="s">
        <v>9001</v>
      </c>
      <c r="B2497" t="s">
        <v>9002</v>
      </c>
      <c r="C2497" t="s">
        <v>9003</v>
      </c>
      <c r="E2497" t="s">
        <v>9004</v>
      </c>
      <c r="F2497" s="2">
        <v>48090305</v>
      </c>
      <c r="G2497" s="2">
        <v>-756815509</v>
      </c>
      <c r="H2497" t="s">
        <v>38</v>
      </c>
      <c r="I2497" t="s">
        <v>17</v>
      </c>
      <c r="J2497" t="s">
        <v>25</v>
      </c>
    </row>
    <row r="2498" spans="1:11" x14ac:dyDescent="0.2">
      <c r="A2498" t="s">
        <v>9005</v>
      </c>
      <c r="B2498" t="s">
        <v>9006</v>
      </c>
      <c r="C2498" t="s">
        <v>9007</v>
      </c>
      <c r="E2498" t="s">
        <v>9008</v>
      </c>
      <c r="F2498" s="2">
        <v>525012221</v>
      </c>
      <c r="G2498" s="2">
        <v>133655732</v>
      </c>
      <c r="H2498" t="s">
        <v>38</v>
      </c>
      <c r="I2498" t="s">
        <v>17</v>
      </c>
      <c r="J2498" t="s">
        <v>25</v>
      </c>
    </row>
    <row r="2499" spans="1:11" x14ac:dyDescent="0.2">
      <c r="A2499" t="s">
        <v>9009</v>
      </c>
      <c r="B2499" t="s">
        <v>9010</v>
      </c>
      <c r="F2499" s="2">
        <v>525474349</v>
      </c>
      <c r="G2499" s="2">
        <v>13411889</v>
      </c>
      <c r="H2499" t="s">
        <v>28</v>
      </c>
      <c r="I2499" t="s">
        <v>17</v>
      </c>
      <c r="J2499" t="s">
        <v>25</v>
      </c>
    </row>
    <row r="2500" spans="1:11" x14ac:dyDescent="0.2">
      <c r="A2500" t="s">
        <v>9011</v>
      </c>
      <c r="B2500" t="s">
        <v>9012</v>
      </c>
      <c r="C2500" t="s">
        <v>9013</v>
      </c>
      <c r="D2500" t="s">
        <v>9014</v>
      </c>
      <c r="E2500" t="s">
        <v>9015</v>
      </c>
      <c r="F2500" s="2">
        <v>525014844</v>
      </c>
      <c r="G2500" s="2">
        <v>133639586</v>
      </c>
      <c r="H2500" t="s">
        <v>24</v>
      </c>
      <c r="I2500" t="s">
        <v>17</v>
      </c>
      <c r="J2500" t="s">
        <v>25</v>
      </c>
    </row>
    <row r="2501" spans="1:11" x14ac:dyDescent="0.2">
      <c r="A2501" t="s">
        <v>9016</v>
      </c>
      <c r="B2501" t="s">
        <v>9017</v>
      </c>
      <c r="C2501" t="s">
        <v>9018</v>
      </c>
      <c r="D2501" t="s">
        <v>9019</v>
      </c>
      <c r="E2501" t="s">
        <v>9020</v>
      </c>
      <c r="F2501" s="2">
        <v>524834522</v>
      </c>
      <c r="G2501" s="2">
        <v>13360099</v>
      </c>
      <c r="H2501" t="s">
        <v>51</v>
      </c>
      <c r="I2501" t="s">
        <v>17</v>
      </c>
      <c r="J2501" t="s">
        <v>25</v>
      </c>
      <c r="K2501" t="s">
        <v>9021</v>
      </c>
    </row>
    <row r="2502" spans="1:11" x14ac:dyDescent="0.2">
      <c r="A2502" t="s">
        <v>9022</v>
      </c>
      <c r="B2502" t="s">
        <v>9023</v>
      </c>
      <c r="C2502" t="s">
        <v>9024</v>
      </c>
      <c r="D2502" t="s">
        <v>9025</v>
      </c>
      <c r="E2502" t="s">
        <v>9026</v>
      </c>
      <c r="F2502" s="2">
        <v>525140075</v>
      </c>
      <c r="G2502" s="2">
        <v>133163877</v>
      </c>
      <c r="H2502" t="s">
        <v>16</v>
      </c>
      <c r="I2502" t="s">
        <v>17</v>
      </c>
      <c r="J2502" t="s">
        <v>25</v>
      </c>
    </row>
    <row r="2503" spans="1:11" x14ac:dyDescent="0.2">
      <c r="A2503" t="s">
        <v>9027</v>
      </c>
      <c r="B2503" t="s">
        <v>9028</v>
      </c>
      <c r="F2503" s="2">
        <v>524953946</v>
      </c>
      <c r="G2503" s="2">
        <v>134177385</v>
      </c>
      <c r="H2503" t="s">
        <v>28</v>
      </c>
      <c r="I2503" t="s">
        <v>17</v>
      </c>
      <c r="J2503" t="s">
        <v>25</v>
      </c>
    </row>
    <row r="2504" spans="1:11" x14ac:dyDescent="0.2">
      <c r="A2504" t="s">
        <v>9029</v>
      </c>
      <c r="B2504" t="s">
        <v>9030</v>
      </c>
      <c r="F2504" s="2">
        <v>524928132</v>
      </c>
      <c r="G2504" s="2">
        <v>134218205</v>
      </c>
      <c r="H2504" t="s">
        <v>28</v>
      </c>
      <c r="I2504" t="s">
        <v>17</v>
      </c>
      <c r="J2504" t="s">
        <v>25</v>
      </c>
    </row>
    <row r="2505" spans="1:11" x14ac:dyDescent="0.2">
      <c r="A2505" t="s">
        <v>9031</v>
      </c>
      <c r="B2505" t="s">
        <v>9032</v>
      </c>
      <c r="C2505" t="s">
        <v>9033</v>
      </c>
      <c r="D2505" t="s">
        <v>9034</v>
      </c>
      <c r="E2505" t="s">
        <v>9035</v>
      </c>
      <c r="F2505" s="2">
        <v>525290695</v>
      </c>
      <c r="G2505" s="2">
        <v>134089621</v>
      </c>
      <c r="H2505" t="s">
        <v>51</v>
      </c>
      <c r="I2505" t="s">
        <v>17</v>
      </c>
      <c r="J2505" t="s">
        <v>25</v>
      </c>
      <c r="K2505" t="s">
        <v>9036</v>
      </c>
    </row>
    <row r="2506" spans="1:11" x14ac:dyDescent="0.2">
      <c r="A2506" t="s">
        <v>9037</v>
      </c>
      <c r="B2506" t="s">
        <v>9038</v>
      </c>
      <c r="C2506" t="s">
        <v>9039</v>
      </c>
      <c r="D2506" t="s">
        <v>9040</v>
      </c>
      <c r="F2506" s="2">
        <v>526061232</v>
      </c>
      <c r="G2506" s="2">
        <v>133243097</v>
      </c>
      <c r="H2506" t="s">
        <v>16</v>
      </c>
      <c r="I2506" t="s">
        <v>17</v>
      </c>
      <c r="J2506" t="s">
        <v>25</v>
      </c>
    </row>
    <row r="2507" spans="1:11" x14ac:dyDescent="0.2">
      <c r="A2507" t="s">
        <v>9041</v>
      </c>
      <c r="B2507" t="s">
        <v>9042</v>
      </c>
      <c r="E2507">
        <v>493052673609</v>
      </c>
      <c r="F2507" s="2">
        <v>525072175</v>
      </c>
      <c r="G2507" s="2">
        <v>132987207</v>
      </c>
      <c r="H2507" t="s">
        <v>34</v>
      </c>
      <c r="I2507" t="s">
        <v>17</v>
      </c>
      <c r="J2507" t="s">
        <v>25</v>
      </c>
    </row>
    <row r="2508" spans="1:11" x14ac:dyDescent="0.2">
      <c r="A2508" t="s">
        <v>9043</v>
      </c>
      <c r="B2508" t="s">
        <v>9044</v>
      </c>
      <c r="C2508" t="s">
        <v>9045</v>
      </c>
      <c r="E2508" t="s">
        <v>9046</v>
      </c>
      <c r="F2508" s="2">
        <v>525126029</v>
      </c>
      <c r="G2508" s="2">
        <v>134580836</v>
      </c>
      <c r="H2508" t="s">
        <v>277</v>
      </c>
      <c r="I2508" t="s">
        <v>17</v>
      </c>
      <c r="J2508" t="s">
        <v>25</v>
      </c>
      <c r="K2508" t="s">
        <v>9047</v>
      </c>
    </row>
    <row r="2509" spans="1:11" x14ac:dyDescent="0.2">
      <c r="A2509" t="s">
        <v>9048</v>
      </c>
      <c r="B2509" t="s">
        <v>9049</v>
      </c>
      <c r="C2509" t="s">
        <v>9050</v>
      </c>
      <c r="F2509" s="2">
        <v>525108794</v>
      </c>
      <c r="G2509" s="2">
        <v>134614068</v>
      </c>
      <c r="H2509" t="s">
        <v>255</v>
      </c>
      <c r="I2509" t="s">
        <v>17</v>
      </c>
      <c r="J2509" t="s">
        <v>25</v>
      </c>
    </row>
    <row r="2510" spans="1:11" x14ac:dyDescent="0.2">
      <c r="A2510" t="s">
        <v>9051</v>
      </c>
      <c r="B2510" t="s">
        <v>9052</v>
      </c>
      <c r="E2510" t="s">
        <v>9053</v>
      </c>
      <c r="F2510" s="2">
        <v>526204124</v>
      </c>
      <c r="G2510" s="2">
        <v>132368302</v>
      </c>
      <c r="H2510" t="s">
        <v>34</v>
      </c>
      <c r="I2510" t="s">
        <v>17</v>
      </c>
      <c r="J2510" t="s">
        <v>25</v>
      </c>
    </row>
    <row r="2511" spans="1:11" x14ac:dyDescent="0.2">
      <c r="A2511" t="s">
        <v>9054</v>
      </c>
      <c r="B2511" t="s">
        <v>9055</v>
      </c>
      <c r="F2511" s="2">
        <v>525123561</v>
      </c>
      <c r="G2511" s="2">
        <v>134539504</v>
      </c>
      <c r="H2511" t="s">
        <v>28</v>
      </c>
      <c r="I2511" t="s">
        <v>17</v>
      </c>
      <c r="J2511" t="s">
        <v>25</v>
      </c>
    </row>
    <row r="2512" spans="1:11" x14ac:dyDescent="0.2">
      <c r="A2512" t="s">
        <v>9056</v>
      </c>
      <c r="B2512" t="s">
        <v>8925</v>
      </c>
      <c r="F2512" s="2">
        <v>525274129</v>
      </c>
      <c r="G2512" s="2">
        <v>133269249</v>
      </c>
      <c r="H2512" t="s">
        <v>28</v>
      </c>
      <c r="I2512" t="s">
        <v>17</v>
      </c>
      <c r="J2512" t="s">
        <v>25</v>
      </c>
    </row>
    <row r="2513" spans="1:11" x14ac:dyDescent="0.2">
      <c r="A2513" t="s">
        <v>9057</v>
      </c>
      <c r="B2513" t="s">
        <v>9058</v>
      </c>
      <c r="C2513" t="s">
        <v>9059</v>
      </c>
      <c r="D2513" t="s">
        <v>9060</v>
      </c>
      <c r="F2513" s="2">
        <v>524815003</v>
      </c>
      <c r="G2513" s="2">
        <v>134340353</v>
      </c>
      <c r="H2513" t="s">
        <v>304</v>
      </c>
      <c r="I2513" t="s">
        <v>17</v>
      </c>
      <c r="J2513" t="s">
        <v>25</v>
      </c>
      <c r="K2513" t="s">
        <v>9061</v>
      </c>
    </row>
    <row r="2514" spans="1:11" x14ac:dyDescent="0.2">
      <c r="A2514" t="s">
        <v>9062</v>
      </c>
      <c r="B2514" t="s">
        <v>9063</v>
      </c>
      <c r="C2514" t="s">
        <v>9064</v>
      </c>
      <c r="D2514" t="s">
        <v>9065</v>
      </c>
      <c r="E2514" t="s">
        <v>9066</v>
      </c>
      <c r="F2514" s="2">
        <v>52526614</v>
      </c>
      <c r="G2514" s="2">
        <v>133968635</v>
      </c>
      <c r="H2514" t="s">
        <v>51</v>
      </c>
      <c r="I2514" t="s">
        <v>17</v>
      </c>
      <c r="J2514" t="s">
        <v>25</v>
      </c>
      <c r="K2514" t="s">
        <v>9067</v>
      </c>
    </row>
    <row r="2515" spans="1:11" x14ac:dyDescent="0.2">
      <c r="A2515" t="s">
        <v>9068</v>
      </c>
      <c r="B2515" t="s">
        <v>9069</v>
      </c>
      <c r="C2515" t="s">
        <v>9070</v>
      </c>
      <c r="D2515" t="s">
        <v>9071</v>
      </c>
      <c r="E2515" t="s">
        <v>9072</v>
      </c>
      <c r="F2515" s="2">
        <v>52512746</v>
      </c>
      <c r="G2515" s="2">
        <v>133052599</v>
      </c>
      <c r="H2515" t="s">
        <v>24</v>
      </c>
      <c r="I2515" t="s">
        <v>17</v>
      </c>
      <c r="J2515" t="s">
        <v>25</v>
      </c>
    </row>
    <row r="2516" spans="1:11" x14ac:dyDescent="0.2">
      <c r="A2516" t="s">
        <v>9073</v>
      </c>
      <c r="B2516" t="s">
        <v>9074</v>
      </c>
      <c r="C2516" t="s">
        <v>9075</v>
      </c>
      <c r="D2516" t="s">
        <v>9076</v>
      </c>
      <c r="E2516" t="s">
        <v>9077</v>
      </c>
      <c r="F2516" s="2">
        <v>525069443</v>
      </c>
      <c r="G2516" s="2">
        <v>133008509</v>
      </c>
      <c r="H2516" t="s">
        <v>24</v>
      </c>
      <c r="I2516" t="s">
        <v>17</v>
      </c>
      <c r="J2516" t="s">
        <v>25</v>
      </c>
    </row>
    <row r="2517" spans="1:11" x14ac:dyDescent="0.2">
      <c r="A2517" t="s">
        <v>9078</v>
      </c>
      <c r="B2517" t="s">
        <v>9079</v>
      </c>
      <c r="F2517" s="2">
        <v>524512986</v>
      </c>
      <c r="G2517" s="2">
        <v>133210798</v>
      </c>
      <c r="H2517" t="s">
        <v>28</v>
      </c>
      <c r="I2517" t="s">
        <v>17</v>
      </c>
      <c r="J2517" t="s">
        <v>25</v>
      </c>
    </row>
    <row r="2518" spans="1:11" x14ac:dyDescent="0.2">
      <c r="A2518" t="s">
        <v>9080</v>
      </c>
      <c r="B2518" t="s">
        <v>9081</v>
      </c>
      <c r="F2518" s="2">
        <v>525254497</v>
      </c>
      <c r="G2518" s="2">
        <v>133916499</v>
      </c>
      <c r="H2518" t="s">
        <v>28</v>
      </c>
      <c r="I2518" t="s">
        <v>17</v>
      </c>
      <c r="J2518" t="s">
        <v>25</v>
      </c>
    </row>
    <row r="2519" spans="1:11" x14ac:dyDescent="0.2">
      <c r="A2519" t="s">
        <v>9082</v>
      </c>
      <c r="B2519" t="s">
        <v>9083</v>
      </c>
      <c r="C2519" t="s">
        <v>9084</v>
      </c>
      <c r="E2519" t="s">
        <v>9085</v>
      </c>
      <c r="F2519" s="2">
        <v>524336842</v>
      </c>
      <c r="G2519" s="2">
        <v>133416187</v>
      </c>
      <c r="H2519" t="s">
        <v>38</v>
      </c>
      <c r="I2519" t="s">
        <v>17</v>
      </c>
      <c r="J2519" t="s">
        <v>25</v>
      </c>
    </row>
    <row r="2520" spans="1:11" x14ac:dyDescent="0.2">
      <c r="A2520" t="s">
        <v>9086</v>
      </c>
      <c r="B2520" t="s">
        <v>9087</v>
      </c>
      <c r="F2520" s="2">
        <v>524970252</v>
      </c>
      <c r="G2520" s="2">
        <v>133203319</v>
      </c>
      <c r="H2520" t="s">
        <v>28</v>
      </c>
      <c r="I2520" t="s">
        <v>17</v>
      </c>
      <c r="J2520" t="s">
        <v>25</v>
      </c>
    </row>
    <row r="2521" spans="1:11" x14ac:dyDescent="0.2">
      <c r="A2521" t="s">
        <v>9088</v>
      </c>
      <c r="B2521" t="s">
        <v>9089</v>
      </c>
      <c r="C2521" t="s">
        <v>9090</v>
      </c>
      <c r="D2521" t="s">
        <v>9091</v>
      </c>
      <c r="E2521" t="s">
        <v>9092</v>
      </c>
      <c r="F2521" s="2">
        <v>525350071</v>
      </c>
      <c r="G2521" s="2">
        <v>136080859</v>
      </c>
      <c r="H2521" t="s">
        <v>24</v>
      </c>
      <c r="I2521" t="s">
        <v>17</v>
      </c>
      <c r="J2521" t="s">
        <v>25</v>
      </c>
    </row>
    <row r="2522" spans="1:11" x14ac:dyDescent="0.2">
      <c r="A2522" t="s">
        <v>9093</v>
      </c>
      <c r="B2522" t="s">
        <v>9094</v>
      </c>
      <c r="C2522" t="s">
        <v>9095</v>
      </c>
      <c r="D2522" t="s">
        <v>9096</v>
      </c>
      <c r="E2522" t="s">
        <v>9097</v>
      </c>
      <c r="F2522" s="2">
        <v>525051031</v>
      </c>
      <c r="G2522" s="2">
        <v>13469509</v>
      </c>
      <c r="H2522" t="s">
        <v>304</v>
      </c>
      <c r="I2522" t="s">
        <v>17</v>
      </c>
      <c r="J2522" t="s">
        <v>25</v>
      </c>
      <c r="K2522" t="s">
        <v>9098</v>
      </c>
    </row>
    <row r="2523" spans="1:11" x14ac:dyDescent="0.2">
      <c r="A2523" t="s">
        <v>9099</v>
      </c>
      <c r="B2523" t="s">
        <v>9100</v>
      </c>
      <c r="C2523" t="s">
        <v>9101</v>
      </c>
      <c r="E2523">
        <v>493026074244</v>
      </c>
      <c r="F2523" s="2">
        <v>52535928</v>
      </c>
      <c r="G2523" s="2">
        <v>13416274</v>
      </c>
      <c r="H2523" t="s">
        <v>38</v>
      </c>
      <c r="I2523" t="s">
        <v>17</v>
      </c>
      <c r="J2523" t="s">
        <v>25</v>
      </c>
    </row>
    <row r="2524" spans="1:11" x14ac:dyDescent="0.2">
      <c r="A2524" t="s">
        <v>9102</v>
      </c>
      <c r="B2524" t="s">
        <v>9103</v>
      </c>
      <c r="C2524" t="s">
        <v>9104</v>
      </c>
      <c r="E2524" t="s">
        <v>9105</v>
      </c>
      <c r="F2524" s="2">
        <v>524683984</v>
      </c>
      <c r="G2524" s="2">
        <v>134907848</v>
      </c>
      <c r="H2524" t="s">
        <v>38</v>
      </c>
      <c r="I2524" t="s">
        <v>17</v>
      </c>
      <c r="J2524" t="s">
        <v>25</v>
      </c>
    </row>
    <row r="2525" spans="1:11" x14ac:dyDescent="0.2">
      <c r="A2525" t="s">
        <v>9106</v>
      </c>
      <c r="B2525" t="s">
        <v>9107</v>
      </c>
      <c r="E2525" t="s">
        <v>9108</v>
      </c>
      <c r="F2525" s="2">
        <v>524189217</v>
      </c>
      <c r="G2525" s="2">
        <v>135459991</v>
      </c>
      <c r="H2525" t="s">
        <v>34</v>
      </c>
      <c r="I2525" t="s">
        <v>17</v>
      </c>
      <c r="J2525" t="s">
        <v>25</v>
      </c>
    </row>
    <row r="2526" spans="1:11" x14ac:dyDescent="0.2">
      <c r="A2526" t="s">
        <v>9109</v>
      </c>
      <c r="B2526" t="s">
        <v>9110</v>
      </c>
      <c r="E2526" t="s">
        <v>9111</v>
      </c>
      <c r="F2526" s="2">
        <v>524875552</v>
      </c>
      <c r="G2526" s="2">
        <v>134271095</v>
      </c>
      <c r="H2526" t="s">
        <v>34</v>
      </c>
      <c r="I2526" t="s">
        <v>17</v>
      </c>
      <c r="J2526" t="s">
        <v>25</v>
      </c>
    </row>
    <row r="2527" spans="1:11" x14ac:dyDescent="0.2">
      <c r="A2527" t="s">
        <v>9112</v>
      </c>
      <c r="B2527" t="s">
        <v>9113</v>
      </c>
      <c r="C2527" t="s">
        <v>9114</v>
      </c>
      <c r="D2527" t="s">
        <v>9115</v>
      </c>
      <c r="E2527" t="s">
        <v>9116</v>
      </c>
      <c r="F2527" s="2">
        <v>524670128</v>
      </c>
      <c r="G2527" s="2">
        <v>133385514</v>
      </c>
      <c r="H2527" t="s">
        <v>16</v>
      </c>
      <c r="I2527" t="s">
        <v>17</v>
      </c>
      <c r="J2527" t="s">
        <v>25</v>
      </c>
    </row>
    <row r="2528" spans="1:11" x14ac:dyDescent="0.2">
      <c r="A2528" t="s">
        <v>9117</v>
      </c>
      <c r="F2528" s="2">
        <v>525090749</v>
      </c>
      <c r="G2528" s="2">
        <v>134277701</v>
      </c>
      <c r="H2528" t="s">
        <v>28</v>
      </c>
      <c r="I2528" t="s">
        <v>17</v>
      </c>
      <c r="J2528" t="s">
        <v>25</v>
      </c>
    </row>
    <row r="2529" spans="1:11" x14ac:dyDescent="0.2">
      <c r="A2529" t="s">
        <v>9118</v>
      </c>
      <c r="B2529" t="s">
        <v>9119</v>
      </c>
      <c r="C2529" t="s">
        <v>9120</v>
      </c>
      <c r="D2529" t="s">
        <v>9121</v>
      </c>
      <c r="E2529" t="s">
        <v>9122</v>
      </c>
      <c r="F2529" s="2">
        <v>524957063</v>
      </c>
      <c r="G2529" s="2">
        <v>133242346</v>
      </c>
      <c r="H2529" t="s">
        <v>304</v>
      </c>
      <c r="I2529" t="s">
        <v>17</v>
      </c>
      <c r="J2529" t="s">
        <v>25</v>
      </c>
      <c r="K2529" t="s">
        <v>9123</v>
      </c>
    </row>
    <row r="2530" spans="1:11" x14ac:dyDescent="0.2">
      <c r="A2530" t="s">
        <v>9124</v>
      </c>
      <c r="F2530" s="2">
        <v>525228395</v>
      </c>
      <c r="G2530" s="2">
        <v>134094331</v>
      </c>
      <c r="H2530" t="s">
        <v>28</v>
      </c>
      <c r="I2530" t="s">
        <v>17</v>
      </c>
      <c r="J2530" t="s">
        <v>25</v>
      </c>
    </row>
    <row r="2531" spans="1:11" x14ac:dyDescent="0.2">
      <c r="A2531" t="s">
        <v>9125</v>
      </c>
      <c r="B2531" t="s">
        <v>9126</v>
      </c>
      <c r="C2531" t="s">
        <v>9127</v>
      </c>
      <c r="E2531" t="s">
        <v>9128</v>
      </c>
      <c r="F2531" s="2">
        <v>524901157</v>
      </c>
      <c r="G2531" s="2">
        <v>13427073</v>
      </c>
      <c r="H2531" t="s">
        <v>38</v>
      </c>
      <c r="I2531" t="s">
        <v>17</v>
      </c>
      <c r="J2531" t="s">
        <v>25</v>
      </c>
    </row>
    <row r="2532" spans="1:11" x14ac:dyDescent="0.2">
      <c r="A2532" t="s">
        <v>9129</v>
      </c>
      <c r="C2532" t="s">
        <v>9130</v>
      </c>
      <c r="F2532" s="2">
        <v>524410887</v>
      </c>
      <c r="G2532" s="2">
        <v>132438526</v>
      </c>
      <c r="H2532" t="s">
        <v>255</v>
      </c>
      <c r="I2532" t="s">
        <v>17</v>
      </c>
      <c r="J2532" t="s">
        <v>25</v>
      </c>
    </row>
    <row r="2533" spans="1:11" x14ac:dyDescent="0.2">
      <c r="A2533" t="s">
        <v>9131</v>
      </c>
      <c r="B2533" t="s">
        <v>9132</v>
      </c>
      <c r="C2533" t="s">
        <v>9133</v>
      </c>
      <c r="D2533" t="s">
        <v>9134</v>
      </c>
      <c r="E2533" t="s">
        <v>9135</v>
      </c>
      <c r="F2533" s="2">
        <v>525104178</v>
      </c>
      <c r="G2533" s="2">
        <v>134585114</v>
      </c>
      <c r="H2533" t="s">
        <v>51</v>
      </c>
      <c r="I2533" t="s">
        <v>17</v>
      </c>
      <c r="J2533" t="s">
        <v>25</v>
      </c>
      <c r="K2533" t="s">
        <v>9136</v>
      </c>
    </row>
    <row r="2534" spans="1:11" x14ac:dyDescent="0.2">
      <c r="A2534" t="s">
        <v>9137</v>
      </c>
      <c r="B2534" t="s">
        <v>9138</v>
      </c>
      <c r="F2534" s="2">
        <v>524579717</v>
      </c>
      <c r="G2534" s="2">
        <v>133242489</v>
      </c>
      <c r="H2534" t="s">
        <v>28</v>
      </c>
      <c r="I2534" t="s">
        <v>17</v>
      </c>
      <c r="J2534" t="s">
        <v>25</v>
      </c>
    </row>
    <row r="2535" spans="1:11" x14ac:dyDescent="0.2">
      <c r="A2535" t="s">
        <v>9139</v>
      </c>
      <c r="B2535" t="s">
        <v>9140</v>
      </c>
      <c r="C2535" t="s">
        <v>9141</v>
      </c>
      <c r="D2535" t="s">
        <v>9142</v>
      </c>
      <c r="E2535" t="s">
        <v>9143</v>
      </c>
      <c r="F2535" s="2">
        <v>525217055</v>
      </c>
      <c r="G2535" s="2">
        <v>133361519</v>
      </c>
      <c r="H2535" t="s">
        <v>24</v>
      </c>
      <c r="I2535" t="s">
        <v>17</v>
      </c>
      <c r="J2535" t="s">
        <v>25</v>
      </c>
    </row>
    <row r="2536" spans="1:11" x14ac:dyDescent="0.2">
      <c r="A2536" t="s">
        <v>9144</v>
      </c>
      <c r="B2536" t="s">
        <v>9145</v>
      </c>
      <c r="C2536" t="s">
        <v>9146</v>
      </c>
      <c r="D2536" t="s">
        <v>9147</v>
      </c>
      <c r="E2536" t="s">
        <v>9148</v>
      </c>
      <c r="F2536" s="2">
        <v>525241282</v>
      </c>
      <c r="G2536" s="2">
        <v>133377804</v>
      </c>
      <c r="H2536" t="s">
        <v>24</v>
      </c>
      <c r="I2536" t="s">
        <v>17</v>
      </c>
      <c r="J2536" t="s">
        <v>25</v>
      </c>
    </row>
    <row r="2537" spans="1:11" x14ac:dyDescent="0.2">
      <c r="A2537" t="s">
        <v>9149</v>
      </c>
      <c r="B2537" t="s">
        <v>9150</v>
      </c>
      <c r="C2537" t="s">
        <v>9151</v>
      </c>
      <c r="D2537" t="s">
        <v>9152</v>
      </c>
      <c r="E2537" t="s">
        <v>9153</v>
      </c>
      <c r="F2537" s="2">
        <v>524443302</v>
      </c>
      <c r="G2537" s="2">
        <v>132500857</v>
      </c>
      <c r="H2537" t="s">
        <v>16</v>
      </c>
      <c r="I2537" t="s">
        <v>17</v>
      </c>
      <c r="J2537" t="s">
        <v>25</v>
      </c>
    </row>
    <row r="2538" spans="1:11" x14ac:dyDescent="0.2">
      <c r="A2538" t="s">
        <v>9154</v>
      </c>
      <c r="F2538" s="2">
        <v>524822464</v>
      </c>
      <c r="G2538" s="2">
        <v>134385383</v>
      </c>
      <c r="H2538" t="s">
        <v>28</v>
      </c>
      <c r="I2538" t="s">
        <v>17</v>
      </c>
      <c r="J2538" t="s">
        <v>25</v>
      </c>
    </row>
    <row r="2539" spans="1:11" x14ac:dyDescent="0.2">
      <c r="A2539" t="s">
        <v>9155</v>
      </c>
      <c r="B2539" t="s">
        <v>9156</v>
      </c>
      <c r="C2539" t="s">
        <v>9157</v>
      </c>
      <c r="D2539" t="s">
        <v>9158</v>
      </c>
      <c r="F2539" s="2">
        <v>525009056</v>
      </c>
      <c r="G2539" s="2">
        <v>133429961</v>
      </c>
      <c r="H2539" t="s">
        <v>51</v>
      </c>
      <c r="I2539" t="s">
        <v>17</v>
      </c>
      <c r="J2539" t="s">
        <v>25</v>
      </c>
      <c r="K2539" t="s">
        <v>9159</v>
      </c>
    </row>
    <row r="2540" spans="1:11" x14ac:dyDescent="0.2">
      <c r="A2540" t="s">
        <v>9160</v>
      </c>
      <c r="B2540" t="s">
        <v>9161</v>
      </c>
      <c r="F2540" s="2">
        <v>525009677</v>
      </c>
      <c r="G2540" s="2">
        <v>133426985</v>
      </c>
      <c r="H2540" t="s">
        <v>28</v>
      </c>
      <c r="I2540" t="s">
        <v>17</v>
      </c>
      <c r="J2540" t="s">
        <v>25</v>
      </c>
    </row>
    <row r="2541" spans="1:11" x14ac:dyDescent="0.2">
      <c r="A2541" t="s">
        <v>9162</v>
      </c>
      <c r="B2541" t="s">
        <v>9163</v>
      </c>
      <c r="F2541" s="2">
        <v>524609726</v>
      </c>
      <c r="G2541" s="2">
        <v>135252442</v>
      </c>
      <c r="H2541" t="s">
        <v>28</v>
      </c>
      <c r="I2541" t="s">
        <v>17</v>
      </c>
      <c r="J2541" t="s">
        <v>25</v>
      </c>
    </row>
    <row r="2542" spans="1:11" x14ac:dyDescent="0.2">
      <c r="A2542" t="s">
        <v>9164</v>
      </c>
      <c r="B2542" t="s">
        <v>9165</v>
      </c>
      <c r="C2542" t="s">
        <v>9166</v>
      </c>
      <c r="E2542" t="s">
        <v>9167</v>
      </c>
      <c r="F2542" s="2">
        <v>524653517</v>
      </c>
      <c r="G2542" s="2">
        <v>134870737</v>
      </c>
      <c r="H2542" t="s">
        <v>38</v>
      </c>
      <c r="I2542" t="s">
        <v>17</v>
      </c>
      <c r="J2542" t="s">
        <v>25</v>
      </c>
    </row>
    <row r="2543" spans="1:11" x14ac:dyDescent="0.2">
      <c r="A2543" t="s">
        <v>9168</v>
      </c>
      <c r="B2543" t="s">
        <v>9169</v>
      </c>
      <c r="E2543" t="s">
        <v>9170</v>
      </c>
      <c r="F2543" s="2">
        <v>52533803</v>
      </c>
      <c r="G2543" s="2">
        <v>13398157</v>
      </c>
      <c r="H2543" t="s">
        <v>34</v>
      </c>
      <c r="I2543" t="s">
        <v>17</v>
      </c>
      <c r="J2543" t="s">
        <v>25</v>
      </c>
    </row>
    <row r="2544" spans="1:11" x14ac:dyDescent="0.2">
      <c r="A2544" t="s">
        <v>9171</v>
      </c>
      <c r="B2544" t="s">
        <v>9172</v>
      </c>
      <c r="E2544" t="s">
        <v>9173</v>
      </c>
      <c r="F2544" s="2">
        <v>524977469</v>
      </c>
      <c r="G2544" s="2">
        <v>13414046</v>
      </c>
      <c r="H2544" t="s">
        <v>34</v>
      </c>
      <c r="I2544" t="s">
        <v>17</v>
      </c>
      <c r="J2544" t="s">
        <v>25</v>
      </c>
    </row>
    <row r="2545" spans="1:11" x14ac:dyDescent="0.2">
      <c r="A2545" t="s">
        <v>9174</v>
      </c>
      <c r="B2545" t="s">
        <v>9175</v>
      </c>
      <c r="C2545" t="s">
        <v>9176</v>
      </c>
      <c r="D2545" t="s">
        <v>9177</v>
      </c>
      <c r="E2545" t="s">
        <v>9178</v>
      </c>
      <c r="F2545" s="2">
        <v>525341358</v>
      </c>
      <c r="G2545" s="2">
        <v>134311213</v>
      </c>
      <c r="H2545" t="s">
        <v>51</v>
      </c>
      <c r="I2545" t="s">
        <v>17</v>
      </c>
      <c r="J2545" t="s">
        <v>25</v>
      </c>
      <c r="K2545" t="s">
        <v>9179</v>
      </c>
    </row>
    <row r="2546" spans="1:11" x14ac:dyDescent="0.2">
      <c r="A2546" t="s">
        <v>9180</v>
      </c>
      <c r="B2546" t="s">
        <v>9181</v>
      </c>
      <c r="F2546" s="2">
        <v>524653676</v>
      </c>
      <c r="G2546" s="2">
        <v>134865281</v>
      </c>
      <c r="H2546" t="s">
        <v>28</v>
      </c>
      <c r="I2546" t="s">
        <v>17</v>
      </c>
      <c r="J2546" t="s">
        <v>25</v>
      </c>
    </row>
    <row r="2547" spans="1:11" x14ac:dyDescent="0.2">
      <c r="A2547" t="s">
        <v>9182</v>
      </c>
      <c r="B2547" t="s">
        <v>9183</v>
      </c>
      <c r="E2547" t="s">
        <v>9184</v>
      </c>
      <c r="F2547" s="2">
        <v>52443642</v>
      </c>
      <c r="G2547" s="2">
        <v>133035494</v>
      </c>
      <c r="H2547" t="s">
        <v>34</v>
      </c>
      <c r="I2547" t="s">
        <v>17</v>
      </c>
      <c r="J2547" t="s">
        <v>25</v>
      </c>
    </row>
    <row r="2548" spans="1:11" x14ac:dyDescent="0.2">
      <c r="A2548" t="s">
        <v>9185</v>
      </c>
      <c r="B2548" t="s">
        <v>7882</v>
      </c>
      <c r="C2548" t="s">
        <v>9186</v>
      </c>
      <c r="F2548" s="2">
        <v>525208928</v>
      </c>
      <c r="G2548" s="2">
        <v>134094282</v>
      </c>
      <c r="H2548" t="s">
        <v>277</v>
      </c>
      <c r="I2548" t="s">
        <v>17</v>
      </c>
      <c r="J2548" t="s">
        <v>25</v>
      </c>
      <c r="K2548" t="s">
        <v>9187</v>
      </c>
    </row>
    <row r="2549" spans="1:11" x14ac:dyDescent="0.2">
      <c r="A2549" t="s">
        <v>9188</v>
      </c>
      <c r="B2549" t="s">
        <v>9189</v>
      </c>
      <c r="E2549" t="s">
        <v>9190</v>
      </c>
      <c r="F2549" s="2">
        <v>525057529</v>
      </c>
      <c r="G2549" s="2">
        <v>134696292</v>
      </c>
      <c r="H2549" t="s">
        <v>34</v>
      </c>
      <c r="I2549" t="s">
        <v>17</v>
      </c>
      <c r="J2549" t="s">
        <v>25</v>
      </c>
    </row>
    <row r="2550" spans="1:11" x14ac:dyDescent="0.2">
      <c r="A2550" t="s">
        <v>9191</v>
      </c>
      <c r="B2550" t="s">
        <v>9192</v>
      </c>
      <c r="C2550" t="s">
        <v>9193</v>
      </c>
      <c r="F2550" s="2">
        <v>524386929</v>
      </c>
      <c r="G2550" s="2">
        <v>135827544</v>
      </c>
      <c r="H2550" t="s">
        <v>255</v>
      </c>
      <c r="I2550" t="s">
        <v>17</v>
      </c>
      <c r="J2550" t="s">
        <v>25</v>
      </c>
    </row>
    <row r="2551" spans="1:11" x14ac:dyDescent="0.2">
      <c r="A2551" t="s">
        <v>9194</v>
      </c>
      <c r="B2551" t="s">
        <v>9195</v>
      </c>
      <c r="C2551" t="s">
        <v>9196</v>
      </c>
      <c r="E2551" t="s">
        <v>9197</v>
      </c>
      <c r="F2551" s="2">
        <v>524732526</v>
      </c>
      <c r="G2551" s="2">
        <v>134551276</v>
      </c>
      <c r="H2551" t="s">
        <v>38</v>
      </c>
      <c r="I2551" t="s">
        <v>17</v>
      </c>
      <c r="J2551" t="s">
        <v>25</v>
      </c>
    </row>
    <row r="2552" spans="1:11" x14ac:dyDescent="0.2">
      <c r="A2552" t="s">
        <v>9198</v>
      </c>
      <c r="F2552" s="2">
        <v>524931648</v>
      </c>
      <c r="G2552" s="2">
        <v>134181203</v>
      </c>
      <c r="H2552" t="s">
        <v>28</v>
      </c>
      <c r="I2552" t="s">
        <v>17</v>
      </c>
      <c r="J2552" t="s">
        <v>25</v>
      </c>
    </row>
    <row r="2553" spans="1:11" x14ac:dyDescent="0.2">
      <c r="A2553" t="s">
        <v>9199</v>
      </c>
      <c r="B2553" t="s">
        <v>4057</v>
      </c>
      <c r="E2553" t="s">
        <v>9200</v>
      </c>
      <c r="F2553" s="2">
        <v>524866369</v>
      </c>
      <c r="G2553" s="2">
        <v>133556485</v>
      </c>
      <c r="H2553" t="s">
        <v>34</v>
      </c>
      <c r="I2553" t="s">
        <v>17</v>
      </c>
      <c r="J2553" t="s">
        <v>25</v>
      </c>
    </row>
    <row r="2554" spans="1:11" x14ac:dyDescent="0.2">
      <c r="A2554" t="s">
        <v>9201</v>
      </c>
      <c r="B2554" t="s">
        <v>9202</v>
      </c>
      <c r="C2554" t="s">
        <v>9203</v>
      </c>
      <c r="F2554" s="2">
        <v>525891254</v>
      </c>
      <c r="G2554" s="2">
        <v>132802647</v>
      </c>
      <c r="H2554" t="s">
        <v>38</v>
      </c>
      <c r="I2554" t="s">
        <v>17</v>
      </c>
      <c r="J2554" t="s">
        <v>25</v>
      </c>
    </row>
    <row r="2555" spans="1:11" x14ac:dyDescent="0.2">
      <c r="A2555" t="s">
        <v>9204</v>
      </c>
      <c r="B2555" t="s">
        <v>9205</v>
      </c>
      <c r="C2555" t="s">
        <v>9206</v>
      </c>
      <c r="E2555" t="s">
        <v>9207</v>
      </c>
      <c r="F2555" s="2">
        <v>524574783</v>
      </c>
      <c r="G2555" s="2">
        <v>135107751</v>
      </c>
      <c r="H2555" t="s">
        <v>38</v>
      </c>
      <c r="I2555" t="s">
        <v>17</v>
      </c>
      <c r="J2555" t="s">
        <v>25</v>
      </c>
    </row>
    <row r="2556" spans="1:11" x14ac:dyDescent="0.2">
      <c r="A2556" t="s">
        <v>9208</v>
      </c>
      <c r="B2556" t="s">
        <v>9209</v>
      </c>
      <c r="C2556" t="s">
        <v>9210</v>
      </c>
      <c r="F2556" s="2">
        <v>525293053</v>
      </c>
      <c r="G2556" s="2">
        <v>134096387</v>
      </c>
      <c r="H2556" t="s">
        <v>255</v>
      </c>
      <c r="I2556" t="s">
        <v>17</v>
      </c>
      <c r="J2556" t="s">
        <v>25</v>
      </c>
    </row>
    <row r="2557" spans="1:11" x14ac:dyDescent="0.2">
      <c r="A2557" t="s">
        <v>9211</v>
      </c>
      <c r="C2557" t="s">
        <v>9212</v>
      </c>
      <c r="F2557" s="2">
        <v>524943819</v>
      </c>
      <c r="G2557" s="2">
        <v>133367568</v>
      </c>
      <c r="H2557" t="s">
        <v>255</v>
      </c>
      <c r="I2557" t="s">
        <v>17</v>
      </c>
      <c r="J2557" t="s">
        <v>25</v>
      </c>
    </row>
    <row r="2558" spans="1:11" x14ac:dyDescent="0.2">
      <c r="A2558" t="s">
        <v>9213</v>
      </c>
      <c r="B2558" t="s">
        <v>9214</v>
      </c>
      <c r="C2558" t="s">
        <v>9215</v>
      </c>
      <c r="E2558" t="s">
        <v>9216</v>
      </c>
      <c r="F2558" s="2">
        <v>52470717</v>
      </c>
      <c r="G2558" s="2">
        <v>133405667</v>
      </c>
      <c r="H2558" t="s">
        <v>38</v>
      </c>
      <c r="I2558" t="s">
        <v>17</v>
      </c>
      <c r="J2558" t="s">
        <v>25</v>
      </c>
    </row>
    <row r="2559" spans="1:11" x14ac:dyDescent="0.2">
      <c r="A2559" t="s">
        <v>9217</v>
      </c>
      <c r="B2559" t="s">
        <v>9218</v>
      </c>
      <c r="C2559" t="s">
        <v>9219</v>
      </c>
      <c r="E2559" t="s">
        <v>9220</v>
      </c>
      <c r="F2559" s="2">
        <v>524877026</v>
      </c>
      <c r="G2559" s="2">
        <v>134315386</v>
      </c>
      <c r="H2559" t="s">
        <v>38</v>
      </c>
      <c r="I2559" t="s">
        <v>17</v>
      </c>
      <c r="J2559" t="s">
        <v>25</v>
      </c>
    </row>
    <row r="2560" spans="1:11" x14ac:dyDescent="0.2">
      <c r="A2560" t="s">
        <v>9221</v>
      </c>
      <c r="B2560" t="s">
        <v>9222</v>
      </c>
      <c r="C2560" t="s">
        <v>9223</v>
      </c>
      <c r="D2560" t="s">
        <v>9224</v>
      </c>
      <c r="F2560" s="2">
        <v>525033815</v>
      </c>
      <c r="G2560" s="2">
        <v>131883942</v>
      </c>
      <c r="H2560" t="s">
        <v>51</v>
      </c>
      <c r="I2560" t="s">
        <v>17</v>
      </c>
      <c r="J2560" t="s">
        <v>25</v>
      </c>
      <c r="K2560" t="s">
        <v>9225</v>
      </c>
    </row>
    <row r="2561" spans="1:11" x14ac:dyDescent="0.2">
      <c r="A2561" t="s">
        <v>9226</v>
      </c>
      <c r="B2561" t="s">
        <v>9227</v>
      </c>
      <c r="C2561" t="s">
        <v>9228</v>
      </c>
      <c r="E2561" t="s">
        <v>9229</v>
      </c>
      <c r="F2561" s="2">
        <v>524649414</v>
      </c>
      <c r="G2561" s="2">
        <v>133976809</v>
      </c>
      <c r="H2561" t="s">
        <v>38</v>
      </c>
      <c r="I2561" t="s">
        <v>17</v>
      </c>
      <c r="J2561" t="s">
        <v>25</v>
      </c>
    </row>
    <row r="2562" spans="1:11" x14ac:dyDescent="0.2">
      <c r="A2562" t="s">
        <v>9230</v>
      </c>
      <c r="B2562" t="s">
        <v>9231</v>
      </c>
      <c r="F2562" s="2">
        <v>525035245</v>
      </c>
      <c r="G2562" s="2">
        <v>13362352</v>
      </c>
      <c r="H2562" t="s">
        <v>28</v>
      </c>
      <c r="I2562" t="s">
        <v>17</v>
      </c>
      <c r="J2562" t="s">
        <v>25</v>
      </c>
    </row>
    <row r="2563" spans="1:11" x14ac:dyDescent="0.2">
      <c r="A2563" t="s">
        <v>9232</v>
      </c>
      <c r="B2563" t="s">
        <v>9233</v>
      </c>
      <c r="C2563" t="s">
        <v>9234</v>
      </c>
      <c r="D2563" t="s">
        <v>9235</v>
      </c>
      <c r="E2563" t="s">
        <v>9236</v>
      </c>
      <c r="F2563" s="2">
        <v>524510639</v>
      </c>
      <c r="G2563" s="2">
        <v>136255872</v>
      </c>
      <c r="H2563" t="s">
        <v>51</v>
      </c>
      <c r="I2563" t="s">
        <v>17</v>
      </c>
      <c r="J2563" t="s">
        <v>25</v>
      </c>
      <c r="K2563" t="s">
        <v>9237</v>
      </c>
    </row>
    <row r="2564" spans="1:11" x14ac:dyDescent="0.2">
      <c r="A2564" t="s">
        <v>9238</v>
      </c>
      <c r="B2564" t="s">
        <v>9239</v>
      </c>
      <c r="C2564" t="s">
        <v>9240</v>
      </c>
      <c r="D2564" t="s">
        <v>9241</v>
      </c>
      <c r="E2564" t="s">
        <v>9242</v>
      </c>
      <c r="F2564" s="2">
        <v>52527423</v>
      </c>
      <c r="G2564" s="2">
        <v>134122038</v>
      </c>
      <c r="H2564" t="s">
        <v>24</v>
      </c>
      <c r="I2564" t="s">
        <v>17</v>
      </c>
      <c r="J2564" t="s">
        <v>25</v>
      </c>
    </row>
    <row r="2565" spans="1:11" x14ac:dyDescent="0.2">
      <c r="A2565" t="s">
        <v>9243</v>
      </c>
      <c r="B2565" t="s">
        <v>9244</v>
      </c>
      <c r="C2565" t="s">
        <v>9245</v>
      </c>
      <c r="D2565" t="s">
        <v>6234</v>
      </c>
      <c r="E2565" t="s">
        <v>9246</v>
      </c>
      <c r="F2565" s="2">
        <v>525255332</v>
      </c>
      <c r="G2565" s="2">
        <v>134124862</v>
      </c>
      <c r="H2565" t="s">
        <v>51</v>
      </c>
      <c r="I2565" t="s">
        <v>17</v>
      </c>
      <c r="J2565" t="s">
        <v>25</v>
      </c>
      <c r="K2565" t="s">
        <v>9247</v>
      </c>
    </row>
    <row r="2566" spans="1:11" x14ac:dyDescent="0.2">
      <c r="A2566" t="s">
        <v>9248</v>
      </c>
      <c r="B2566" t="s">
        <v>9249</v>
      </c>
      <c r="C2566" t="s">
        <v>9250</v>
      </c>
      <c r="E2566" t="s">
        <v>9251</v>
      </c>
      <c r="F2566" s="2">
        <v>524640795</v>
      </c>
      <c r="G2566" s="2">
        <v>133310605</v>
      </c>
      <c r="H2566" t="s">
        <v>38</v>
      </c>
      <c r="I2566" t="s">
        <v>17</v>
      </c>
      <c r="J2566" t="s">
        <v>25</v>
      </c>
    </row>
    <row r="2567" spans="1:11" x14ac:dyDescent="0.2">
      <c r="A2567" t="s">
        <v>9252</v>
      </c>
      <c r="B2567" t="s">
        <v>9253</v>
      </c>
      <c r="F2567" s="2">
        <v>525114404</v>
      </c>
      <c r="G2567" s="2">
        <v>134566726</v>
      </c>
      <c r="H2567" t="s">
        <v>28</v>
      </c>
      <c r="I2567" t="s">
        <v>17</v>
      </c>
      <c r="J2567" t="s">
        <v>25</v>
      </c>
    </row>
    <row r="2568" spans="1:11" x14ac:dyDescent="0.2">
      <c r="A2568" t="s">
        <v>9254</v>
      </c>
      <c r="B2568" t="s">
        <v>9255</v>
      </c>
      <c r="F2568" s="2">
        <v>525113449</v>
      </c>
      <c r="G2568" s="2">
        <v>134566337</v>
      </c>
      <c r="H2568" t="s">
        <v>28</v>
      </c>
      <c r="I2568" t="s">
        <v>17</v>
      </c>
      <c r="J2568" t="s">
        <v>25</v>
      </c>
    </row>
    <row r="2569" spans="1:11" x14ac:dyDescent="0.2">
      <c r="A2569" t="s">
        <v>9256</v>
      </c>
      <c r="B2569" t="s">
        <v>9257</v>
      </c>
      <c r="F2569" s="2">
        <v>52430056</v>
      </c>
      <c r="G2569" s="2">
        <v>134780274</v>
      </c>
      <c r="H2569" t="s">
        <v>28</v>
      </c>
      <c r="I2569" t="s">
        <v>17</v>
      </c>
      <c r="J2569" t="s">
        <v>25</v>
      </c>
    </row>
    <row r="2570" spans="1:11" x14ac:dyDescent="0.2">
      <c r="A2570" t="s">
        <v>9258</v>
      </c>
      <c r="B2570" t="s">
        <v>9259</v>
      </c>
      <c r="F2570" s="2">
        <v>525064901</v>
      </c>
      <c r="G2570" s="2">
        <v>133179089</v>
      </c>
      <c r="H2570" t="s">
        <v>28</v>
      </c>
      <c r="I2570" t="s">
        <v>17</v>
      </c>
      <c r="J2570" t="s">
        <v>25</v>
      </c>
    </row>
    <row r="2571" spans="1:11" x14ac:dyDescent="0.2">
      <c r="A2571" t="s">
        <v>9260</v>
      </c>
      <c r="B2571" t="s">
        <v>9261</v>
      </c>
      <c r="E2571" t="s">
        <v>9262</v>
      </c>
      <c r="F2571" s="2">
        <v>525704692</v>
      </c>
      <c r="G2571" s="2">
        <v>133987991</v>
      </c>
      <c r="H2571" t="s">
        <v>34</v>
      </c>
      <c r="I2571" t="s">
        <v>17</v>
      </c>
      <c r="J2571" t="s">
        <v>25</v>
      </c>
    </row>
    <row r="2572" spans="1:11" x14ac:dyDescent="0.2">
      <c r="A2572" t="s">
        <v>9263</v>
      </c>
      <c r="B2572" t="s">
        <v>9264</v>
      </c>
      <c r="D2572" t="s">
        <v>9265</v>
      </c>
      <c r="E2572" t="s">
        <v>9266</v>
      </c>
      <c r="F2572" s="2">
        <v>524775841</v>
      </c>
      <c r="G2572" s="2">
        <v>134404169</v>
      </c>
      <c r="H2572" t="s">
        <v>3120</v>
      </c>
      <c r="I2572" t="s">
        <v>17</v>
      </c>
      <c r="J2572" t="s">
        <v>25</v>
      </c>
    </row>
    <row r="2573" spans="1:11" x14ac:dyDescent="0.2">
      <c r="A2573" t="s">
        <v>9267</v>
      </c>
      <c r="B2573" t="s">
        <v>9268</v>
      </c>
      <c r="C2573" t="s">
        <v>9269</v>
      </c>
      <c r="D2573" t="s">
        <v>9270</v>
      </c>
      <c r="F2573" s="2">
        <v>525384424</v>
      </c>
      <c r="G2573" s="2">
        <v>134200431</v>
      </c>
      <c r="H2573" t="s">
        <v>51</v>
      </c>
      <c r="I2573" t="s">
        <v>17</v>
      </c>
      <c r="J2573" t="s">
        <v>25</v>
      </c>
      <c r="K2573" t="s">
        <v>9271</v>
      </c>
    </row>
    <row r="2574" spans="1:11" x14ac:dyDescent="0.2">
      <c r="A2574" t="s">
        <v>9272</v>
      </c>
      <c r="F2574" s="2">
        <v>525049804</v>
      </c>
      <c r="G2574" s="2">
        <v>134688987</v>
      </c>
      <c r="H2574" t="s">
        <v>28</v>
      </c>
      <c r="I2574" t="s">
        <v>17</v>
      </c>
      <c r="J2574" t="s">
        <v>25</v>
      </c>
    </row>
    <row r="2575" spans="1:11" x14ac:dyDescent="0.2">
      <c r="A2575" t="s">
        <v>9273</v>
      </c>
      <c r="B2575" t="s">
        <v>9274</v>
      </c>
      <c r="E2575" t="s">
        <v>9275</v>
      </c>
      <c r="F2575" s="2">
        <v>525685605</v>
      </c>
      <c r="G2575" s="2">
        <v>133992241</v>
      </c>
      <c r="H2575" t="s">
        <v>34</v>
      </c>
      <c r="I2575" t="s">
        <v>17</v>
      </c>
      <c r="J2575" t="s">
        <v>25</v>
      </c>
    </row>
    <row r="2576" spans="1:11" x14ac:dyDescent="0.2">
      <c r="A2576" t="s">
        <v>9276</v>
      </c>
      <c r="B2576" t="s">
        <v>9277</v>
      </c>
      <c r="F2576" s="2">
        <v>525167107</v>
      </c>
      <c r="G2576" s="2">
        <v>133047525</v>
      </c>
      <c r="H2576" t="s">
        <v>28</v>
      </c>
      <c r="I2576" t="s">
        <v>17</v>
      </c>
      <c r="J2576" t="s">
        <v>25</v>
      </c>
    </row>
    <row r="2577" spans="1:11" x14ac:dyDescent="0.2">
      <c r="A2577" t="s">
        <v>9278</v>
      </c>
      <c r="B2577" t="s">
        <v>9279</v>
      </c>
      <c r="C2577" t="s">
        <v>9280</v>
      </c>
      <c r="E2577" t="s">
        <v>9281</v>
      </c>
      <c r="F2577" s="2">
        <v>524644053</v>
      </c>
      <c r="G2577" s="2">
        <v>133233437</v>
      </c>
      <c r="H2577" t="s">
        <v>38</v>
      </c>
      <c r="I2577" t="s">
        <v>17</v>
      </c>
      <c r="J2577" t="s">
        <v>25</v>
      </c>
    </row>
    <row r="2578" spans="1:11" x14ac:dyDescent="0.2">
      <c r="A2578" t="s">
        <v>9282</v>
      </c>
      <c r="B2578" t="s">
        <v>9283</v>
      </c>
      <c r="C2578" t="s">
        <v>9284</v>
      </c>
      <c r="F2578" s="2">
        <v>525121223</v>
      </c>
      <c r="G2578" s="2">
        <v>1337829</v>
      </c>
      <c r="H2578" t="s">
        <v>255</v>
      </c>
      <c r="I2578" t="s">
        <v>17</v>
      </c>
      <c r="J2578" t="s">
        <v>25</v>
      </c>
    </row>
    <row r="2579" spans="1:11" x14ac:dyDescent="0.2">
      <c r="A2579" t="s">
        <v>9285</v>
      </c>
      <c r="B2579" t="s">
        <v>9286</v>
      </c>
      <c r="C2579" t="s">
        <v>9287</v>
      </c>
      <c r="F2579" s="2">
        <v>525268092</v>
      </c>
      <c r="G2579" s="2">
        <v>133873513</v>
      </c>
      <c r="H2579" t="s">
        <v>277</v>
      </c>
      <c r="I2579" t="s">
        <v>17</v>
      </c>
      <c r="J2579" t="s">
        <v>25</v>
      </c>
      <c r="K2579" t="s">
        <v>9288</v>
      </c>
    </row>
    <row r="2580" spans="1:11" x14ac:dyDescent="0.2">
      <c r="A2580" t="s">
        <v>9289</v>
      </c>
      <c r="B2580" t="s">
        <v>9286</v>
      </c>
      <c r="F2580" s="2">
        <v>525268812</v>
      </c>
      <c r="G2580" s="2">
        <v>133873347</v>
      </c>
      <c r="H2580" t="s">
        <v>28</v>
      </c>
      <c r="I2580" t="s">
        <v>17</v>
      </c>
      <c r="J2580" t="s">
        <v>25</v>
      </c>
    </row>
    <row r="2581" spans="1:11" x14ac:dyDescent="0.2">
      <c r="A2581" t="s">
        <v>9290</v>
      </c>
      <c r="B2581" t="s">
        <v>9291</v>
      </c>
      <c r="C2581" t="s">
        <v>9292</v>
      </c>
      <c r="D2581" t="s">
        <v>9293</v>
      </c>
      <c r="E2581" t="s">
        <v>9294</v>
      </c>
      <c r="F2581" s="2">
        <v>524339753</v>
      </c>
      <c r="G2581" s="2">
        <v>135384089</v>
      </c>
      <c r="H2581" t="s">
        <v>24</v>
      </c>
      <c r="I2581" t="s">
        <v>17</v>
      </c>
      <c r="J2581" t="s">
        <v>25</v>
      </c>
    </row>
    <row r="2582" spans="1:11" x14ac:dyDescent="0.2">
      <c r="A2582" t="s">
        <v>9295</v>
      </c>
      <c r="B2582" t="s">
        <v>9296</v>
      </c>
      <c r="C2582" t="s">
        <v>9297</v>
      </c>
      <c r="D2582" t="s">
        <v>9298</v>
      </c>
      <c r="E2582" t="s">
        <v>9299</v>
      </c>
      <c r="F2582" s="2">
        <v>524341534</v>
      </c>
      <c r="G2582" s="2">
        <v>135387366</v>
      </c>
      <c r="H2582" t="s">
        <v>51</v>
      </c>
      <c r="I2582" t="s">
        <v>17</v>
      </c>
      <c r="J2582" t="s">
        <v>25</v>
      </c>
      <c r="K2582" t="s">
        <v>9300</v>
      </c>
    </row>
    <row r="2583" spans="1:11" x14ac:dyDescent="0.2">
      <c r="A2583" t="s">
        <v>9301</v>
      </c>
      <c r="B2583" t="s">
        <v>9302</v>
      </c>
      <c r="C2583" t="s">
        <v>9303</v>
      </c>
      <c r="F2583" s="2">
        <v>524997694</v>
      </c>
      <c r="G2583" s="2">
        <v>133923025</v>
      </c>
      <c r="H2583" t="s">
        <v>277</v>
      </c>
      <c r="I2583" t="s">
        <v>17</v>
      </c>
      <c r="J2583" t="s">
        <v>25</v>
      </c>
      <c r="K2583" t="s">
        <v>9304</v>
      </c>
    </row>
    <row r="2584" spans="1:11" x14ac:dyDescent="0.2">
      <c r="A2584" t="s">
        <v>9305</v>
      </c>
      <c r="B2584" t="s">
        <v>9306</v>
      </c>
      <c r="C2584" t="s">
        <v>9307</v>
      </c>
      <c r="D2584" t="s">
        <v>9308</v>
      </c>
      <c r="E2584" t="s">
        <v>9309</v>
      </c>
      <c r="F2584" s="2">
        <v>524171845</v>
      </c>
      <c r="G2584" s="2">
        <v>136252057</v>
      </c>
      <c r="H2584" t="s">
        <v>24</v>
      </c>
      <c r="I2584" t="s">
        <v>17</v>
      </c>
      <c r="J2584" t="s">
        <v>25</v>
      </c>
    </row>
    <row r="2585" spans="1:11" x14ac:dyDescent="0.2">
      <c r="A2585" t="s">
        <v>9310</v>
      </c>
      <c r="B2585" t="s">
        <v>9311</v>
      </c>
      <c r="C2585" t="s">
        <v>9312</v>
      </c>
      <c r="E2585" t="s">
        <v>9313</v>
      </c>
      <c r="F2585" s="2">
        <v>525497666</v>
      </c>
      <c r="G2585" s="2">
        <v>134182583</v>
      </c>
      <c r="H2585" t="s">
        <v>38</v>
      </c>
      <c r="I2585" t="s">
        <v>17</v>
      </c>
      <c r="J2585" t="s">
        <v>25</v>
      </c>
    </row>
    <row r="2586" spans="1:11" x14ac:dyDescent="0.2">
      <c r="A2586" t="s">
        <v>9314</v>
      </c>
      <c r="B2586" t="s">
        <v>9315</v>
      </c>
      <c r="C2586" t="s">
        <v>9316</v>
      </c>
      <c r="D2586" t="s">
        <v>9317</v>
      </c>
      <c r="E2586" t="s">
        <v>9318</v>
      </c>
      <c r="F2586" s="2">
        <v>524970193</v>
      </c>
      <c r="G2586" s="2">
        <v>134176594</v>
      </c>
      <c r="H2586" t="s">
        <v>51</v>
      </c>
      <c r="I2586" t="s">
        <v>17</v>
      </c>
      <c r="J2586" t="s">
        <v>25</v>
      </c>
      <c r="K2586" t="s">
        <v>9319</v>
      </c>
    </row>
    <row r="2587" spans="1:11" x14ac:dyDescent="0.2">
      <c r="A2587" t="s">
        <v>9320</v>
      </c>
      <c r="B2587" t="s">
        <v>9321</v>
      </c>
      <c r="C2587" t="s">
        <v>9322</v>
      </c>
      <c r="D2587" t="s">
        <v>9323</v>
      </c>
      <c r="F2587" s="2">
        <v>525029709</v>
      </c>
      <c r="G2587" s="2">
        <v>133886501</v>
      </c>
      <c r="H2587" t="s">
        <v>51</v>
      </c>
      <c r="I2587" t="s">
        <v>17</v>
      </c>
      <c r="J2587" t="s">
        <v>25</v>
      </c>
      <c r="K2587" t="s">
        <v>9324</v>
      </c>
    </row>
    <row r="2588" spans="1:11" x14ac:dyDescent="0.2">
      <c r="A2588" t="s">
        <v>9325</v>
      </c>
      <c r="B2588" t="s">
        <v>9326</v>
      </c>
      <c r="C2588" t="s">
        <v>9327</v>
      </c>
      <c r="F2588" s="2">
        <v>525313249</v>
      </c>
      <c r="G2588" s="2">
        <v>134329569</v>
      </c>
      <c r="H2588" t="s">
        <v>255</v>
      </c>
      <c r="I2588" t="s">
        <v>17</v>
      </c>
      <c r="J2588" t="s">
        <v>25</v>
      </c>
    </row>
    <row r="2589" spans="1:11" x14ac:dyDescent="0.2">
      <c r="A2589" t="s">
        <v>9328</v>
      </c>
      <c r="B2589" t="s">
        <v>9329</v>
      </c>
      <c r="F2589" s="2">
        <v>525057822</v>
      </c>
      <c r="G2589" s="2">
        <v>134659975</v>
      </c>
      <c r="H2589" t="s">
        <v>28</v>
      </c>
      <c r="I2589" t="s">
        <v>17</v>
      </c>
      <c r="J2589" t="s">
        <v>25</v>
      </c>
    </row>
    <row r="2590" spans="1:11" x14ac:dyDescent="0.2">
      <c r="A2590" t="s">
        <v>9330</v>
      </c>
      <c r="B2590" t="s">
        <v>9331</v>
      </c>
      <c r="C2590" t="s">
        <v>9332</v>
      </c>
      <c r="D2590" t="s">
        <v>9333</v>
      </c>
      <c r="E2590">
        <v>493025733062</v>
      </c>
      <c r="F2590" s="2">
        <v>524835841</v>
      </c>
      <c r="G2590" s="2">
        <v>134407364</v>
      </c>
      <c r="H2590" t="s">
        <v>51</v>
      </c>
      <c r="I2590" t="s">
        <v>17</v>
      </c>
      <c r="J2590" t="s">
        <v>25</v>
      </c>
      <c r="K2590" t="s">
        <v>9334</v>
      </c>
    </row>
    <row r="2591" spans="1:11" x14ac:dyDescent="0.2">
      <c r="A2591" t="s">
        <v>9335</v>
      </c>
      <c r="B2591" t="s">
        <v>9336</v>
      </c>
      <c r="F2591" s="2">
        <v>525786419</v>
      </c>
      <c r="G2591" s="2">
        <v>13423062</v>
      </c>
      <c r="H2591" t="s">
        <v>28</v>
      </c>
      <c r="I2591" t="s">
        <v>17</v>
      </c>
      <c r="J2591" t="s">
        <v>25</v>
      </c>
    </row>
    <row r="2592" spans="1:11" x14ac:dyDescent="0.2">
      <c r="A2592" t="s">
        <v>9337</v>
      </c>
      <c r="B2592" t="s">
        <v>9338</v>
      </c>
      <c r="E2592" t="s">
        <v>9339</v>
      </c>
      <c r="F2592" s="2">
        <v>524942503</v>
      </c>
      <c r="G2592" s="2">
        <v>133822141</v>
      </c>
      <c r="H2592" t="s">
        <v>34</v>
      </c>
      <c r="I2592" t="s">
        <v>17</v>
      </c>
      <c r="J2592" t="s">
        <v>25</v>
      </c>
    </row>
    <row r="2593" spans="1:11" x14ac:dyDescent="0.2">
      <c r="A2593" t="s">
        <v>9340</v>
      </c>
      <c r="B2593" t="s">
        <v>9341</v>
      </c>
      <c r="C2593" t="s">
        <v>9342</v>
      </c>
      <c r="F2593" s="2">
        <v>525116351</v>
      </c>
      <c r="G2593" s="2">
        <v>134169698</v>
      </c>
      <c r="H2593" t="s">
        <v>255</v>
      </c>
      <c r="I2593" t="s">
        <v>17</v>
      </c>
      <c r="J2593" t="s">
        <v>25</v>
      </c>
    </row>
    <row r="2594" spans="1:11" x14ac:dyDescent="0.2">
      <c r="A2594" t="s">
        <v>9343</v>
      </c>
      <c r="B2594" t="s">
        <v>9344</v>
      </c>
    </row>
    <row r="2595" spans="1:11" x14ac:dyDescent="0.2">
      <c r="A2595" t="s">
        <v>9345</v>
      </c>
      <c r="B2595" t="s">
        <v>9346</v>
      </c>
      <c r="C2595" t="s">
        <v>9347</v>
      </c>
      <c r="E2595" t="s">
        <v>9348</v>
      </c>
      <c r="F2595" s="2">
        <v>525348555</v>
      </c>
      <c r="G2595" s="2">
        <v>134184612</v>
      </c>
      <c r="H2595" t="s">
        <v>38</v>
      </c>
      <c r="I2595" t="s">
        <v>17</v>
      </c>
      <c r="J2595" t="s">
        <v>25</v>
      </c>
    </row>
    <row r="2596" spans="1:11" x14ac:dyDescent="0.2">
      <c r="A2596" t="s">
        <v>9349</v>
      </c>
      <c r="B2596" t="s">
        <v>9350</v>
      </c>
      <c r="F2596" s="2">
        <v>525669726</v>
      </c>
      <c r="G2596" s="2">
        <v>134995402</v>
      </c>
      <c r="H2596" t="s">
        <v>28</v>
      </c>
      <c r="I2596" t="s">
        <v>17</v>
      </c>
      <c r="J2596" t="s">
        <v>25</v>
      </c>
    </row>
    <row r="2597" spans="1:11" x14ac:dyDescent="0.2">
      <c r="A2597" t="s">
        <v>9351</v>
      </c>
      <c r="B2597" t="s">
        <v>9352</v>
      </c>
      <c r="F2597" s="2">
        <v>52508743</v>
      </c>
      <c r="G2597" s="2">
        <v>134604848</v>
      </c>
      <c r="H2597" t="s">
        <v>28</v>
      </c>
      <c r="I2597" t="s">
        <v>17</v>
      </c>
      <c r="J2597" t="s">
        <v>25</v>
      </c>
    </row>
    <row r="2598" spans="1:11" x14ac:dyDescent="0.2">
      <c r="A2598" t="s">
        <v>9353</v>
      </c>
      <c r="B2598" t="s">
        <v>9354</v>
      </c>
      <c r="C2598" t="s">
        <v>9355</v>
      </c>
      <c r="E2598" t="s">
        <v>9356</v>
      </c>
      <c r="F2598" s="2">
        <v>525437348</v>
      </c>
      <c r="G2598" s="2">
        <v>134165883</v>
      </c>
      <c r="H2598" t="s">
        <v>38</v>
      </c>
      <c r="I2598" t="s">
        <v>17</v>
      </c>
      <c r="J2598" t="s">
        <v>25</v>
      </c>
    </row>
    <row r="2599" spans="1:11" x14ac:dyDescent="0.2">
      <c r="A2599" t="s">
        <v>9357</v>
      </c>
      <c r="B2599" t="s">
        <v>9358</v>
      </c>
      <c r="C2599" t="s">
        <v>9359</v>
      </c>
      <c r="F2599" s="2">
        <v>525833552</v>
      </c>
      <c r="G2599" s="2">
        <v>133014004</v>
      </c>
      <c r="H2599" t="s">
        <v>255</v>
      </c>
      <c r="I2599" t="s">
        <v>17</v>
      </c>
      <c r="J2599" t="s">
        <v>25</v>
      </c>
    </row>
    <row r="2600" spans="1:11" x14ac:dyDescent="0.2">
      <c r="A2600" t="s">
        <v>9360</v>
      </c>
      <c r="B2600" t="s">
        <v>9361</v>
      </c>
      <c r="C2600" t="s">
        <v>9362</v>
      </c>
      <c r="D2600" t="s">
        <v>9363</v>
      </c>
      <c r="F2600" s="2">
        <v>524465191</v>
      </c>
      <c r="G2600" s="2">
        <v>136145858</v>
      </c>
      <c r="H2600" t="s">
        <v>51</v>
      </c>
      <c r="I2600" t="s">
        <v>17</v>
      </c>
      <c r="J2600" t="s">
        <v>25</v>
      </c>
      <c r="K2600" t="s">
        <v>9364</v>
      </c>
    </row>
    <row r="2601" spans="1:11" x14ac:dyDescent="0.2">
      <c r="A2601" t="s">
        <v>9365</v>
      </c>
      <c r="B2601" t="s">
        <v>9366</v>
      </c>
      <c r="C2601" t="s">
        <v>9367</v>
      </c>
      <c r="E2601" t="s">
        <v>9368</v>
      </c>
      <c r="F2601" s="2">
        <v>525121006</v>
      </c>
      <c r="G2601" s="2">
        <v>134171592</v>
      </c>
      <c r="H2601" t="s">
        <v>38</v>
      </c>
      <c r="I2601" t="s">
        <v>17</v>
      </c>
      <c r="J2601" t="s">
        <v>25</v>
      </c>
    </row>
    <row r="2602" spans="1:11" x14ac:dyDescent="0.2">
      <c r="A2602" t="s">
        <v>9369</v>
      </c>
      <c r="C2602" t="s">
        <v>9370</v>
      </c>
      <c r="F2602" s="2">
        <v>524250879</v>
      </c>
      <c r="G2602" s="2">
        <v>137262572</v>
      </c>
      <c r="H2602" t="s">
        <v>277</v>
      </c>
      <c r="I2602" t="s">
        <v>17</v>
      </c>
      <c r="J2602" t="s">
        <v>25</v>
      </c>
      <c r="K2602" t="s">
        <v>9371</v>
      </c>
    </row>
    <row r="2603" spans="1:11" x14ac:dyDescent="0.2">
      <c r="A2603" t="s">
        <v>9372</v>
      </c>
      <c r="B2603" t="s">
        <v>9373</v>
      </c>
      <c r="C2603" t="s">
        <v>9374</v>
      </c>
      <c r="D2603" t="s">
        <v>9375</v>
      </c>
      <c r="F2603" s="2">
        <v>5248189</v>
      </c>
      <c r="G2603" s="2">
        <v>1343684</v>
      </c>
      <c r="H2603" t="s">
        <v>304</v>
      </c>
      <c r="I2603" t="s">
        <v>17</v>
      </c>
      <c r="J2603" t="s">
        <v>25</v>
      </c>
      <c r="K2603" t="s">
        <v>9376</v>
      </c>
    </row>
    <row r="2604" spans="1:11" x14ac:dyDescent="0.2">
      <c r="A2604" t="s">
        <v>9377</v>
      </c>
      <c r="B2604" t="s">
        <v>9378</v>
      </c>
      <c r="F2604" s="2">
        <v>525123982</v>
      </c>
      <c r="G2604" s="2">
        <v>134537053</v>
      </c>
      <c r="H2604" t="s">
        <v>28</v>
      </c>
      <c r="I2604" t="s">
        <v>17</v>
      </c>
      <c r="J2604" t="s">
        <v>25</v>
      </c>
    </row>
    <row r="2605" spans="1:11" x14ac:dyDescent="0.2">
      <c r="A2605" t="s">
        <v>9379</v>
      </c>
      <c r="B2605" t="s">
        <v>9380</v>
      </c>
      <c r="F2605" s="2">
        <v>525387967</v>
      </c>
      <c r="G2605" s="2">
        <v>134101965</v>
      </c>
      <c r="H2605" t="s">
        <v>28</v>
      </c>
      <c r="I2605" t="s">
        <v>17</v>
      </c>
      <c r="J2605" t="s">
        <v>25</v>
      </c>
    </row>
    <row r="2606" spans="1:11" x14ac:dyDescent="0.2">
      <c r="A2606" t="s">
        <v>9381</v>
      </c>
      <c r="B2606" t="s">
        <v>9382</v>
      </c>
      <c r="C2606" t="s">
        <v>9383</v>
      </c>
      <c r="E2606" t="s">
        <v>9384</v>
      </c>
      <c r="F2606" s="2">
        <v>524471161</v>
      </c>
      <c r="G2606" s="2">
        <v>136254082</v>
      </c>
      <c r="H2606" t="s">
        <v>38</v>
      </c>
      <c r="I2606" t="s">
        <v>17</v>
      </c>
      <c r="J2606" t="s">
        <v>25</v>
      </c>
    </row>
    <row r="2607" spans="1:11" x14ac:dyDescent="0.2">
      <c r="A2607" t="s">
        <v>9385</v>
      </c>
      <c r="F2607" s="2">
        <v>525074933</v>
      </c>
      <c r="G2607" s="2">
        <v>134148099</v>
      </c>
      <c r="H2607" t="s">
        <v>28</v>
      </c>
      <c r="I2607" t="s">
        <v>17</v>
      </c>
      <c r="J2607" t="s">
        <v>25</v>
      </c>
    </row>
    <row r="2608" spans="1:11" x14ac:dyDescent="0.2">
      <c r="A2608" t="s">
        <v>9386</v>
      </c>
      <c r="B2608" t="s">
        <v>9387</v>
      </c>
      <c r="E2608" t="s">
        <v>9388</v>
      </c>
      <c r="F2608" s="2">
        <v>525067794</v>
      </c>
      <c r="G2608" s="2">
        <v>133264855</v>
      </c>
      <c r="H2608" t="s">
        <v>34</v>
      </c>
      <c r="I2608" t="s">
        <v>17</v>
      </c>
      <c r="J2608" t="s">
        <v>25</v>
      </c>
    </row>
    <row r="2609" spans="1:11" x14ac:dyDescent="0.2">
      <c r="A2609" t="s">
        <v>9389</v>
      </c>
      <c r="B2609" t="s">
        <v>9390</v>
      </c>
      <c r="C2609" t="s">
        <v>9391</v>
      </c>
      <c r="E2609" t="s">
        <v>9392</v>
      </c>
      <c r="F2609" s="2">
        <v>524086369</v>
      </c>
      <c r="G2609" s="2">
        <v>135824034</v>
      </c>
      <c r="H2609" t="s">
        <v>38</v>
      </c>
      <c r="I2609" t="s">
        <v>17</v>
      </c>
      <c r="J2609" t="s">
        <v>25</v>
      </c>
    </row>
    <row r="2610" spans="1:11" x14ac:dyDescent="0.2">
      <c r="A2610" t="s">
        <v>9393</v>
      </c>
      <c r="B2610" t="s">
        <v>9394</v>
      </c>
      <c r="F2610" s="2">
        <v>525606492</v>
      </c>
      <c r="G2610" s="2">
        <v>133344297</v>
      </c>
      <c r="H2610" t="s">
        <v>28</v>
      </c>
      <c r="I2610" t="s">
        <v>17</v>
      </c>
      <c r="J2610" t="s">
        <v>25</v>
      </c>
    </row>
    <row r="2611" spans="1:11" x14ac:dyDescent="0.2">
      <c r="A2611" t="s">
        <v>9395</v>
      </c>
      <c r="B2611" t="s">
        <v>9396</v>
      </c>
      <c r="C2611" t="s">
        <v>9397</v>
      </c>
      <c r="D2611" t="s">
        <v>9398</v>
      </c>
      <c r="E2611" t="s">
        <v>9399</v>
      </c>
      <c r="F2611" s="2">
        <v>525350828</v>
      </c>
      <c r="G2611" s="2">
        <v>134213756</v>
      </c>
      <c r="H2611" t="s">
        <v>51</v>
      </c>
      <c r="I2611" t="s">
        <v>17</v>
      </c>
      <c r="J2611" t="s">
        <v>25</v>
      </c>
      <c r="K2611" t="s">
        <v>9400</v>
      </c>
    </row>
    <row r="2612" spans="1:11" x14ac:dyDescent="0.2">
      <c r="A2612" t="s">
        <v>9401</v>
      </c>
      <c r="B2612" t="s">
        <v>9402</v>
      </c>
      <c r="C2612" t="s">
        <v>9403</v>
      </c>
      <c r="D2612" t="s">
        <v>9404</v>
      </c>
      <c r="E2612" t="s">
        <v>9405</v>
      </c>
      <c r="F2612" s="2">
        <v>525293909</v>
      </c>
      <c r="G2612" s="2">
        <v>133714141</v>
      </c>
      <c r="H2612" t="s">
        <v>51</v>
      </c>
      <c r="I2612" t="s">
        <v>17</v>
      </c>
      <c r="J2612" t="s">
        <v>25</v>
      </c>
      <c r="K2612" t="s">
        <v>9406</v>
      </c>
    </row>
    <row r="2613" spans="1:11" x14ac:dyDescent="0.2">
      <c r="A2613" t="s">
        <v>9407</v>
      </c>
      <c r="F2613" s="2">
        <v>52538159</v>
      </c>
      <c r="G2613" s="2">
        <v>135703736</v>
      </c>
      <c r="H2613" t="s">
        <v>28</v>
      </c>
      <c r="I2613" t="s">
        <v>17</v>
      </c>
      <c r="J2613" t="s">
        <v>25</v>
      </c>
    </row>
    <row r="2614" spans="1:11" x14ac:dyDescent="0.2">
      <c r="A2614" t="s">
        <v>9408</v>
      </c>
      <c r="C2614" t="s">
        <v>9409</v>
      </c>
      <c r="D2614" t="s">
        <v>9410</v>
      </c>
      <c r="E2614" t="s">
        <v>9411</v>
      </c>
      <c r="F2614" s="2">
        <v>524974715</v>
      </c>
      <c r="G2614" s="2">
        <v>134244108</v>
      </c>
      <c r="H2614" t="s">
        <v>24</v>
      </c>
      <c r="I2614" t="s">
        <v>17</v>
      </c>
      <c r="J2614" t="s">
        <v>25</v>
      </c>
    </row>
    <row r="2615" spans="1:11" x14ac:dyDescent="0.2">
      <c r="A2615" t="s">
        <v>9412</v>
      </c>
      <c r="B2615" t="s">
        <v>9413</v>
      </c>
      <c r="C2615" t="s">
        <v>9414</v>
      </c>
      <c r="F2615" s="2">
        <v>525286454</v>
      </c>
      <c r="G2615" s="2">
        <v>134155539</v>
      </c>
      <c r="H2615" t="s">
        <v>255</v>
      </c>
      <c r="I2615" t="s">
        <v>17</v>
      </c>
      <c r="J2615" t="s">
        <v>25</v>
      </c>
    </row>
    <row r="2616" spans="1:11" x14ac:dyDescent="0.2">
      <c r="A2616" t="s">
        <v>9415</v>
      </c>
      <c r="B2616" t="s">
        <v>9416</v>
      </c>
      <c r="F2616" s="2">
        <v>525109245</v>
      </c>
      <c r="G2616" s="2">
        <v>132792909</v>
      </c>
      <c r="H2616" t="s">
        <v>28</v>
      </c>
      <c r="I2616" t="s">
        <v>17</v>
      </c>
      <c r="J2616" t="s">
        <v>25</v>
      </c>
    </row>
    <row r="2617" spans="1:11" x14ac:dyDescent="0.2">
      <c r="A2617" t="s">
        <v>9417</v>
      </c>
      <c r="B2617" t="s">
        <v>9418</v>
      </c>
      <c r="C2617" t="s">
        <v>9419</v>
      </c>
      <c r="D2617" t="s">
        <v>9420</v>
      </c>
      <c r="E2617" t="s">
        <v>9421</v>
      </c>
      <c r="F2617" s="2">
        <v>525068868</v>
      </c>
      <c r="G2617" s="2">
        <v>134682638</v>
      </c>
      <c r="H2617" t="s">
        <v>24</v>
      </c>
      <c r="I2617" t="s">
        <v>17</v>
      </c>
      <c r="J2617" t="s">
        <v>25</v>
      </c>
    </row>
    <row r="2618" spans="1:11" x14ac:dyDescent="0.2">
      <c r="A2618" t="s">
        <v>9422</v>
      </c>
      <c r="B2618" t="s">
        <v>9423</v>
      </c>
      <c r="C2618" t="s">
        <v>9424</v>
      </c>
      <c r="E2618" t="s">
        <v>9425</v>
      </c>
      <c r="F2618" s="2">
        <v>525007688</v>
      </c>
      <c r="G2618" s="2">
        <v>132963409</v>
      </c>
      <c r="H2618" t="s">
        <v>38</v>
      </c>
      <c r="I2618" t="s">
        <v>17</v>
      </c>
      <c r="J2618" t="s">
        <v>25</v>
      </c>
    </row>
    <row r="2619" spans="1:11" x14ac:dyDescent="0.2">
      <c r="A2619" t="s">
        <v>9426</v>
      </c>
      <c r="B2619" t="s">
        <v>9427</v>
      </c>
      <c r="C2619" t="s">
        <v>9428</v>
      </c>
      <c r="D2619" t="s">
        <v>9429</v>
      </c>
      <c r="F2619" s="2">
        <v>525121111</v>
      </c>
      <c r="G2619" s="2">
        <v>133810305</v>
      </c>
      <c r="H2619" t="s">
        <v>51</v>
      </c>
      <c r="I2619" t="s">
        <v>17</v>
      </c>
      <c r="J2619" t="s">
        <v>25</v>
      </c>
      <c r="K2619" t="s">
        <v>9430</v>
      </c>
    </row>
    <row r="2620" spans="1:11" x14ac:dyDescent="0.2">
      <c r="A2620" t="s">
        <v>9431</v>
      </c>
      <c r="C2620" t="s">
        <v>9432</v>
      </c>
      <c r="F2620" s="2">
        <v>525016233</v>
      </c>
      <c r="G2620" s="2">
        <v>132850735</v>
      </c>
      <c r="H2620" t="s">
        <v>255</v>
      </c>
      <c r="I2620" t="s">
        <v>17</v>
      </c>
      <c r="J2620" t="s">
        <v>25</v>
      </c>
    </row>
    <row r="2621" spans="1:11" x14ac:dyDescent="0.2">
      <c r="A2621" t="s">
        <v>9433</v>
      </c>
      <c r="B2621" t="s">
        <v>9434</v>
      </c>
      <c r="C2621" t="s">
        <v>9435</v>
      </c>
      <c r="D2621" t="s">
        <v>9436</v>
      </c>
      <c r="E2621" t="s">
        <v>9437</v>
      </c>
      <c r="F2621" s="2">
        <v>5249707</v>
      </c>
      <c r="G2621" s="2">
        <v>134258104</v>
      </c>
      <c r="H2621" t="s">
        <v>51</v>
      </c>
      <c r="I2621" t="s">
        <v>17</v>
      </c>
      <c r="J2621" t="s">
        <v>25</v>
      </c>
      <c r="K2621" t="s">
        <v>9438</v>
      </c>
    </row>
    <row r="2622" spans="1:11" x14ac:dyDescent="0.2">
      <c r="A2622" t="s">
        <v>9439</v>
      </c>
      <c r="B2622" t="s">
        <v>9440</v>
      </c>
      <c r="C2622" t="s">
        <v>9441</v>
      </c>
      <c r="E2622" t="s">
        <v>9442</v>
      </c>
      <c r="F2622" s="2">
        <v>524429449</v>
      </c>
      <c r="G2622" s="2">
        <v>13426795</v>
      </c>
      <c r="H2622" t="s">
        <v>38</v>
      </c>
      <c r="I2622" t="s">
        <v>17</v>
      </c>
      <c r="J2622" t="s">
        <v>25</v>
      </c>
    </row>
    <row r="2623" spans="1:11" x14ac:dyDescent="0.2">
      <c r="A2623" t="s">
        <v>9443</v>
      </c>
      <c r="B2623" t="s">
        <v>9444</v>
      </c>
      <c r="C2623" t="s">
        <v>9445</v>
      </c>
      <c r="E2623" t="s">
        <v>9446</v>
      </c>
      <c r="F2623" s="2">
        <v>524600215</v>
      </c>
      <c r="G2623" s="2">
        <v>133251358</v>
      </c>
      <c r="H2623" t="s">
        <v>277</v>
      </c>
      <c r="I2623" t="s">
        <v>17</v>
      </c>
      <c r="J2623" t="s">
        <v>25</v>
      </c>
      <c r="K2623" t="s">
        <v>9447</v>
      </c>
    </row>
    <row r="2624" spans="1:11" x14ac:dyDescent="0.2">
      <c r="A2624" t="s">
        <v>9448</v>
      </c>
      <c r="B2624" t="s">
        <v>9449</v>
      </c>
      <c r="C2624" t="s">
        <v>9450</v>
      </c>
      <c r="D2624" t="s">
        <v>9451</v>
      </c>
      <c r="F2624" s="2">
        <v>524663754</v>
      </c>
      <c r="G2624" s="2">
        <v>13330254</v>
      </c>
      <c r="H2624" t="s">
        <v>51</v>
      </c>
      <c r="I2624" t="s">
        <v>17</v>
      </c>
      <c r="J2624" t="s">
        <v>25</v>
      </c>
      <c r="K2624" t="s">
        <v>9452</v>
      </c>
    </row>
    <row r="2625" spans="1:11" x14ac:dyDescent="0.2">
      <c r="A2625" t="s">
        <v>9453</v>
      </c>
      <c r="B2625" t="s">
        <v>9454</v>
      </c>
      <c r="F2625" s="2">
        <v>525468824</v>
      </c>
      <c r="G2625" s="2">
        <v>132095362</v>
      </c>
      <c r="H2625" t="s">
        <v>28</v>
      </c>
      <c r="I2625" t="s">
        <v>17</v>
      </c>
      <c r="J2625" t="s">
        <v>25</v>
      </c>
    </row>
    <row r="2626" spans="1:11" x14ac:dyDescent="0.2">
      <c r="A2626" t="s">
        <v>9455</v>
      </c>
      <c r="B2626" t="s">
        <v>9456</v>
      </c>
      <c r="C2626" t="s">
        <v>9457</v>
      </c>
      <c r="D2626" t="s">
        <v>9458</v>
      </c>
      <c r="E2626" t="s">
        <v>9459</v>
      </c>
      <c r="F2626" s="2">
        <v>525287165</v>
      </c>
      <c r="G2626" s="2">
        <v>133938491</v>
      </c>
      <c r="H2626" t="s">
        <v>304</v>
      </c>
      <c r="I2626" t="s">
        <v>17</v>
      </c>
      <c r="J2626" t="s">
        <v>25</v>
      </c>
      <c r="K2626" t="s">
        <v>9460</v>
      </c>
    </row>
    <row r="2627" spans="1:11" x14ac:dyDescent="0.2">
      <c r="A2627" t="s">
        <v>9461</v>
      </c>
      <c r="B2627" t="s">
        <v>9462</v>
      </c>
      <c r="F2627" s="2">
        <v>525110017</v>
      </c>
      <c r="G2627" s="2">
        <v>132938903</v>
      </c>
      <c r="H2627" t="s">
        <v>28</v>
      </c>
      <c r="I2627" t="s">
        <v>17</v>
      </c>
      <c r="J2627" t="s">
        <v>25</v>
      </c>
    </row>
    <row r="2628" spans="1:11" x14ac:dyDescent="0.2">
      <c r="A2628" t="s">
        <v>9463</v>
      </c>
      <c r="B2628" t="s">
        <v>9464</v>
      </c>
      <c r="F2628" s="2">
        <v>524962343</v>
      </c>
      <c r="G2628" s="2">
        <v>134215286</v>
      </c>
      <c r="H2628" t="s">
        <v>28</v>
      </c>
      <c r="I2628" t="s">
        <v>17</v>
      </c>
      <c r="J2628" t="s">
        <v>25</v>
      </c>
    </row>
    <row r="2629" spans="1:11" x14ac:dyDescent="0.2">
      <c r="A2629" t="s">
        <v>9465</v>
      </c>
      <c r="B2629" t="s">
        <v>9466</v>
      </c>
      <c r="C2629" t="s">
        <v>9467</v>
      </c>
      <c r="D2629" t="s">
        <v>9468</v>
      </c>
      <c r="E2629" t="s">
        <v>9469</v>
      </c>
      <c r="F2629" s="2">
        <v>525016427</v>
      </c>
      <c r="G2629" s="2">
        <v>133824261</v>
      </c>
      <c r="H2629" t="s">
        <v>24</v>
      </c>
      <c r="I2629" t="s">
        <v>17</v>
      </c>
      <c r="J2629" t="s">
        <v>25</v>
      </c>
    </row>
    <row r="2630" spans="1:11" x14ac:dyDescent="0.2">
      <c r="A2630" t="s">
        <v>9470</v>
      </c>
      <c r="F2630" s="2">
        <v>525019283</v>
      </c>
      <c r="G2630" s="2">
        <v>134317175</v>
      </c>
      <c r="H2630" t="s">
        <v>28</v>
      </c>
      <c r="I2630" t="s">
        <v>17</v>
      </c>
      <c r="J2630" t="s">
        <v>25</v>
      </c>
    </row>
    <row r="2631" spans="1:11" x14ac:dyDescent="0.2">
      <c r="A2631" t="s">
        <v>9471</v>
      </c>
      <c r="C2631" t="s">
        <v>9472</v>
      </c>
      <c r="F2631" s="2">
        <v>525023476</v>
      </c>
      <c r="G2631" s="2">
        <v>134314197</v>
      </c>
      <c r="H2631" t="s">
        <v>38</v>
      </c>
      <c r="I2631" t="s">
        <v>17</v>
      </c>
      <c r="J2631" t="s">
        <v>25</v>
      </c>
    </row>
    <row r="2632" spans="1:11" x14ac:dyDescent="0.2">
      <c r="A2632" t="s">
        <v>9473</v>
      </c>
      <c r="B2632" t="s">
        <v>9474</v>
      </c>
      <c r="C2632" t="s">
        <v>9475</v>
      </c>
      <c r="F2632" s="2">
        <v>525312805</v>
      </c>
      <c r="G2632" s="2">
        <v>134029162</v>
      </c>
      <c r="H2632" t="s">
        <v>255</v>
      </c>
      <c r="I2632" t="s">
        <v>17</v>
      </c>
      <c r="J2632" t="s">
        <v>25</v>
      </c>
    </row>
    <row r="2633" spans="1:11" x14ac:dyDescent="0.2">
      <c r="A2633" t="s">
        <v>9476</v>
      </c>
      <c r="B2633" t="s">
        <v>9477</v>
      </c>
      <c r="C2633" t="s">
        <v>9478</v>
      </c>
      <c r="D2633" t="s">
        <v>9479</v>
      </c>
      <c r="E2633" t="s">
        <v>9480</v>
      </c>
      <c r="F2633" s="2">
        <v>52487674</v>
      </c>
      <c r="G2633" s="2">
        <v>134205618</v>
      </c>
      <c r="H2633" t="s">
        <v>24</v>
      </c>
      <c r="I2633" t="s">
        <v>17</v>
      </c>
      <c r="J2633" t="s">
        <v>25</v>
      </c>
    </row>
    <row r="2634" spans="1:11" x14ac:dyDescent="0.2">
      <c r="A2634" t="s">
        <v>9481</v>
      </c>
      <c r="B2634" t="s">
        <v>9482</v>
      </c>
      <c r="E2634" t="s">
        <v>9483</v>
      </c>
      <c r="F2634" s="2">
        <v>524944141</v>
      </c>
      <c r="G2634" s="2">
        <v>134335897</v>
      </c>
      <c r="H2634" t="s">
        <v>34</v>
      </c>
      <c r="I2634" t="s">
        <v>17</v>
      </c>
      <c r="J2634" t="s">
        <v>25</v>
      </c>
    </row>
    <row r="2635" spans="1:11" x14ac:dyDescent="0.2">
      <c r="A2635" t="s">
        <v>9484</v>
      </c>
      <c r="F2635" s="2">
        <v>524545318</v>
      </c>
      <c r="G2635" s="2">
        <v>132491335</v>
      </c>
      <c r="H2635" t="s">
        <v>28</v>
      </c>
      <c r="I2635" t="s">
        <v>17</v>
      </c>
      <c r="J2635" t="s">
        <v>25</v>
      </c>
    </row>
    <row r="2636" spans="1:11" x14ac:dyDescent="0.2">
      <c r="A2636" t="s">
        <v>9485</v>
      </c>
      <c r="B2636" t="s">
        <v>9486</v>
      </c>
      <c r="F2636" s="2">
        <v>525140198</v>
      </c>
      <c r="G2636" s="2">
        <v>134545223</v>
      </c>
      <c r="H2636" t="s">
        <v>28</v>
      </c>
      <c r="I2636" t="s">
        <v>17</v>
      </c>
      <c r="J2636" t="s">
        <v>25</v>
      </c>
    </row>
    <row r="2637" spans="1:11" x14ac:dyDescent="0.2">
      <c r="A2637" t="s">
        <v>9487</v>
      </c>
      <c r="B2637" t="s">
        <v>9488</v>
      </c>
      <c r="C2637" t="s">
        <v>9489</v>
      </c>
      <c r="D2637" t="s">
        <v>9490</v>
      </c>
      <c r="E2637" t="s">
        <v>9491</v>
      </c>
      <c r="F2637" s="2">
        <v>525280547</v>
      </c>
      <c r="G2637" s="2">
        <v>13363713</v>
      </c>
      <c r="H2637" t="s">
        <v>24</v>
      </c>
      <c r="I2637" t="s">
        <v>17</v>
      </c>
      <c r="J2637" t="s">
        <v>25</v>
      </c>
    </row>
    <row r="2638" spans="1:11" x14ac:dyDescent="0.2">
      <c r="A2638" t="s">
        <v>9492</v>
      </c>
      <c r="B2638" t="s">
        <v>9493</v>
      </c>
      <c r="C2638" t="s">
        <v>9494</v>
      </c>
      <c r="E2638" t="s">
        <v>9495</v>
      </c>
      <c r="F2638" s="2">
        <v>525323775</v>
      </c>
      <c r="G2638" s="2">
        <v>133794442</v>
      </c>
      <c r="H2638" t="s">
        <v>38</v>
      </c>
      <c r="I2638" t="s">
        <v>17</v>
      </c>
      <c r="J2638" t="s">
        <v>25</v>
      </c>
    </row>
    <row r="2639" spans="1:11" x14ac:dyDescent="0.2">
      <c r="A2639" t="s">
        <v>9496</v>
      </c>
      <c r="B2639" t="s">
        <v>9497</v>
      </c>
      <c r="C2639" t="s">
        <v>9498</v>
      </c>
      <c r="D2639" t="s">
        <v>9499</v>
      </c>
      <c r="E2639">
        <v>493022474610</v>
      </c>
      <c r="F2639" s="2">
        <v>524878372</v>
      </c>
      <c r="G2639" s="2">
        <v>133192997</v>
      </c>
      <c r="H2639" t="s">
        <v>51</v>
      </c>
      <c r="I2639" t="s">
        <v>17</v>
      </c>
      <c r="J2639" t="s">
        <v>25</v>
      </c>
      <c r="K2639" t="s">
        <v>9500</v>
      </c>
    </row>
    <row r="2640" spans="1:11" x14ac:dyDescent="0.2">
      <c r="A2640" t="s">
        <v>9501</v>
      </c>
      <c r="B2640" t="s">
        <v>9502</v>
      </c>
      <c r="F2640" s="2">
        <v>525102447</v>
      </c>
      <c r="G2640" s="2">
        <v>134560982</v>
      </c>
      <c r="H2640" t="s">
        <v>28</v>
      </c>
      <c r="I2640" t="s">
        <v>17</v>
      </c>
      <c r="J2640" t="s">
        <v>25</v>
      </c>
    </row>
    <row r="2641" spans="1:11" x14ac:dyDescent="0.2">
      <c r="A2641" t="s">
        <v>9503</v>
      </c>
      <c r="F2641" s="2">
        <v>525052408</v>
      </c>
      <c r="G2641" s="2">
        <v>13301221</v>
      </c>
      <c r="H2641" t="s">
        <v>28</v>
      </c>
      <c r="I2641" t="s">
        <v>17</v>
      </c>
      <c r="J2641" t="s">
        <v>25</v>
      </c>
    </row>
    <row r="2642" spans="1:11" x14ac:dyDescent="0.2">
      <c r="A2642" t="s">
        <v>9504</v>
      </c>
      <c r="F2642" s="2">
        <v>525209804</v>
      </c>
      <c r="G2642" s="2">
        <v>132560197</v>
      </c>
      <c r="H2642" t="s">
        <v>28</v>
      </c>
      <c r="I2642" t="s">
        <v>17</v>
      </c>
      <c r="J2642" t="s">
        <v>25</v>
      </c>
    </row>
    <row r="2643" spans="1:11" x14ac:dyDescent="0.2">
      <c r="A2643" t="s">
        <v>9505</v>
      </c>
      <c r="F2643" s="2">
        <v>525365908</v>
      </c>
      <c r="G2643" s="2">
        <v>131899285</v>
      </c>
      <c r="H2643" t="s">
        <v>28</v>
      </c>
      <c r="I2643" t="s">
        <v>17</v>
      </c>
      <c r="J2643" t="s">
        <v>25</v>
      </c>
    </row>
    <row r="2644" spans="1:11" x14ac:dyDescent="0.2">
      <c r="A2644" t="s">
        <v>9506</v>
      </c>
      <c r="B2644" t="s">
        <v>9507</v>
      </c>
      <c r="C2644" t="s">
        <v>9508</v>
      </c>
      <c r="D2644" t="s">
        <v>9509</v>
      </c>
      <c r="E2644" t="s">
        <v>9510</v>
      </c>
      <c r="F2644" s="2">
        <v>52437738</v>
      </c>
      <c r="G2644" s="2">
        <v>133087318</v>
      </c>
      <c r="H2644" t="s">
        <v>51</v>
      </c>
      <c r="I2644" t="s">
        <v>17</v>
      </c>
      <c r="J2644" t="s">
        <v>25</v>
      </c>
      <c r="K2644" t="s">
        <v>9511</v>
      </c>
    </row>
    <row r="2645" spans="1:11" x14ac:dyDescent="0.2">
      <c r="A2645" t="s">
        <v>9512</v>
      </c>
      <c r="C2645" t="s">
        <v>9513</v>
      </c>
      <c r="D2645" t="s">
        <v>9514</v>
      </c>
      <c r="E2645" t="s">
        <v>9515</v>
      </c>
      <c r="F2645" s="2">
        <v>525278543</v>
      </c>
      <c r="G2645" s="2">
        <v>133388184</v>
      </c>
      <c r="H2645" t="s">
        <v>24</v>
      </c>
      <c r="I2645" t="s">
        <v>17</v>
      </c>
      <c r="J2645" t="s">
        <v>25</v>
      </c>
    </row>
    <row r="2646" spans="1:11" x14ac:dyDescent="0.2">
      <c r="A2646" t="s">
        <v>9516</v>
      </c>
      <c r="B2646" t="s">
        <v>9517</v>
      </c>
      <c r="C2646" t="s">
        <v>9518</v>
      </c>
      <c r="D2646" t="s">
        <v>9519</v>
      </c>
      <c r="E2646" t="s">
        <v>9520</v>
      </c>
      <c r="F2646" s="2">
        <v>524955645</v>
      </c>
      <c r="G2646" s="2">
        <v>133614337</v>
      </c>
      <c r="H2646" t="s">
        <v>24</v>
      </c>
      <c r="I2646" t="s">
        <v>17</v>
      </c>
      <c r="J2646" t="s">
        <v>25</v>
      </c>
    </row>
    <row r="2647" spans="1:11" x14ac:dyDescent="0.2">
      <c r="A2647" t="s">
        <v>9521</v>
      </c>
      <c r="B2647" t="s">
        <v>9522</v>
      </c>
      <c r="E2647" t="s">
        <v>9523</v>
      </c>
      <c r="F2647" s="2">
        <v>524912901</v>
      </c>
      <c r="G2647" s="2">
        <v>134166773</v>
      </c>
      <c r="H2647" t="s">
        <v>34</v>
      </c>
      <c r="I2647" t="s">
        <v>17</v>
      </c>
      <c r="J2647" t="s">
        <v>25</v>
      </c>
    </row>
    <row r="2648" spans="1:11" x14ac:dyDescent="0.2">
      <c r="A2648" t="s">
        <v>9524</v>
      </c>
      <c r="B2648" t="s">
        <v>9525</v>
      </c>
      <c r="C2648" t="s">
        <v>9526</v>
      </c>
      <c r="F2648" s="2">
        <v>525377998</v>
      </c>
      <c r="G2648" s="2">
        <v>13420032</v>
      </c>
      <c r="H2648" t="s">
        <v>3120</v>
      </c>
      <c r="I2648" t="s">
        <v>17</v>
      </c>
      <c r="J2648" t="s">
        <v>25</v>
      </c>
      <c r="K2648" t="s">
        <v>9527</v>
      </c>
    </row>
    <row r="2649" spans="1:11" x14ac:dyDescent="0.2">
      <c r="A2649" t="s">
        <v>9528</v>
      </c>
      <c r="F2649" s="2">
        <v>525429206</v>
      </c>
      <c r="G2649" s="2">
        <v>13345441</v>
      </c>
      <c r="H2649" t="s">
        <v>28</v>
      </c>
      <c r="I2649" t="s">
        <v>17</v>
      </c>
      <c r="J2649" t="s">
        <v>25</v>
      </c>
    </row>
    <row r="2650" spans="1:11" x14ac:dyDescent="0.2">
      <c r="A2650" t="s">
        <v>9529</v>
      </c>
      <c r="C2650" t="s">
        <v>9530</v>
      </c>
      <c r="D2650" t="s">
        <v>9531</v>
      </c>
      <c r="E2650" t="s">
        <v>9532</v>
      </c>
      <c r="F2650" s="2">
        <v>525179221</v>
      </c>
      <c r="G2650" s="2">
        <v>13197506</v>
      </c>
      <c r="H2650" t="s">
        <v>24</v>
      </c>
      <c r="I2650" t="s">
        <v>17</v>
      </c>
      <c r="J2650" t="s">
        <v>25</v>
      </c>
    </row>
    <row r="2651" spans="1:11" x14ac:dyDescent="0.2">
      <c r="A2651" t="s">
        <v>9533</v>
      </c>
      <c r="B2651" t="s">
        <v>9534</v>
      </c>
      <c r="C2651" t="s">
        <v>9535</v>
      </c>
      <c r="E2651" t="s">
        <v>9536</v>
      </c>
      <c r="F2651" s="2">
        <v>524851789</v>
      </c>
      <c r="G2651" s="2">
        <v>133521015</v>
      </c>
      <c r="H2651" t="s">
        <v>277</v>
      </c>
      <c r="I2651" t="s">
        <v>17</v>
      </c>
      <c r="J2651" t="s">
        <v>25</v>
      </c>
      <c r="K2651" t="s">
        <v>9537</v>
      </c>
    </row>
    <row r="2652" spans="1:11" x14ac:dyDescent="0.2">
      <c r="A2652" t="s">
        <v>9538</v>
      </c>
      <c r="B2652" t="s">
        <v>9539</v>
      </c>
      <c r="C2652" t="s">
        <v>9540</v>
      </c>
      <c r="D2652" t="s">
        <v>9541</v>
      </c>
      <c r="F2652" s="2">
        <v>524685237</v>
      </c>
      <c r="G2652" s="2">
        <v>131437975</v>
      </c>
      <c r="H2652" t="s">
        <v>51</v>
      </c>
      <c r="I2652" t="s">
        <v>17</v>
      </c>
      <c r="J2652" t="s">
        <v>25</v>
      </c>
      <c r="K2652" t="s">
        <v>9542</v>
      </c>
    </row>
    <row r="2653" spans="1:11" x14ac:dyDescent="0.2">
      <c r="A2653" t="s">
        <v>9543</v>
      </c>
      <c r="B2653" t="s">
        <v>9544</v>
      </c>
      <c r="C2653" t="s">
        <v>9545</v>
      </c>
      <c r="D2653" t="s">
        <v>9546</v>
      </c>
      <c r="E2653" t="s">
        <v>9547</v>
      </c>
      <c r="F2653" s="2">
        <v>525351393</v>
      </c>
      <c r="G2653" s="2">
        <v>133776583</v>
      </c>
      <c r="H2653" t="s">
        <v>51</v>
      </c>
      <c r="I2653" t="s">
        <v>17</v>
      </c>
      <c r="J2653" t="s">
        <v>25</v>
      </c>
      <c r="K2653" t="s">
        <v>9548</v>
      </c>
    </row>
    <row r="2654" spans="1:11" x14ac:dyDescent="0.2">
      <c r="A2654" t="s">
        <v>9549</v>
      </c>
      <c r="B2654" t="s">
        <v>9550</v>
      </c>
      <c r="D2654" t="s">
        <v>9551</v>
      </c>
      <c r="E2654" t="s">
        <v>9552</v>
      </c>
      <c r="F2654" s="2">
        <v>525648827</v>
      </c>
      <c r="G2654" s="2">
        <v>134129993</v>
      </c>
      <c r="H2654" t="s">
        <v>3120</v>
      </c>
      <c r="I2654" t="s">
        <v>17</v>
      </c>
      <c r="J2654" t="s">
        <v>25</v>
      </c>
    </row>
    <row r="2655" spans="1:11" x14ac:dyDescent="0.2">
      <c r="A2655" t="s">
        <v>9553</v>
      </c>
      <c r="F2655" s="2">
        <v>524857886</v>
      </c>
      <c r="G2655" s="2">
        <v>133399755</v>
      </c>
      <c r="H2655" t="s">
        <v>28</v>
      </c>
      <c r="I2655" t="s">
        <v>17</v>
      </c>
      <c r="J2655" t="s">
        <v>25</v>
      </c>
    </row>
    <row r="2656" spans="1:11" x14ac:dyDescent="0.2">
      <c r="A2656" t="s">
        <v>9554</v>
      </c>
      <c r="B2656" t="s">
        <v>9555</v>
      </c>
      <c r="F2656" s="2">
        <v>524854425</v>
      </c>
      <c r="G2656" s="2">
        <v>134298013</v>
      </c>
      <c r="H2656" t="s">
        <v>28</v>
      </c>
      <c r="I2656" t="s">
        <v>17</v>
      </c>
      <c r="J2656" t="s">
        <v>25</v>
      </c>
    </row>
    <row r="2657" spans="1:11" x14ac:dyDescent="0.2">
      <c r="A2657" t="s">
        <v>9556</v>
      </c>
      <c r="B2657" t="s">
        <v>9557</v>
      </c>
      <c r="C2657" t="s">
        <v>9558</v>
      </c>
      <c r="D2657" t="s">
        <v>9559</v>
      </c>
      <c r="E2657" t="s">
        <v>9560</v>
      </c>
      <c r="F2657" s="2">
        <v>525043438</v>
      </c>
      <c r="G2657" s="2">
        <v>134971701</v>
      </c>
      <c r="H2657" t="s">
        <v>24</v>
      </c>
      <c r="I2657" t="s">
        <v>17</v>
      </c>
      <c r="J2657" t="s">
        <v>25</v>
      </c>
    </row>
    <row r="2658" spans="1:11" x14ac:dyDescent="0.2">
      <c r="A2658" t="s">
        <v>9561</v>
      </c>
      <c r="B2658" t="s">
        <v>9562</v>
      </c>
      <c r="C2658" t="s">
        <v>9563</v>
      </c>
      <c r="D2658" t="s">
        <v>9564</v>
      </c>
      <c r="E2658">
        <v>493055104430</v>
      </c>
      <c r="F2658" s="2">
        <v>525248669</v>
      </c>
      <c r="G2658" s="2">
        <v>133926197</v>
      </c>
      <c r="H2658" t="s">
        <v>51</v>
      </c>
      <c r="I2658" t="s">
        <v>17</v>
      </c>
      <c r="J2658" t="s">
        <v>25</v>
      </c>
      <c r="K2658" t="s">
        <v>9565</v>
      </c>
    </row>
    <row r="2659" spans="1:11" x14ac:dyDescent="0.2">
      <c r="A2659" t="s">
        <v>9566</v>
      </c>
      <c r="B2659" t="s">
        <v>9567</v>
      </c>
      <c r="C2659" t="s">
        <v>9568</v>
      </c>
      <c r="F2659" s="2">
        <v>525081489</v>
      </c>
      <c r="G2659" s="2">
        <v>134540529</v>
      </c>
      <c r="H2659" t="s">
        <v>255</v>
      </c>
      <c r="I2659" t="s">
        <v>17</v>
      </c>
      <c r="J2659" t="s">
        <v>25</v>
      </c>
    </row>
    <row r="2660" spans="1:11" x14ac:dyDescent="0.2">
      <c r="A2660" t="s">
        <v>9569</v>
      </c>
      <c r="B2660" t="s">
        <v>9570</v>
      </c>
      <c r="C2660" t="s">
        <v>9571</v>
      </c>
      <c r="E2660" t="s">
        <v>9572</v>
      </c>
      <c r="F2660" s="2">
        <v>525057296</v>
      </c>
      <c r="G2660" s="2">
        <v>134701127</v>
      </c>
      <c r="H2660" t="s">
        <v>38</v>
      </c>
      <c r="I2660" t="s">
        <v>17</v>
      </c>
      <c r="J2660" t="s">
        <v>25</v>
      </c>
    </row>
    <row r="2661" spans="1:11" x14ac:dyDescent="0.2">
      <c r="A2661" t="s">
        <v>9573</v>
      </c>
      <c r="F2661" s="2">
        <v>525891258</v>
      </c>
      <c r="G2661" s="2">
        <v>132885503</v>
      </c>
      <c r="H2661" t="s">
        <v>28</v>
      </c>
      <c r="I2661" t="s">
        <v>17</v>
      </c>
      <c r="J2661" t="s">
        <v>25</v>
      </c>
    </row>
    <row r="2662" spans="1:11" x14ac:dyDescent="0.2">
      <c r="A2662" t="s">
        <v>9574</v>
      </c>
      <c r="B2662" t="s">
        <v>9575</v>
      </c>
      <c r="C2662" t="s">
        <v>9576</v>
      </c>
      <c r="E2662" t="s">
        <v>9577</v>
      </c>
      <c r="F2662" s="2">
        <v>525394372</v>
      </c>
      <c r="G2662" s="2">
        <v>133994543</v>
      </c>
      <c r="H2662" t="s">
        <v>38</v>
      </c>
      <c r="I2662" t="s">
        <v>17</v>
      </c>
      <c r="J2662" t="s">
        <v>25</v>
      </c>
    </row>
    <row r="2663" spans="1:11" x14ac:dyDescent="0.2">
      <c r="A2663" t="s">
        <v>9578</v>
      </c>
      <c r="B2663" t="s">
        <v>9579</v>
      </c>
      <c r="C2663" t="s">
        <v>9580</v>
      </c>
      <c r="D2663" t="s">
        <v>9581</v>
      </c>
      <c r="E2663" t="s">
        <v>9582</v>
      </c>
      <c r="F2663" s="2">
        <v>524878945</v>
      </c>
      <c r="G2663" s="2">
        <v>133752068</v>
      </c>
      <c r="H2663" t="s">
        <v>24</v>
      </c>
      <c r="I2663" t="s">
        <v>17</v>
      </c>
      <c r="J2663" t="s">
        <v>25</v>
      </c>
    </row>
    <row r="2664" spans="1:11" x14ac:dyDescent="0.2">
      <c r="A2664" t="s">
        <v>9583</v>
      </c>
      <c r="B2664" t="s">
        <v>291</v>
      </c>
      <c r="F2664" s="2">
        <v>525151115</v>
      </c>
      <c r="G2664" s="2">
        <v>134681553</v>
      </c>
      <c r="H2664" t="s">
        <v>28</v>
      </c>
      <c r="I2664" t="s">
        <v>17</v>
      </c>
      <c r="J2664" t="s">
        <v>25</v>
      </c>
    </row>
    <row r="2665" spans="1:11" x14ac:dyDescent="0.2">
      <c r="A2665" t="s">
        <v>9584</v>
      </c>
      <c r="B2665" t="s">
        <v>9585</v>
      </c>
      <c r="E2665">
        <v>493033939697</v>
      </c>
      <c r="F2665" s="2">
        <v>525393848</v>
      </c>
      <c r="G2665" s="2">
        <v>132052427</v>
      </c>
      <c r="H2665" t="s">
        <v>34</v>
      </c>
      <c r="I2665" t="s">
        <v>17</v>
      </c>
      <c r="J2665" t="s">
        <v>25</v>
      </c>
    </row>
    <row r="2666" spans="1:11" x14ac:dyDescent="0.2">
      <c r="A2666" t="s">
        <v>9586</v>
      </c>
      <c r="B2666" t="s">
        <v>9587</v>
      </c>
      <c r="E2666" t="s">
        <v>9588</v>
      </c>
      <c r="F2666" s="2">
        <v>525038226</v>
      </c>
      <c r="G2666" s="2">
        <v>134770679</v>
      </c>
      <c r="H2666" t="s">
        <v>34</v>
      </c>
      <c r="I2666" t="s">
        <v>17</v>
      </c>
      <c r="J2666" t="s">
        <v>25</v>
      </c>
    </row>
    <row r="2667" spans="1:11" x14ac:dyDescent="0.2">
      <c r="A2667" t="s">
        <v>9589</v>
      </c>
      <c r="B2667" t="s">
        <v>9590</v>
      </c>
      <c r="C2667" t="s">
        <v>9591</v>
      </c>
      <c r="D2667" t="s">
        <v>9592</v>
      </c>
      <c r="E2667" t="s">
        <v>9593</v>
      </c>
      <c r="F2667" s="2">
        <v>524665589</v>
      </c>
      <c r="G2667" s="2">
        <v>133297426</v>
      </c>
      <c r="H2667" t="s">
        <v>51</v>
      </c>
      <c r="I2667" t="s">
        <v>17</v>
      </c>
      <c r="J2667" t="s">
        <v>25</v>
      </c>
      <c r="K2667" t="s">
        <v>9594</v>
      </c>
    </row>
    <row r="2668" spans="1:11" x14ac:dyDescent="0.2">
      <c r="A2668" t="s">
        <v>9595</v>
      </c>
      <c r="B2668" t="s">
        <v>9596</v>
      </c>
      <c r="D2668" t="s">
        <v>9597</v>
      </c>
      <c r="E2668" t="s">
        <v>9598</v>
      </c>
      <c r="F2668" s="2">
        <v>524872558</v>
      </c>
      <c r="G2668" s="2">
        <v>134310943</v>
      </c>
      <c r="H2668" t="s">
        <v>3120</v>
      </c>
      <c r="I2668" t="s">
        <v>17</v>
      </c>
      <c r="J2668" t="s">
        <v>25</v>
      </c>
    </row>
    <row r="2669" spans="1:11" x14ac:dyDescent="0.2">
      <c r="A2669" t="s">
        <v>9599</v>
      </c>
      <c r="B2669" t="s">
        <v>9600</v>
      </c>
      <c r="C2669" t="s">
        <v>9601</v>
      </c>
      <c r="D2669" t="s">
        <v>9602</v>
      </c>
      <c r="E2669" t="s">
        <v>9603</v>
      </c>
      <c r="F2669" s="2">
        <v>525518188</v>
      </c>
      <c r="G2669" s="2">
        <v>134080779</v>
      </c>
      <c r="H2669" t="s">
        <v>51</v>
      </c>
      <c r="I2669" t="s">
        <v>17</v>
      </c>
      <c r="J2669" t="s">
        <v>25</v>
      </c>
      <c r="K2669" t="s">
        <v>9604</v>
      </c>
    </row>
    <row r="2670" spans="1:11" x14ac:dyDescent="0.2">
      <c r="A2670" t="s">
        <v>9605</v>
      </c>
      <c r="B2670" t="s">
        <v>9606</v>
      </c>
      <c r="C2670" t="s">
        <v>9607</v>
      </c>
      <c r="D2670" t="s">
        <v>9608</v>
      </c>
      <c r="F2670" s="2">
        <v>525058862</v>
      </c>
      <c r="G2670" s="2">
        <v>133171792</v>
      </c>
      <c r="H2670" t="s">
        <v>51</v>
      </c>
      <c r="I2670" t="s">
        <v>17</v>
      </c>
      <c r="J2670" t="s">
        <v>25</v>
      </c>
      <c r="K2670" t="s">
        <v>9609</v>
      </c>
    </row>
    <row r="2671" spans="1:11" x14ac:dyDescent="0.2">
      <c r="A2671" t="s">
        <v>9610</v>
      </c>
      <c r="B2671" t="s">
        <v>9611</v>
      </c>
      <c r="C2671" t="s">
        <v>9612</v>
      </c>
      <c r="F2671" s="2">
        <v>525266041</v>
      </c>
      <c r="G2671" s="2">
        <v>134510164</v>
      </c>
      <c r="H2671" t="s">
        <v>255</v>
      </c>
      <c r="I2671" t="s">
        <v>17</v>
      </c>
      <c r="J2671" t="s">
        <v>25</v>
      </c>
    </row>
    <row r="2672" spans="1:11" x14ac:dyDescent="0.2">
      <c r="A2672" t="s">
        <v>9613</v>
      </c>
      <c r="B2672" t="s">
        <v>9614</v>
      </c>
      <c r="C2672" t="s">
        <v>9615</v>
      </c>
      <c r="E2672">
        <v>493040756719</v>
      </c>
      <c r="F2672" s="2">
        <v>52510294</v>
      </c>
      <c r="G2672" s="2">
        <v>135182551</v>
      </c>
      <c r="H2672" t="s">
        <v>38</v>
      </c>
      <c r="I2672" t="s">
        <v>17</v>
      </c>
      <c r="J2672" t="s">
        <v>25</v>
      </c>
    </row>
    <row r="2673" spans="1:11" x14ac:dyDescent="0.2">
      <c r="A2673" t="s">
        <v>9616</v>
      </c>
      <c r="B2673" t="s">
        <v>9617</v>
      </c>
      <c r="F2673" s="2">
        <v>525070028</v>
      </c>
      <c r="G2673" s="2">
        <v>13386008</v>
      </c>
      <c r="H2673" t="s">
        <v>28</v>
      </c>
      <c r="I2673" t="s">
        <v>17</v>
      </c>
      <c r="J2673" t="s">
        <v>25</v>
      </c>
    </row>
    <row r="2674" spans="1:11" x14ac:dyDescent="0.2">
      <c r="A2674" t="s">
        <v>9618</v>
      </c>
      <c r="C2674" t="s">
        <v>9619</v>
      </c>
      <c r="D2674" t="s">
        <v>9620</v>
      </c>
      <c r="E2674" t="s">
        <v>9621</v>
      </c>
      <c r="F2674" s="2">
        <v>525071684</v>
      </c>
      <c r="G2674" s="2">
        <v>133211145</v>
      </c>
      <c r="H2674" t="s">
        <v>51</v>
      </c>
      <c r="I2674" t="s">
        <v>17</v>
      </c>
      <c r="J2674" t="s">
        <v>25</v>
      </c>
      <c r="K2674" t="s">
        <v>9622</v>
      </c>
    </row>
    <row r="2675" spans="1:11" x14ac:dyDescent="0.2">
      <c r="A2675" t="s">
        <v>9623</v>
      </c>
      <c r="B2675" t="s">
        <v>9624</v>
      </c>
    </row>
    <row r="2676" spans="1:11" x14ac:dyDescent="0.2">
      <c r="A2676" t="s">
        <v>9625</v>
      </c>
      <c r="B2676" t="s">
        <v>9626</v>
      </c>
      <c r="C2676" t="s">
        <v>9627</v>
      </c>
      <c r="F2676" s="2">
        <v>525268592</v>
      </c>
      <c r="G2676" s="2">
        <v>134085795</v>
      </c>
      <c r="H2676" t="s">
        <v>255</v>
      </c>
      <c r="I2676" t="s">
        <v>17</v>
      </c>
      <c r="J2676" t="s">
        <v>25</v>
      </c>
    </row>
    <row r="2677" spans="1:11" x14ac:dyDescent="0.2">
      <c r="A2677" t="s">
        <v>9628</v>
      </c>
      <c r="B2677">
        <v>13051</v>
      </c>
      <c r="C2677" t="s">
        <v>9629</v>
      </c>
      <c r="E2677" t="s">
        <v>9630</v>
      </c>
      <c r="F2677" s="2">
        <v>525774577</v>
      </c>
      <c r="G2677" s="2">
        <v>134835874</v>
      </c>
      <c r="H2677" t="s">
        <v>38</v>
      </c>
      <c r="I2677" t="s">
        <v>17</v>
      </c>
      <c r="J2677" t="s">
        <v>25</v>
      </c>
    </row>
    <row r="2678" spans="1:11" x14ac:dyDescent="0.2">
      <c r="A2678" t="s">
        <v>9631</v>
      </c>
      <c r="B2678" t="s">
        <v>9632</v>
      </c>
      <c r="E2678" t="s">
        <v>9633</v>
      </c>
      <c r="F2678" s="2">
        <v>525169376</v>
      </c>
      <c r="G2678" s="2">
        <v>13309015</v>
      </c>
      <c r="H2678" t="s">
        <v>34</v>
      </c>
      <c r="I2678" t="s">
        <v>17</v>
      </c>
      <c r="J2678" t="s">
        <v>25</v>
      </c>
    </row>
    <row r="2679" spans="1:11" x14ac:dyDescent="0.2">
      <c r="A2679" t="s">
        <v>9634</v>
      </c>
      <c r="B2679" t="s">
        <v>9635</v>
      </c>
      <c r="F2679" s="2">
        <v>423932321</v>
      </c>
      <c r="G2679" s="2">
        <v>-715974124</v>
      </c>
      <c r="H2679" t="s">
        <v>28</v>
      </c>
      <c r="I2679" t="s">
        <v>17</v>
      </c>
      <c r="J2679" t="s">
        <v>25</v>
      </c>
    </row>
    <row r="2680" spans="1:11" x14ac:dyDescent="0.2">
      <c r="A2680" t="s">
        <v>9636</v>
      </c>
      <c r="F2680" s="2">
        <v>525805494</v>
      </c>
      <c r="G2680" s="2">
        <v>133997426</v>
      </c>
      <c r="H2680" t="s">
        <v>28</v>
      </c>
      <c r="I2680" t="s">
        <v>17</v>
      </c>
      <c r="J2680" t="s">
        <v>25</v>
      </c>
    </row>
    <row r="2681" spans="1:11" x14ac:dyDescent="0.2">
      <c r="A2681" t="s">
        <v>9637</v>
      </c>
      <c r="B2681" t="s">
        <v>9638</v>
      </c>
      <c r="E2681" t="s">
        <v>9639</v>
      </c>
      <c r="F2681" s="2">
        <v>525278487</v>
      </c>
      <c r="G2681" s="2">
        <v>134009116</v>
      </c>
      <c r="H2681" t="s">
        <v>34</v>
      </c>
      <c r="I2681" t="s">
        <v>17</v>
      </c>
      <c r="J2681" t="s">
        <v>25</v>
      </c>
    </row>
    <row r="2682" spans="1:11" x14ac:dyDescent="0.2">
      <c r="A2682" t="s">
        <v>9640</v>
      </c>
      <c r="C2682" t="s">
        <v>9641</v>
      </c>
      <c r="E2682" t="s">
        <v>9642</v>
      </c>
      <c r="F2682" s="2">
        <v>525198912</v>
      </c>
      <c r="G2682" s="2">
        <v>131969955</v>
      </c>
      <c r="H2682" t="s">
        <v>38</v>
      </c>
      <c r="I2682" t="s">
        <v>17</v>
      </c>
      <c r="J2682" t="s">
        <v>25</v>
      </c>
    </row>
    <row r="2683" spans="1:11" x14ac:dyDescent="0.2">
      <c r="A2683" t="s">
        <v>9643</v>
      </c>
      <c r="B2683" t="s">
        <v>9644</v>
      </c>
      <c r="C2683" t="s">
        <v>9645</v>
      </c>
      <c r="E2683" t="s">
        <v>9646</v>
      </c>
      <c r="F2683" s="2">
        <v>525276428</v>
      </c>
      <c r="G2683" s="2">
        <v>131955284</v>
      </c>
      <c r="H2683" t="s">
        <v>38</v>
      </c>
      <c r="I2683" t="s">
        <v>17</v>
      </c>
      <c r="J2683" t="s">
        <v>25</v>
      </c>
    </row>
    <row r="2684" spans="1:11" x14ac:dyDescent="0.2">
      <c r="A2684" t="s">
        <v>9647</v>
      </c>
      <c r="B2684" t="s">
        <v>9648</v>
      </c>
      <c r="E2684">
        <v>493054773192</v>
      </c>
      <c r="F2684" s="2">
        <v>525253498</v>
      </c>
      <c r="G2684" s="2">
        <v>131972417</v>
      </c>
      <c r="H2684" t="s">
        <v>34</v>
      </c>
      <c r="I2684" t="s">
        <v>17</v>
      </c>
      <c r="J2684" t="s">
        <v>25</v>
      </c>
    </row>
    <row r="2685" spans="1:11" x14ac:dyDescent="0.2">
      <c r="A2685" t="s">
        <v>9649</v>
      </c>
      <c r="B2685" t="s">
        <v>9650</v>
      </c>
      <c r="F2685" s="2">
        <v>525142513</v>
      </c>
      <c r="G2685" s="2">
        <v>133971703</v>
      </c>
      <c r="H2685" t="s">
        <v>28</v>
      </c>
      <c r="I2685" t="s">
        <v>17</v>
      </c>
      <c r="J2685" t="s">
        <v>25</v>
      </c>
    </row>
    <row r="2686" spans="1:11" x14ac:dyDescent="0.2">
      <c r="A2686" t="s">
        <v>9651</v>
      </c>
      <c r="B2686" t="s">
        <v>9652</v>
      </c>
      <c r="C2686" t="s">
        <v>9653</v>
      </c>
      <c r="D2686" t="s">
        <v>9654</v>
      </c>
      <c r="E2686" t="s">
        <v>9655</v>
      </c>
      <c r="F2686" s="2">
        <v>52492685</v>
      </c>
      <c r="G2686" s="2">
        <v>133327683</v>
      </c>
      <c r="H2686" t="s">
        <v>51</v>
      </c>
      <c r="I2686" t="s">
        <v>17</v>
      </c>
      <c r="J2686" t="s">
        <v>25</v>
      </c>
      <c r="K2686" t="s">
        <v>9656</v>
      </c>
    </row>
    <row r="2687" spans="1:11" x14ac:dyDescent="0.2">
      <c r="A2687" t="s">
        <v>9657</v>
      </c>
      <c r="B2687" t="s">
        <v>9658</v>
      </c>
      <c r="C2687" t="s">
        <v>9659</v>
      </c>
      <c r="E2687" t="s">
        <v>9660</v>
      </c>
      <c r="F2687" s="2">
        <v>525602202</v>
      </c>
      <c r="G2687" s="2">
        <v>133813175</v>
      </c>
      <c r="H2687" t="s">
        <v>38</v>
      </c>
      <c r="I2687" t="s">
        <v>17</v>
      </c>
      <c r="J2687" t="s">
        <v>25</v>
      </c>
    </row>
    <row r="2688" spans="1:11" x14ac:dyDescent="0.2">
      <c r="A2688" t="s">
        <v>9661</v>
      </c>
      <c r="B2688" t="s">
        <v>9662</v>
      </c>
      <c r="C2688" t="s">
        <v>9663</v>
      </c>
      <c r="E2688" t="s">
        <v>9664</v>
      </c>
      <c r="F2688" s="2">
        <v>524879441</v>
      </c>
      <c r="G2688" s="2">
        <v>133339651</v>
      </c>
      <c r="H2688" t="s">
        <v>38</v>
      </c>
      <c r="I2688" t="s">
        <v>17</v>
      </c>
      <c r="J2688" t="s">
        <v>25</v>
      </c>
    </row>
    <row r="2689" spans="1:11" x14ac:dyDescent="0.2">
      <c r="A2689" t="s">
        <v>9665</v>
      </c>
      <c r="B2689" t="s">
        <v>9666</v>
      </c>
      <c r="F2689" s="2">
        <v>525549318</v>
      </c>
      <c r="G2689" s="2">
        <v>133843117</v>
      </c>
      <c r="H2689" t="s">
        <v>28</v>
      </c>
      <c r="I2689" t="s">
        <v>17</v>
      </c>
      <c r="J2689" t="s">
        <v>25</v>
      </c>
    </row>
    <row r="2690" spans="1:11" x14ac:dyDescent="0.2">
      <c r="A2690" t="s">
        <v>9667</v>
      </c>
      <c r="B2690" t="s">
        <v>9668</v>
      </c>
      <c r="E2690" t="s">
        <v>9669</v>
      </c>
      <c r="F2690" s="2">
        <v>52510419</v>
      </c>
      <c r="G2690" s="2">
        <v>134528586</v>
      </c>
      <c r="H2690" t="s">
        <v>34</v>
      </c>
      <c r="I2690" t="s">
        <v>17</v>
      </c>
      <c r="J2690" t="s">
        <v>25</v>
      </c>
    </row>
    <row r="2691" spans="1:11" x14ac:dyDescent="0.2">
      <c r="A2691" t="s">
        <v>9670</v>
      </c>
      <c r="B2691" t="s">
        <v>9671</v>
      </c>
      <c r="E2691" t="s">
        <v>9672</v>
      </c>
      <c r="F2691" s="2">
        <v>524375001</v>
      </c>
      <c r="G2691" s="2">
        <v>134459372</v>
      </c>
      <c r="H2691" t="s">
        <v>34</v>
      </c>
      <c r="I2691" t="s">
        <v>17</v>
      </c>
      <c r="J2691" t="s">
        <v>25</v>
      </c>
    </row>
    <row r="2692" spans="1:11" x14ac:dyDescent="0.2">
      <c r="A2692" t="s">
        <v>9673</v>
      </c>
      <c r="B2692" t="s">
        <v>9674</v>
      </c>
      <c r="E2692" t="s">
        <v>9675</v>
      </c>
      <c r="F2692" s="2">
        <v>524713941</v>
      </c>
      <c r="G2692" s="2">
        <v>133235588</v>
      </c>
      <c r="H2692" t="s">
        <v>34</v>
      </c>
      <c r="I2692" t="s">
        <v>17</v>
      </c>
      <c r="J2692" t="s">
        <v>25</v>
      </c>
    </row>
    <row r="2693" spans="1:11" x14ac:dyDescent="0.2">
      <c r="A2693" t="s">
        <v>9676</v>
      </c>
      <c r="B2693" t="s">
        <v>9677</v>
      </c>
      <c r="F2693" s="2">
        <v>524961554</v>
      </c>
      <c r="G2693" s="2">
        <v>134221262</v>
      </c>
      <c r="H2693" t="s">
        <v>28</v>
      </c>
      <c r="I2693" t="s">
        <v>17</v>
      </c>
      <c r="J2693" t="s">
        <v>25</v>
      </c>
    </row>
    <row r="2694" spans="1:11" x14ac:dyDescent="0.2">
      <c r="A2694" t="s">
        <v>9678</v>
      </c>
      <c r="B2694" t="s">
        <v>9679</v>
      </c>
      <c r="F2694" s="2">
        <v>525836356</v>
      </c>
      <c r="G2694" s="2">
        <v>132868347</v>
      </c>
      <c r="H2694" t="s">
        <v>28</v>
      </c>
      <c r="I2694" t="s">
        <v>17</v>
      </c>
      <c r="J2694" t="s">
        <v>25</v>
      </c>
    </row>
    <row r="2695" spans="1:11" x14ac:dyDescent="0.2">
      <c r="A2695" t="s">
        <v>9680</v>
      </c>
      <c r="B2695" t="s">
        <v>9681</v>
      </c>
      <c r="C2695" t="s">
        <v>9682</v>
      </c>
      <c r="E2695">
        <v>493055286406</v>
      </c>
      <c r="F2695" s="2">
        <v>52506562</v>
      </c>
      <c r="G2695" s="2">
        <v>133203813</v>
      </c>
      <c r="H2695" t="s">
        <v>277</v>
      </c>
      <c r="I2695" t="s">
        <v>17</v>
      </c>
      <c r="J2695" t="s">
        <v>25</v>
      </c>
      <c r="K2695" t="s">
        <v>9683</v>
      </c>
    </row>
    <row r="2696" spans="1:11" x14ac:dyDescent="0.2">
      <c r="A2696" t="s">
        <v>9684</v>
      </c>
      <c r="B2696" t="s">
        <v>9685</v>
      </c>
      <c r="F2696" s="2">
        <v>525297835</v>
      </c>
      <c r="G2696" s="2">
        <v>134105183</v>
      </c>
      <c r="H2696" t="s">
        <v>28</v>
      </c>
      <c r="I2696" t="s">
        <v>17</v>
      </c>
      <c r="J2696" t="s">
        <v>25</v>
      </c>
    </row>
    <row r="2697" spans="1:11" x14ac:dyDescent="0.2">
      <c r="A2697" t="s">
        <v>9686</v>
      </c>
      <c r="B2697" t="s">
        <v>9687</v>
      </c>
      <c r="C2697" t="s">
        <v>9688</v>
      </c>
      <c r="D2697" t="s">
        <v>9689</v>
      </c>
      <c r="E2697">
        <v>493086457645</v>
      </c>
      <c r="F2697" s="2">
        <v>525938965</v>
      </c>
      <c r="G2697" s="2">
        <v>133325595</v>
      </c>
      <c r="H2697" t="s">
        <v>51</v>
      </c>
      <c r="I2697" t="s">
        <v>17</v>
      </c>
      <c r="J2697" t="s">
        <v>25</v>
      </c>
      <c r="K2697" t="s">
        <v>9690</v>
      </c>
    </row>
    <row r="2698" spans="1:11" x14ac:dyDescent="0.2">
      <c r="A2698" t="s">
        <v>9691</v>
      </c>
      <c r="F2698" s="2">
        <v>525253086</v>
      </c>
      <c r="G2698" s="2">
        <v>13329871</v>
      </c>
      <c r="H2698" t="s">
        <v>28</v>
      </c>
      <c r="I2698" t="s">
        <v>17</v>
      </c>
      <c r="J2698" t="s">
        <v>25</v>
      </c>
    </row>
    <row r="2699" spans="1:11" x14ac:dyDescent="0.2">
      <c r="A2699" t="s">
        <v>9692</v>
      </c>
      <c r="B2699" t="s">
        <v>9693</v>
      </c>
      <c r="C2699" t="s">
        <v>9694</v>
      </c>
      <c r="D2699" t="s">
        <v>9695</v>
      </c>
      <c r="E2699" t="s">
        <v>9696</v>
      </c>
      <c r="F2699" s="2">
        <v>525114395</v>
      </c>
      <c r="G2699" s="2">
        <v>133007122</v>
      </c>
      <c r="H2699" t="s">
        <v>24</v>
      </c>
      <c r="I2699" t="s">
        <v>17</v>
      </c>
      <c r="J2699" t="s">
        <v>25</v>
      </c>
    </row>
    <row r="2700" spans="1:11" x14ac:dyDescent="0.2">
      <c r="A2700" t="s">
        <v>9697</v>
      </c>
      <c r="B2700" t="s">
        <v>9698</v>
      </c>
      <c r="F2700" s="2">
        <v>524855588</v>
      </c>
      <c r="G2700" s="2">
        <v>133574754</v>
      </c>
      <c r="H2700" t="s">
        <v>28</v>
      </c>
      <c r="I2700" t="s">
        <v>17</v>
      </c>
      <c r="J2700" t="s">
        <v>25</v>
      </c>
    </row>
    <row r="2701" spans="1:11" x14ac:dyDescent="0.2">
      <c r="A2701" t="s">
        <v>9699</v>
      </c>
      <c r="F2701" s="2">
        <v>524495838</v>
      </c>
      <c r="G2701" s="2">
        <v>133486242</v>
      </c>
      <c r="H2701" t="s">
        <v>28</v>
      </c>
      <c r="I2701" t="s">
        <v>17</v>
      </c>
      <c r="J2701" t="s">
        <v>25</v>
      </c>
    </row>
    <row r="2702" spans="1:11" x14ac:dyDescent="0.2">
      <c r="A2702" t="s">
        <v>9700</v>
      </c>
      <c r="B2702" t="s">
        <v>9701</v>
      </c>
      <c r="C2702" t="s">
        <v>9702</v>
      </c>
      <c r="F2702" s="2">
        <v>525290127</v>
      </c>
      <c r="G2702" s="2">
        <v>133847516</v>
      </c>
      <c r="H2702" t="s">
        <v>3120</v>
      </c>
      <c r="I2702" t="s">
        <v>17</v>
      </c>
      <c r="J2702" t="s">
        <v>25</v>
      </c>
      <c r="K2702" t="s">
        <v>3126</v>
      </c>
    </row>
    <row r="2703" spans="1:11" x14ac:dyDescent="0.2">
      <c r="A2703" t="s">
        <v>9703</v>
      </c>
      <c r="B2703" t="s">
        <v>9704</v>
      </c>
      <c r="C2703" t="s">
        <v>9705</v>
      </c>
      <c r="D2703" t="s">
        <v>9706</v>
      </c>
      <c r="E2703" t="s">
        <v>9707</v>
      </c>
      <c r="F2703" s="2">
        <v>525009915</v>
      </c>
      <c r="G2703" s="2">
        <v>133395142</v>
      </c>
      <c r="H2703" t="s">
        <v>51</v>
      </c>
      <c r="I2703" t="s">
        <v>17</v>
      </c>
      <c r="J2703" t="s">
        <v>25</v>
      </c>
      <c r="K2703" t="s">
        <v>9708</v>
      </c>
    </row>
    <row r="2704" spans="1:11" x14ac:dyDescent="0.2">
      <c r="A2704" t="s">
        <v>9709</v>
      </c>
      <c r="B2704" t="s">
        <v>9710</v>
      </c>
      <c r="C2704" t="s">
        <v>9711</v>
      </c>
      <c r="E2704" t="s">
        <v>9712</v>
      </c>
      <c r="F2704" s="2">
        <v>524999653</v>
      </c>
      <c r="G2704" s="2">
        <v>134074006</v>
      </c>
      <c r="H2704" t="s">
        <v>38</v>
      </c>
      <c r="I2704" t="s">
        <v>17</v>
      </c>
      <c r="J2704" t="s">
        <v>25</v>
      </c>
    </row>
    <row r="2705" spans="1:11" x14ac:dyDescent="0.2">
      <c r="A2705" t="s">
        <v>9713</v>
      </c>
      <c r="B2705" t="s">
        <v>9714</v>
      </c>
      <c r="E2705">
        <v>4917622024470</v>
      </c>
      <c r="F2705" s="2">
        <v>525509976</v>
      </c>
      <c r="G2705" s="2">
        <v>134113911</v>
      </c>
      <c r="H2705" t="s">
        <v>34</v>
      </c>
      <c r="I2705" t="s">
        <v>17</v>
      </c>
      <c r="J2705" t="s">
        <v>25</v>
      </c>
    </row>
    <row r="2706" spans="1:11" x14ac:dyDescent="0.2">
      <c r="A2706" t="s">
        <v>9715</v>
      </c>
      <c r="B2706" t="s">
        <v>9716</v>
      </c>
      <c r="C2706" t="s">
        <v>9717</v>
      </c>
      <c r="F2706" s="2">
        <v>52528181</v>
      </c>
      <c r="G2706" s="2">
        <v>134005219</v>
      </c>
      <c r="H2706" t="s">
        <v>255</v>
      </c>
      <c r="I2706" t="s">
        <v>17</v>
      </c>
      <c r="J2706" t="s">
        <v>25</v>
      </c>
    </row>
    <row r="2707" spans="1:11" x14ac:dyDescent="0.2">
      <c r="A2707" t="s">
        <v>9718</v>
      </c>
      <c r="B2707" t="s">
        <v>9719</v>
      </c>
      <c r="F2707" s="2">
        <v>525278787</v>
      </c>
      <c r="G2707" s="2">
        <v>133866856</v>
      </c>
      <c r="H2707" t="s">
        <v>28</v>
      </c>
      <c r="I2707" t="s">
        <v>17</v>
      </c>
      <c r="J2707" t="s">
        <v>25</v>
      </c>
    </row>
    <row r="2708" spans="1:11" x14ac:dyDescent="0.2">
      <c r="A2708" t="s">
        <v>9720</v>
      </c>
      <c r="B2708" t="s">
        <v>9721</v>
      </c>
      <c r="D2708" t="s">
        <v>9722</v>
      </c>
      <c r="E2708" t="s">
        <v>9723</v>
      </c>
      <c r="F2708" s="2">
        <v>525484428</v>
      </c>
      <c r="G2708" s="2">
        <v>134139295</v>
      </c>
      <c r="H2708" t="s">
        <v>1107</v>
      </c>
      <c r="I2708" t="s">
        <v>17</v>
      </c>
      <c r="J2708" t="s">
        <v>25</v>
      </c>
    </row>
    <row r="2709" spans="1:11" x14ac:dyDescent="0.2">
      <c r="A2709" t="s">
        <v>9724</v>
      </c>
      <c r="B2709" t="s">
        <v>9725</v>
      </c>
      <c r="C2709" t="s">
        <v>9726</v>
      </c>
      <c r="D2709" t="s">
        <v>9727</v>
      </c>
      <c r="E2709" t="s">
        <v>9728</v>
      </c>
      <c r="F2709" s="2">
        <v>524988314</v>
      </c>
      <c r="G2709" s="2">
        <v>134257939</v>
      </c>
      <c r="H2709" t="s">
        <v>24</v>
      </c>
      <c r="I2709" t="s">
        <v>17</v>
      </c>
      <c r="J2709" t="s">
        <v>25</v>
      </c>
    </row>
    <row r="2710" spans="1:11" x14ac:dyDescent="0.2">
      <c r="A2710" t="s">
        <v>9729</v>
      </c>
      <c r="B2710" t="s">
        <v>9730</v>
      </c>
      <c r="C2710" t="s">
        <v>9731</v>
      </c>
      <c r="E2710" t="s">
        <v>9732</v>
      </c>
      <c r="F2710" s="2">
        <v>524990633</v>
      </c>
      <c r="G2710" s="2">
        <v>134280194</v>
      </c>
      <c r="H2710" t="s">
        <v>38</v>
      </c>
      <c r="I2710" t="s">
        <v>17</v>
      </c>
      <c r="J2710" t="s">
        <v>25</v>
      </c>
    </row>
    <row r="2711" spans="1:11" x14ac:dyDescent="0.2">
      <c r="A2711" t="s">
        <v>9733</v>
      </c>
      <c r="F2711" s="2">
        <v>524933124</v>
      </c>
      <c r="G2711" s="2">
        <v>134346946</v>
      </c>
      <c r="H2711" t="s">
        <v>28</v>
      </c>
      <c r="I2711" t="s">
        <v>17</v>
      </c>
      <c r="J2711" t="s">
        <v>25</v>
      </c>
    </row>
    <row r="2712" spans="1:11" x14ac:dyDescent="0.2">
      <c r="A2712" t="s">
        <v>9734</v>
      </c>
      <c r="F2712" s="2">
        <v>524935632</v>
      </c>
      <c r="G2712" s="2">
        <v>134364653</v>
      </c>
      <c r="H2712" t="s">
        <v>28</v>
      </c>
      <c r="I2712" t="s">
        <v>17</v>
      </c>
      <c r="J2712" t="s">
        <v>25</v>
      </c>
    </row>
    <row r="2713" spans="1:11" x14ac:dyDescent="0.2">
      <c r="A2713" t="s">
        <v>9735</v>
      </c>
      <c r="B2713" t="s">
        <v>9736</v>
      </c>
      <c r="C2713" t="s">
        <v>9737</v>
      </c>
      <c r="D2713" t="s">
        <v>9738</v>
      </c>
      <c r="F2713" s="2">
        <v>525140533</v>
      </c>
      <c r="G2713" s="2">
        <v>133186373</v>
      </c>
      <c r="H2713" t="s">
        <v>24</v>
      </c>
      <c r="I2713" t="s">
        <v>17</v>
      </c>
      <c r="J2713" t="s">
        <v>25</v>
      </c>
    </row>
    <row r="2714" spans="1:11" x14ac:dyDescent="0.2">
      <c r="A2714" t="s">
        <v>9739</v>
      </c>
      <c r="B2714" t="s">
        <v>9740</v>
      </c>
      <c r="E2714" t="s">
        <v>9741</v>
      </c>
      <c r="F2714" s="2">
        <v>525423379</v>
      </c>
      <c r="G2714" s="2">
        <v>135453165</v>
      </c>
      <c r="H2714" t="s">
        <v>34</v>
      </c>
      <c r="I2714" t="s">
        <v>17</v>
      </c>
      <c r="J2714" t="s">
        <v>25</v>
      </c>
    </row>
    <row r="2715" spans="1:11" x14ac:dyDescent="0.2">
      <c r="A2715" t="s">
        <v>9742</v>
      </c>
      <c r="B2715" t="s">
        <v>9743</v>
      </c>
      <c r="C2715" t="s">
        <v>9744</v>
      </c>
      <c r="F2715" s="2">
        <v>525302541</v>
      </c>
      <c r="G2715" s="2">
        <v>13383728</v>
      </c>
      <c r="H2715" t="s">
        <v>255</v>
      </c>
      <c r="I2715" t="s">
        <v>17</v>
      </c>
      <c r="J2715" t="s">
        <v>25</v>
      </c>
    </row>
    <row r="2716" spans="1:11" x14ac:dyDescent="0.2">
      <c r="A2716" t="s">
        <v>9745</v>
      </c>
      <c r="B2716" t="s">
        <v>9746</v>
      </c>
      <c r="C2716" t="s">
        <v>9747</v>
      </c>
      <c r="D2716" t="s">
        <v>9748</v>
      </c>
      <c r="E2716" t="s">
        <v>9749</v>
      </c>
      <c r="F2716" s="2">
        <v>525163833</v>
      </c>
      <c r="G2716" s="2">
        <v>133880749</v>
      </c>
      <c r="H2716" t="s">
        <v>51</v>
      </c>
      <c r="I2716" t="s">
        <v>17</v>
      </c>
      <c r="J2716" t="s">
        <v>25</v>
      </c>
      <c r="K2716" t="s">
        <v>9750</v>
      </c>
    </row>
    <row r="2717" spans="1:11" x14ac:dyDescent="0.2">
      <c r="A2717" t="s">
        <v>9751</v>
      </c>
      <c r="B2717" t="s">
        <v>9752</v>
      </c>
      <c r="C2717" t="s">
        <v>9753</v>
      </c>
      <c r="F2717" s="2">
        <v>52537777</v>
      </c>
      <c r="G2717" s="2">
        <v>132162095</v>
      </c>
      <c r="H2717" t="s">
        <v>38</v>
      </c>
      <c r="I2717" t="s">
        <v>17</v>
      </c>
      <c r="J2717" t="s">
        <v>25</v>
      </c>
    </row>
    <row r="2718" spans="1:11" x14ac:dyDescent="0.2">
      <c r="A2718" t="s">
        <v>9754</v>
      </c>
      <c r="B2718" t="s">
        <v>9755</v>
      </c>
      <c r="C2718" t="s">
        <v>9756</v>
      </c>
      <c r="E2718" t="s">
        <v>9757</v>
      </c>
      <c r="F2718" s="2">
        <v>524512852</v>
      </c>
      <c r="G2718" s="2">
        <v>133372211</v>
      </c>
      <c r="H2718" t="s">
        <v>38</v>
      </c>
      <c r="I2718" t="s">
        <v>17</v>
      </c>
      <c r="J2718" t="s">
        <v>25</v>
      </c>
    </row>
    <row r="2719" spans="1:11" x14ac:dyDescent="0.2">
      <c r="A2719" t="s">
        <v>9758</v>
      </c>
      <c r="F2719" s="2">
        <v>524395351</v>
      </c>
      <c r="G2719" s="2">
        <v>134602529</v>
      </c>
      <c r="H2719" t="s">
        <v>28</v>
      </c>
      <c r="I2719" t="s">
        <v>17</v>
      </c>
      <c r="J2719" t="s">
        <v>25</v>
      </c>
    </row>
    <row r="2720" spans="1:11" x14ac:dyDescent="0.2">
      <c r="A2720" t="s">
        <v>9759</v>
      </c>
      <c r="B2720" t="s">
        <v>4888</v>
      </c>
      <c r="C2720" t="s">
        <v>9760</v>
      </c>
      <c r="D2720" t="s">
        <v>9761</v>
      </c>
      <c r="E2720" t="s">
        <v>9762</v>
      </c>
      <c r="F2720" s="2">
        <v>525241939</v>
      </c>
      <c r="G2720" s="2">
        <v>133992695</v>
      </c>
      <c r="H2720" t="s">
        <v>51</v>
      </c>
      <c r="I2720" t="s">
        <v>17</v>
      </c>
      <c r="J2720" t="s">
        <v>25</v>
      </c>
      <c r="K2720" t="s">
        <v>9763</v>
      </c>
    </row>
    <row r="2721" spans="1:11" x14ac:dyDescent="0.2">
      <c r="A2721" t="s">
        <v>9764</v>
      </c>
      <c r="B2721" t="s">
        <v>9765</v>
      </c>
      <c r="C2721" t="s">
        <v>9766</v>
      </c>
      <c r="F2721" s="2">
        <v>525242768</v>
      </c>
      <c r="G2721" s="2">
        <v>133992434</v>
      </c>
      <c r="H2721" t="s">
        <v>38</v>
      </c>
      <c r="I2721" t="s">
        <v>17</v>
      </c>
      <c r="J2721" t="s">
        <v>25</v>
      </c>
    </row>
    <row r="2722" spans="1:11" x14ac:dyDescent="0.2">
      <c r="A2722" t="s">
        <v>9767</v>
      </c>
      <c r="B2722" t="s">
        <v>9768</v>
      </c>
      <c r="E2722">
        <v>493085736906</v>
      </c>
      <c r="F2722" s="2">
        <v>524888596</v>
      </c>
      <c r="G2722" s="2">
        <v>13353763</v>
      </c>
      <c r="H2722" t="s">
        <v>34</v>
      </c>
      <c r="I2722" t="s">
        <v>17</v>
      </c>
      <c r="J2722" t="s">
        <v>25</v>
      </c>
    </row>
    <row r="2723" spans="1:11" x14ac:dyDescent="0.2">
      <c r="A2723" t="s">
        <v>9769</v>
      </c>
      <c r="B2723" t="s">
        <v>9770</v>
      </c>
      <c r="C2723" t="s">
        <v>9771</v>
      </c>
      <c r="D2723" t="s">
        <v>9772</v>
      </c>
      <c r="E2723" t="s">
        <v>9773</v>
      </c>
      <c r="F2723" s="2">
        <v>525421444</v>
      </c>
      <c r="G2723" s="2">
        <v>135632001</v>
      </c>
      <c r="H2723" t="s">
        <v>16</v>
      </c>
      <c r="I2723" t="s">
        <v>17</v>
      </c>
      <c r="J2723" t="s">
        <v>25</v>
      </c>
    </row>
    <row r="2724" spans="1:11" x14ac:dyDescent="0.2">
      <c r="A2724" t="s">
        <v>9774</v>
      </c>
      <c r="B2724">
        <v>10439</v>
      </c>
      <c r="E2724" t="s">
        <v>9775</v>
      </c>
      <c r="F2724" s="2">
        <v>525527756</v>
      </c>
      <c r="G2724" s="2">
        <v>134139149</v>
      </c>
      <c r="H2724" t="s">
        <v>34</v>
      </c>
      <c r="I2724" t="s">
        <v>17</v>
      </c>
      <c r="J2724" t="s">
        <v>25</v>
      </c>
    </row>
    <row r="2725" spans="1:11" x14ac:dyDescent="0.2">
      <c r="A2725" t="s">
        <v>9776</v>
      </c>
      <c r="B2725" t="s">
        <v>9777</v>
      </c>
      <c r="C2725" t="s">
        <v>9778</v>
      </c>
      <c r="D2725" t="s">
        <v>9779</v>
      </c>
      <c r="E2725" t="s">
        <v>9780</v>
      </c>
      <c r="F2725" s="2">
        <v>52499487</v>
      </c>
      <c r="G2725" s="2">
        <v>133423224</v>
      </c>
      <c r="H2725" t="s">
        <v>24</v>
      </c>
      <c r="I2725" t="s">
        <v>17</v>
      </c>
      <c r="J2725" t="s">
        <v>25</v>
      </c>
    </row>
    <row r="2726" spans="1:11" x14ac:dyDescent="0.2">
      <c r="A2726" t="s">
        <v>9781</v>
      </c>
      <c r="B2726" t="s">
        <v>9782</v>
      </c>
      <c r="F2726" s="2">
        <v>525235734</v>
      </c>
      <c r="G2726" s="2">
        <v>134091132</v>
      </c>
      <c r="H2726" t="s">
        <v>28</v>
      </c>
      <c r="I2726" t="s">
        <v>17</v>
      </c>
      <c r="J2726" t="s">
        <v>25</v>
      </c>
    </row>
    <row r="2727" spans="1:11" x14ac:dyDescent="0.2">
      <c r="A2727" t="s">
        <v>9783</v>
      </c>
      <c r="B2727" t="s">
        <v>9784</v>
      </c>
      <c r="C2727" t="s">
        <v>9785</v>
      </c>
      <c r="E2727" t="s">
        <v>9786</v>
      </c>
      <c r="F2727" s="2">
        <v>525048782</v>
      </c>
      <c r="G2727" s="2">
        <v>133970187</v>
      </c>
      <c r="H2727" t="s">
        <v>38</v>
      </c>
      <c r="I2727" t="s">
        <v>17</v>
      </c>
      <c r="J2727" t="s">
        <v>25</v>
      </c>
    </row>
    <row r="2728" spans="1:11" x14ac:dyDescent="0.2">
      <c r="A2728" t="s">
        <v>9787</v>
      </c>
      <c r="B2728" t="s">
        <v>9788</v>
      </c>
      <c r="C2728" t="s">
        <v>9789</v>
      </c>
      <c r="E2728">
        <v>493084711471</v>
      </c>
      <c r="F2728" s="2">
        <v>525322204</v>
      </c>
      <c r="G2728" s="2">
        <v>133931409</v>
      </c>
      <c r="H2728" t="s">
        <v>277</v>
      </c>
      <c r="I2728" t="s">
        <v>17</v>
      </c>
      <c r="J2728" t="s">
        <v>25</v>
      </c>
      <c r="K2728" t="s">
        <v>9790</v>
      </c>
    </row>
    <row r="2729" spans="1:11" x14ac:dyDescent="0.2">
      <c r="A2729" t="s">
        <v>9791</v>
      </c>
      <c r="B2729" t="s">
        <v>9792</v>
      </c>
      <c r="F2729" s="2">
        <v>524947077</v>
      </c>
      <c r="G2729" s="2">
        <v>133018015</v>
      </c>
      <c r="H2729" t="s">
        <v>28</v>
      </c>
      <c r="I2729" t="s">
        <v>17</v>
      </c>
      <c r="J2729" t="s">
        <v>25</v>
      </c>
    </row>
    <row r="2730" spans="1:11" x14ac:dyDescent="0.2">
      <c r="A2730" t="s">
        <v>9793</v>
      </c>
      <c r="B2730" t="s">
        <v>9794</v>
      </c>
      <c r="C2730" t="s">
        <v>9795</v>
      </c>
      <c r="D2730" t="s">
        <v>9796</v>
      </c>
      <c r="E2730" t="s">
        <v>9797</v>
      </c>
      <c r="F2730" s="2">
        <v>524962163</v>
      </c>
      <c r="G2730" s="2">
        <v>133586509</v>
      </c>
      <c r="H2730" t="s">
        <v>51</v>
      </c>
      <c r="I2730" t="s">
        <v>17</v>
      </c>
      <c r="J2730" t="s">
        <v>25</v>
      </c>
      <c r="K2730" t="s">
        <v>9798</v>
      </c>
    </row>
    <row r="2731" spans="1:11" x14ac:dyDescent="0.2">
      <c r="A2731" t="s">
        <v>9799</v>
      </c>
      <c r="B2731" t="s">
        <v>9800</v>
      </c>
      <c r="F2731" s="2">
        <v>525086244</v>
      </c>
      <c r="G2731" s="2">
        <v>134620115</v>
      </c>
      <c r="H2731" t="s">
        <v>28</v>
      </c>
      <c r="I2731" t="s">
        <v>17</v>
      </c>
      <c r="J2731" t="s">
        <v>25</v>
      </c>
    </row>
    <row r="2732" spans="1:11" x14ac:dyDescent="0.2">
      <c r="A2732" t="s">
        <v>9801</v>
      </c>
      <c r="F2732" s="2">
        <v>525552196</v>
      </c>
      <c r="G2732" s="2">
        <v>134388235</v>
      </c>
      <c r="H2732" t="s">
        <v>28</v>
      </c>
      <c r="I2732" t="s">
        <v>17</v>
      </c>
      <c r="J2732" t="s">
        <v>25</v>
      </c>
    </row>
    <row r="2733" spans="1:11" x14ac:dyDescent="0.2">
      <c r="A2733" t="s">
        <v>9802</v>
      </c>
      <c r="B2733" t="s">
        <v>9803</v>
      </c>
      <c r="C2733" t="s">
        <v>9804</v>
      </c>
      <c r="E2733" t="s">
        <v>9805</v>
      </c>
      <c r="F2733" s="2">
        <v>524713541</v>
      </c>
      <c r="G2733" s="2">
        <v>133336298</v>
      </c>
      <c r="H2733" t="s">
        <v>38</v>
      </c>
      <c r="I2733" t="s">
        <v>17</v>
      </c>
      <c r="J2733" t="s">
        <v>25</v>
      </c>
    </row>
    <row r="2734" spans="1:11" x14ac:dyDescent="0.2">
      <c r="A2734" t="s">
        <v>9806</v>
      </c>
      <c r="B2734" t="s">
        <v>9807</v>
      </c>
      <c r="C2734" t="s">
        <v>9808</v>
      </c>
      <c r="D2734" t="s">
        <v>9809</v>
      </c>
      <c r="E2734" t="s">
        <v>9810</v>
      </c>
      <c r="F2734" s="2">
        <v>524687203</v>
      </c>
      <c r="G2734" s="2">
        <v>133852062</v>
      </c>
      <c r="H2734" t="s">
        <v>16</v>
      </c>
      <c r="I2734" t="s">
        <v>17</v>
      </c>
      <c r="J2734" t="s">
        <v>25</v>
      </c>
    </row>
    <row r="2735" spans="1:11" x14ac:dyDescent="0.2">
      <c r="A2735" t="s">
        <v>9811</v>
      </c>
      <c r="B2735" t="s">
        <v>9812</v>
      </c>
      <c r="C2735" t="s">
        <v>9813</v>
      </c>
      <c r="E2735" t="s">
        <v>9814</v>
      </c>
      <c r="F2735" s="2">
        <v>525413634</v>
      </c>
      <c r="G2735" s="2">
        <v>134151335</v>
      </c>
      <c r="H2735" t="s">
        <v>277</v>
      </c>
      <c r="I2735" t="s">
        <v>17</v>
      </c>
      <c r="J2735" t="s">
        <v>25</v>
      </c>
      <c r="K2735" t="s">
        <v>9815</v>
      </c>
    </row>
    <row r="2736" spans="1:11" x14ac:dyDescent="0.2">
      <c r="A2736" t="s">
        <v>9816</v>
      </c>
      <c r="B2736" t="s">
        <v>9817</v>
      </c>
      <c r="C2736" t="s">
        <v>9818</v>
      </c>
      <c r="E2736" t="s">
        <v>9819</v>
      </c>
      <c r="F2736" s="2">
        <v>5250832</v>
      </c>
      <c r="G2736" s="2">
        <v>13393952</v>
      </c>
      <c r="H2736" t="s">
        <v>38</v>
      </c>
      <c r="I2736" t="s">
        <v>17</v>
      </c>
      <c r="J2736" t="s">
        <v>25</v>
      </c>
    </row>
    <row r="2737" spans="1:11" x14ac:dyDescent="0.2">
      <c r="A2737" t="s">
        <v>9820</v>
      </c>
      <c r="B2737" t="s">
        <v>9821</v>
      </c>
      <c r="C2737" t="s">
        <v>9822</v>
      </c>
      <c r="E2737" t="s">
        <v>9823</v>
      </c>
      <c r="F2737" s="2">
        <v>524404703</v>
      </c>
      <c r="G2737" s="2">
        <v>133874819</v>
      </c>
      <c r="H2737" t="s">
        <v>38</v>
      </c>
      <c r="I2737" t="s">
        <v>17</v>
      </c>
      <c r="J2737" t="s">
        <v>25</v>
      </c>
    </row>
    <row r="2738" spans="1:11" x14ac:dyDescent="0.2">
      <c r="A2738" t="s">
        <v>9824</v>
      </c>
      <c r="B2738" t="s">
        <v>9825</v>
      </c>
      <c r="C2738" t="s">
        <v>9826</v>
      </c>
      <c r="D2738" t="s">
        <v>9827</v>
      </c>
      <c r="E2738" t="s">
        <v>9828</v>
      </c>
      <c r="F2738" s="2">
        <v>525406217</v>
      </c>
      <c r="G2738" s="2">
        <v>132066064</v>
      </c>
      <c r="H2738" t="s">
        <v>51</v>
      </c>
      <c r="I2738" t="s">
        <v>17</v>
      </c>
      <c r="J2738" t="s">
        <v>25</v>
      </c>
      <c r="K2738" t="s">
        <v>9829</v>
      </c>
    </row>
    <row r="2739" spans="1:11" x14ac:dyDescent="0.2">
      <c r="A2739" t="s">
        <v>9830</v>
      </c>
      <c r="C2739" t="s">
        <v>9831</v>
      </c>
      <c r="F2739" s="2">
        <v>524880897</v>
      </c>
      <c r="G2739" s="2">
        <v>134075898</v>
      </c>
      <c r="H2739" t="s">
        <v>255</v>
      </c>
      <c r="I2739" t="s">
        <v>17</v>
      </c>
      <c r="J2739" t="s">
        <v>25</v>
      </c>
    </row>
    <row r="2740" spans="1:11" x14ac:dyDescent="0.2">
      <c r="A2740" t="s">
        <v>9832</v>
      </c>
      <c r="B2740" t="s">
        <v>9833</v>
      </c>
      <c r="C2740" t="s">
        <v>9834</v>
      </c>
      <c r="D2740" t="s">
        <v>9835</v>
      </c>
      <c r="E2740" t="s">
        <v>9836</v>
      </c>
      <c r="F2740" s="2">
        <v>525329566</v>
      </c>
      <c r="G2740" s="2">
        <v>133978192</v>
      </c>
      <c r="H2740" t="s">
        <v>51</v>
      </c>
      <c r="I2740" t="s">
        <v>17</v>
      </c>
      <c r="J2740" t="s">
        <v>25</v>
      </c>
      <c r="K2740" t="s">
        <v>9837</v>
      </c>
    </row>
    <row r="2741" spans="1:11" x14ac:dyDescent="0.2">
      <c r="A2741" t="s">
        <v>9838</v>
      </c>
      <c r="B2741" t="s">
        <v>9839</v>
      </c>
      <c r="F2741" s="2">
        <v>525701099</v>
      </c>
      <c r="G2741" s="2">
        <v>134051153</v>
      </c>
      <c r="H2741" t="s">
        <v>28</v>
      </c>
      <c r="I2741" t="s">
        <v>17</v>
      </c>
      <c r="J2741" t="s">
        <v>25</v>
      </c>
    </row>
    <row r="2742" spans="1:11" x14ac:dyDescent="0.2">
      <c r="A2742" t="s">
        <v>9840</v>
      </c>
      <c r="F2742" s="2">
        <v>525126087</v>
      </c>
      <c r="G2742" s="2">
        <v>13318317</v>
      </c>
      <c r="H2742" t="s">
        <v>28</v>
      </c>
      <c r="I2742" t="s">
        <v>17</v>
      </c>
      <c r="J2742" t="s">
        <v>25</v>
      </c>
    </row>
    <row r="2743" spans="1:11" x14ac:dyDescent="0.2">
      <c r="A2743" t="s">
        <v>9841</v>
      </c>
      <c r="B2743" t="s">
        <v>9842</v>
      </c>
      <c r="F2743" s="2">
        <v>525108384</v>
      </c>
      <c r="G2743" s="2">
        <v>133148931</v>
      </c>
      <c r="H2743" t="s">
        <v>28</v>
      </c>
      <c r="I2743" t="s">
        <v>17</v>
      </c>
      <c r="J2743" t="s">
        <v>25</v>
      </c>
    </row>
    <row r="2744" spans="1:11" x14ac:dyDescent="0.2">
      <c r="A2744" t="s">
        <v>9843</v>
      </c>
      <c r="B2744" t="s">
        <v>9844</v>
      </c>
      <c r="F2744" s="2">
        <v>525088818</v>
      </c>
      <c r="G2744" s="2">
        <v>133016726</v>
      </c>
      <c r="H2744" t="s">
        <v>28</v>
      </c>
      <c r="I2744" t="s">
        <v>17</v>
      </c>
      <c r="J2744" t="s">
        <v>25</v>
      </c>
    </row>
    <row r="2745" spans="1:11" x14ac:dyDescent="0.2">
      <c r="A2745" t="s">
        <v>9845</v>
      </c>
      <c r="B2745" t="s">
        <v>9846</v>
      </c>
      <c r="E2745" t="s">
        <v>9847</v>
      </c>
      <c r="F2745" s="2">
        <v>524993776</v>
      </c>
      <c r="G2745" s="2">
        <v>134433878</v>
      </c>
      <c r="H2745" t="s">
        <v>34</v>
      </c>
      <c r="I2745" t="s">
        <v>17</v>
      </c>
      <c r="J2745" t="s">
        <v>25</v>
      </c>
    </row>
    <row r="2746" spans="1:11" x14ac:dyDescent="0.2">
      <c r="A2746" t="s">
        <v>9848</v>
      </c>
      <c r="F2746" s="2">
        <v>524994745</v>
      </c>
      <c r="G2746" s="2">
        <v>134434794</v>
      </c>
      <c r="H2746" t="s">
        <v>28</v>
      </c>
      <c r="I2746" t="s">
        <v>17</v>
      </c>
      <c r="J2746" t="s">
        <v>25</v>
      </c>
    </row>
    <row r="2747" spans="1:11" x14ac:dyDescent="0.2">
      <c r="A2747" t="s">
        <v>9849</v>
      </c>
      <c r="B2747" t="s">
        <v>9850</v>
      </c>
      <c r="C2747" t="s">
        <v>9851</v>
      </c>
      <c r="D2747" t="s">
        <v>9852</v>
      </c>
      <c r="E2747">
        <v>493049781543</v>
      </c>
      <c r="F2747" s="2">
        <v>524963024</v>
      </c>
      <c r="G2747" s="2">
        <v>134417108</v>
      </c>
      <c r="H2747" t="s">
        <v>24</v>
      </c>
      <c r="I2747" t="s">
        <v>17</v>
      </c>
      <c r="J2747" t="s">
        <v>25</v>
      </c>
    </row>
    <row r="2748" spans="1:11" x14ac:dyDescent="0.2">
      <c r="A2748" t="s">
        <v>9853</v>
      </c>
      <c r="F2748" s="2">
        <v>524994994</v>
      </c>
      <c r="G2748" s="2">
        <v>134285435</v>
      </c>
      <c r="H2748" t="s">
        <v>28</v>
      </c>
      <c r="I2748" t="s">
        <v>17</v>
      </c>
      <c r="J2748" t="s">
        <v>25</v>
      </c>
    </row>
    <row r="2749" spans="1:11" x14ac:dyDescent="0.2">
      <c r="A2749" t="s">
        <v>9854</v>
      </c>
      <c r="B2749" t="s">
        <v>9855</v>
      </c>
      <c r="F2749" s="2">
        <v>524899565</v>
      </c>
      <c r="G2749" s="2">
        <v>134254522</v>
      </c>
      <c r="H2749" t="s">
        <v>28</v>
      </c>
      <c r="I2749" t="s">
        <v>17</v>
      </c>
      <c r="J2749" t="s">
        <v>25</v>
      </c>
    </row>
    <row r="2750" spans="1:11" x14ac:dyDescent="0.2">
      <c r="A2750" t="s">
        <v>9856</v>
      </c>
      <c r="C2750" t="s">
        <v>9857</v>
      </c>
      <c r="D2750" t="s">
        <v>9858</v>
      </c>
      <c r="E2750" t="s">
        <v>9859</v>
      </c>
      <c r="F2750" s="2">
        <v>524772604</v>
      </c>
      <c r="G2750" s="2">
        <v>134246919</v>
      </c>
      <c r="H2750" t="s">
        <v>24</v>
      </c>
      <c r="I2750" t="s">
        <v>17</v>
      </c>
      <c r="J2750" t="s">
        <v>25</v>
      </c>
    </row>
    <row r="2751" spans="1:11" x14ac:dyDescent="0.2">
      <c r="A2751" t="s">
        <v>9860</v>
      </c>
      <c r="B2751" t="s">
        <v>9861</v>
      </c>
      <c r="C2751" t="s">
        <v>9862</v>
      </c>
      <c r="E2751" t="s">
        <v>9863</v>
      </c>
      <c r="F2751" s="2">
        <v>524898493</v>
      </c>
      <c r="G2751" s="2">
        <v>133874846</v>
      </c>
      <c r="H2751" t="s">
        <v>277</v>
      </c>
      <c r="I2751" t="s">
        <v>17</v>
      </c>
      <c r="J2751" t="s">
        <v>25</v>
      </c>
      <c r="K2751" t="s">
        <v>9864</v>
      </c>
    </row>
    <row r="2752" spans="1:11" x14ac:dyDescent="0.2">
      <c r="A2752" t="s">
        <v>9865</v>
      </c>
      <c r="B2752" t="s">
        <v>9866</v>
      </c>
      <c r="E2752" t="s">
        <v>9867</v>
      </c>
      <c r="F2752" s="2">
        <v>52472929</v>
      </c>
      <c r="G2752" s="2">
        <v>133198005</v>
      </c>
      <c r="H2752" t="s">
        <v>34</v>
      </c>
      <c r="I2752" t="s">
        <v>17</v>
      </c>
      <c r="J2752" t="s">
        <v>25</v>
      </c>
    </row>
    <row r="2753" spans="1:11" x14ac:dyDescent="0.2">
      <c r="A2753" t="s">
        <v>9868</v>
      </c>
      <c r="C2753" t="s">
        <v>9869</v>
      </c>
      <c r="D2753" t="s">
        <v>9870</v>
      </c>
      <c r="E2753" t="s">
        <v>9871</v>
      </c>
      <c r="F2753" s="2">
        <v>525047113</v>
      </c>
      <c r="G2753" s="2">
        <v>133367946</v>
      </c>
      <c r="H2753" t="s">
        <v>24</v>
      </c>
      <c r="I2753" t="s">
        <v>17</v>
      </c>
      <c r="J2753" t="s">
        <v>25</v>
      </c>
    </row>
    <row r="2754" spans="1:11" x14ac:dyDescent="0.2">
      <c r="A2754" t="s">
        <v>9872</v>
      </c>
      <c r="B2754" t="s">
        <v>9873</v>
      </c>
      <c r="C2754" t="s">
        <v>9874</v>
      </c>
      <c r="D2754" t="s">
        <v>9875</v>
      </c>
      <c r="E2754" t="s">
        <v>9876</v>
      </c>
      <c r="F2754" s="2">
        <v>525271311</v>
      </c>
      <c r="G2754" s="2">
        <v>133704825</v>
      </c>
      <c r="H2754" t="s">
        <v>51</v>
      </c>
      <c r="I2754" t="s">
        <v>17</v>
      </c>
      <c r="J2754" t="s">
        <v>25</v>
      </c>
      <c r="K2754" t="s">
        <v>9877</v>
      </c>
    </row>
    <row r="2755" spans="1:11" x14ac:dyDescent="0.2">
      <c r="A2755" t="s">
        <v>9878</v>
      </c>
      <c r="B2755" t="s">
        <v>9879</v>
      </c>
      <c r="F2755" s="2">
        <v>524718307</v>
      </c>
      <c r="G2755" s="2">
        <v>133359382</v>
      </c>
      <c r="H2755" t="s">
        <v>28</v>
      </c>
      <c r="I2755" t="s">
        <v>17</v>
      </c>
      <c r="J2755" t="s">
        <v>25</v>
      </c>
    </row>
    <row r="2756" spans="1:11" x14ac:dyDescent="0.2">
      <c r="A2756" t="s">
        <v>9880</v>
      </c>
      <c r="B2756" t="s">
        <v>9881</v>
      </c>
      <c r="F2756" s="2">
        <v>398005323</v>
      </c>
      <c r="G2756" s="2">
        <v>-749396845</v>
      </c>
      <c r="H2756" t="s">
        <v>28</v>
      </c>
      <c r="I2756" t="s">
        <v>17</v>
      </c>
      <c r="J2756" t="s">
        <v>25</v>
      </c>
    </row>
    <row r="2757" spans="1:11" x14ac:dyDescent="0.2">
      <c r="A2757" t="s">
        <v>9882</v>
      </c>
      <c r="B2757" t="s">
        <v>9883</v>
      </c>
      <c r="C2757" t="s">
        <v>9884</v>
      </c>
      <c r="E2757" t="s">
        <v>9885</v>
      </c>
      <c r="F2757" s="2">
        <v>525247522</v>
      </c>
      <c r="G2757" s="2">
        <v>132983122</v>
      </c>
      <c r="H2757" t="s">
        <v>38</v>
      </c>
      <c r="I2757" t="s">
        <v>17</v>
      </c>
      <c r="J2757" t="s">
        <v>25</v>
      </c>
    </row>
    <row r="2758" spans="1:11" x14ac:dyDescent="0.2">
      <c r="A2758" t="s">
        <v>9886</v>
      </c>
      <c r="B2758" t="s">
        <v>9887</v>
      </c>
      <c r="F2758" s="2">
        <v>524985122</v>
      </c>
      <c r="G2758" s="2">
        <v>132572863</v>
      </c>
      <c r="H2758" t="s">
        <v>28</v>
      </c>
      <c r="I2758" t="s">
        <v>17</v>
      </c>
      <c r="J2758" t="s">
        <v>25</v>
      </c>
    </row>
    <row r="2759" spans="1:11" x14ac:dyDescent="0.2">
      <c r="A2759" t="s">
        <v>9888</v>
      </c>
      <c r="B2759" t="s">
        <v>9889</v>
      </c>
      <c r="F2759" s="2">
        <v>524771807</v>
      </c>
      <c r="G2759" s="2">
        <v>134260582</v>
      </c>
      <c r="H2759" t="s">
        <v>28</v>
      </c>
      <c r="I2759" t="s">
        <v>17</v>
      </c>
      <c r="J2759" t="s">
        <v>25</v>
      </c>
    </row>
    <row r="2760" spans="1:11" x14ac:dyDescent="0.2">
      <c r="A2760" t="s">
        <v>9890</v>
      </c>
      <c r="B2760" t="s">
        <v>9891</v>
      </c>
      <c r="E2760" t="s">
        <v>9892</v>
      </c>
      <c r="F2760" s="2">
        <v>524888481</v>
      </c>
      <c r="G2760" s="2">
        <v>133952041</v>
      </c>
      <c r="H2760" t="s">
        <v>34</v>
      </c>
      <c r="I2760" t="s">
        <v>17</v>
      </c>
      <c r="J2760" t="s">
        <v>25</v>
      </c>
    </row>
    <row r="2761" spans="1:11" x14ac:dyDescent="0.2">
      <c r="A2761" t="s">
        <v>9893</v>
      </c>
      <c r="B2761" t="s">
        <v>9894</v>
      </c>
      <c r="F2761" s="2">
        <v>525244126</v>
      </c>
      <c r="G2761" s="2">
        <v>13330112</v>
      </c>
      <c r="H2761" t="s">
        <v>28</v>
      </c>
      <c r="I2761" t="s">
        <v>17</v>
      </c>
      <c r="J2761" t="s">
        <v>25</v>
      </c>
    </row>
    <row r="2762" spans="1:11" x14ac:dyDescent="0.2">
      <c r="A2762" t="s">
        <v>9895</v>
      </c>
      <c r="C2762" t="s">
        <v>9896</v>
      </c>
      <c r="F2762" s="2">
        <v>525690622</v>
      </c>
      <c r="G2762" s="2">
        <v>134034887</v>
      </c>
      <c r="H2762" t="s">
        <v>255</v>
      </c>
      <c r="I2762" t="s">
        <v>17</v>
      </c>
      <c r="J2762" t="s">
        <v>25</v>
      </c>
    </row>
    <row r="2763" spans="1:11" x14ac:dyDescent="0.2">
      <c r="A2763" t="s">
        <v>9897</v>
      </c>
      <c r="B2763" t="s">
        <v>9898</v>
      </c>
      <c r="C2763" t="s">
        <v>9899</v>
      </c>
      <c r="D2763" t="s">
        <v>9900</v>
      </c>
      <c r="E2763" t="s">
        <v>9901</v>
      </c>
      <c r="F2763" s="2">
        <v>525367939</v>
      </c>
      <c r="G2763" s="2">
        <v>134232216</v>
      </c>
      <c r="H2763" t="s">
        <v>51</v>
      </c>
      <c r="I2763" t="s">
        <v>17</v>
      </c>
      <c r="J2763" t="s">
        <v>25</v>
      </c>
      <c r="K2763" t="s">
        <v>9902</v>
      </c>
    </row>
    <row r="2764" spans="1:11" x14ac:dyDescent="0.2">
      <c r="A2764" t="s">
        <v>9903</v>
      </c>
      <c r="B2764" t="s">
        <v>9904</v>
      </c>
      <c r="F2764" s="2">
        <v>525041331</v>
      </c>
      <c r="G2764" s="2">
        <v>133463943</v>
      </c>
      <c r="H2764" t="s">
        <v>28</v>
      </c>
      <c r="I2764" t="s">
        <v>17</v>
      </c>
      <c r="J2764" t="s">
        <v>25</v>
      </c>
    </row>
    <row r="2765" spans="1:11" x14ac:dyDescent="0.2">
      <c r="A2765" t="s">
        <v>9905</v>
      </c>
      <c r="B2765" t="s">
        <v>9906</v>
      </c>
      <c r="E2765" t="s">
        <v>9907</v>
      </c>
      <c r="F2765" s="2">
        <v>525450024</v>
      </c>
      <c r="G2765" s="2">
        <v>13421278</v>
      </c>
      <c r="H2765" t="s">
        <v>34</v>
      </c>
      <c r="I2765" t="s">
        <v>17</v>
      </c>
      <c r="J2765" t="s">
        <v>25</v>
      </c>
    </row>
    <row r="2766" spans="1:11" x14ac:dyDescent="0.2">
      <c r="A2766" t="s">
        <v>9908</v>
      </c>
      <c r="B2766" t="s">
        <v>9909</v>
      </c>
      <c r="C2766" t="s">
        <v>9910</v>
      </c>
      <c r="F2766" s="2">
        <v>525229753</v>
      </c>
      <c r="G2766" s="2">
        <v>134100471</v>
      </c>
      <c r="H2766" t="s">
        <v>277</v>
      </c>
      <c r="I2766" t="s">
        <v>17</v>
      </c>
      <c r="J2766" t="s">
        <v>25</v>
      </c>
      <c r="K2766" t="s">
        <v>9911</v>
      </c>
    </row>
    <row r="2767" spans="1:11" x14ac:dyDescent="0.2">
      <c r="A2767" t="s">
        <v>9912</v>
      </c>
      <c r="F2767" s="2">
        <v>525285922</v>
      </c>
      <c r="G2767" s="2">
        <v>134883512</v>
      </c>
      <c r="H2767" t="s">
        <v>28</v>
      </c>
      <c r="I2767" t="s">
        <v>17</v>
      </c>
      <c r="J2767" t="s">
        <v>25</v>
      </c>
    </row>
    <row r="2768" spans="1:11" x14ac:dyDescent="0.2">
      <c r="A2768" t="s">
        <v>9913</v>
      </c>
      <c r="B2768" t="s">
        <v>9914</v>
      </c>
      <c r="F2768" s="2">
        <v>52527644</v>
      </c>
      <c r="G2768" s="2">
        <v>133278621</v>
      </c>
      <c r="H2768" t="s">
        <v>28</v>
      </c>
      <c r="I2768" t="s">
        <v>17</v>
      </c>
      <c r="J2768" t="s">
        <v>25</v>
      </c>
    </row>
    <row r="2769" spans="1:11" x14ac:dyDescent="0.2">
      <c r="A2769" t="s">
        <v>9915</v>
      </c>
      <c r="B2769" t="s">
        <v>8462</v>
      </c>
      <c r="F2769" s="2">
        <v>525125208</v>
      </c>
      <c r="G2769" s="2">
        <v>133946586</v>
      </c>
      <c r="H2769" t="s">
        <v>28</v>
      </c>
      <c r="I2769" t="s">
        <v>17</v>
      </c>
      <c r="J2769" t="s">
        <v>25</v>
      </c>
    </row>
    <row r="2770" spans="1:11" x14ac:dyDescent="0.2">
      <c r="A2770" t="s">
        <v>9916</v>
      </c>
      <c r="B2770" t="s">
        <v>9917</v>
      </c>
      <c r="C2770" t="s">
        <v>9918</v>
      </c>
      <c r="E2770">
        <v>4930220005440</v>
      </c>
      <c r="F2770" s="2">
        <v>525108513</v>
      </c>
      <c r="G2770" s="2">
        <v>133764952</v>
      </c>
      <c r="H2770" t="s">
        <v>38</v>
      </c>
      <c r="I2770" t="s">
        <v>17</v>
      </c>
      <c r="J2770" t="s">
        <v>25</v>
      </c>
    </row>
    <row r="2771" spans="1:11" x14ac:dyDescent="0.2">
      <c r="A2771" t="s">
        <v>9919</v>
      </c>
      <c r="B2771" t="s">
        <v>9920</v>
      </c>
      <c r="C2771" t="s">
        <v>9921</v>
      </c>
      <c r="F2771" s="2">
        <v>525255469</v>
      </c>
      <c r="G2771" s="2">
        <v>133088501</v>
      </c>
      <c r="H2771" t="s">
        <v>38</v>
      </c>
      <c r="I2771" t="s">
        <v>17</v>
      </c>
      <c r="J2771" t="s">
        <v>25</v>
      </c>
    </row>
    <row r="2772" spans="1:11" x14ac:dyDescent="0.2">
      <c r="A2772" t="s">
        <v>9922</v>
      </c>
      <c r="F2772" s="2">
        <v>525162387</v>
      </c>
      <c r="G2772" s="2">
        <v>134549741</v>
      </c>
      <c r="H2772" t="s">
        <v>28</v>
      </c>
      <c r="I2772" t="s">
        <v>17</v>
      </c>
      <c r="J2772" t="s">
        <v>25</v>
      </c>
    </row>
    <row r="2773" spans="1:11" x14ac:dyDescent="0.2">
      <c r="A2773" t="s">
        <v>9923</v>
      </c>
      <c r="B2773" t="s">
        <v>9924</v>
      </c>
      <c r="C2773" t="s">
        <v>9925</v>
      </c>
      <c r="E2773" t="s">
        <v>9926</v>
      </c>
      <c r="F2773" s="2">
        <v>525220114</v>
      </c>
      <c r="G2773" s="2">
        <v>133266117</v>
      </c>
      <c r="H2773" t="s">
        <v>38</v>
      </c>
      <c r="I2773" t="s">
        <v>17</v>
      </c>
      <c r="J2773" t="s">
        <v>25</v>
      </c>
    </row>
    <row r="2774" spans="1:11" x14ac:dyDescent="0.2">
      <c r="A2774" t="s">
        <v>9927</v>
      </c>
      <c r="B2774" t="s">
        <v>9928</v>
      </c>
      <c r="C2774" t="s">
        <v>9929</v>
      </c>
      <c r="E2774" t="s">
        <v>9930</v>
      </c>
      <c r="F2774" s="2">
        <v>524944586</v>
      </c>
      <c r="G2774" s="2">
        <v>133835589</v>
      </c>
      <c r="H2774" t="s">
        <v>38</v>
      </c>
      <c r="I2774" t="s">
        <v>17</v>
      </c>
      <c r="J2774" t="s">
        <v>25</v>
      </c>
    </row>
    <row r="2775" spans="1:11" x14ac:dyDescent="0.2">
      <c r="A2775" t="s">
        <v>9931</v>
      </c>
      <c r="F2775" s="2">
        <v>525276459</v>
      </c>
      <c r="G2775" s="2">
        <v>134904682</v>
      </c>
      <c r="H2775" t="s">
        <v>28</v>
      </c>
      <c r="I2775" t="s">
        <v>17</v>
      </c>
      <c r="J2775" t="s">
        <v>25</v>
      </c>
    </row>
    <row r="2776" spans="1:11" x14ac:dyDescent="0.2">
      <c r="A2776" t="s">
        <v>9932</v>
      </c>
      <c r="B2776" t="s">
        <v>9933</v>
      </c>
      <c r="C2776" t="s">
        <v>9934</v>
      </c>
      <c r="F2776" s="2">
        <v>52511187</v>
      </c>
      <c r="G2776" s="2">
        <v>134265693</v>
      </c>
      <c r="H2776" t="s">
        <v>277</v>
      </c>
      <c r="I2776" t="s">
        <v>17</v>
      </c>
      <c r="J2776" t="s">
        <v>25</v>
      </c>
      <c r="K2776" t="s">
        <v>9935</v>
      </c>
    </row>
    <row r="2777" spans="1:11" x14ac:dyDescent="0.2">
      <c r="A2777" t="s">
        <v>9936</v>
      </c>
      <c r="B2777" t="s">
        <v>9937</v>
      </c>
      <c r="C2777" t="s">
        <v>9938</v>
      </c>
      <c r="D2777" t="s">
        <v>9939</v>
      </c>
      <c r="E2777" t="s">
        <v>9940</v>
      </c>
      <c r="F2777" s="2">
        <v>525493968</v>
      </c>
      <c r="G2777" s="2">
        <v>133616418</v>
      </c>
      <c r="H2777" t="s">
        <v>51</v>
      </c>
      <c r="I2777" t="s">
        <v>17</v>
      </c>
      <c r="J2777" t="s">
        <v>25</v>
      </c>
      <c r="K2777" t="s">
        <v>9941</v>
      </c>
    </row>
    <row r="2778" spans="1:11" x14ac:dyDescent="0.2">
      <c r="A2778" t="s">
        <v>9942</v>
      </c>
      <c r="B2778" t="s">
        <v>9943</v>
      </c>
      <c r="F2778" s="2">
        <v>524265262</v>
      </c>
      <c r="G2778" s="2">
        <v>133267471</v>
      </c>
      <c r="H2778" t="s">
        <v>28</v>
      </c>
      <c r="I2778" t="s">
        <v>17</v>
      </c>
      <c r="J2778" t="s">
        <v>25</v>
      </c>
    </row>
    <row r="2779" spans="1:11" x14ac:dyDescent="0.2">
      <c r="A2779" t="s">
        <v>9944</v>
      </c>
      <c r="B2779" t="s">
        <v>9945</v>
      </c>
      <c r="C2779" t="s">
        <v>9946</v>
      </c>
      <c r="D2779" t="s">
        <v>9947</v>
      </c>
      <c r="E2779">
        <v>493039722919</v>
      </c>
      <c r="F2779" s="2">
        <v>524608137</v>
      </c>
      <c r="G2779" s="2">
        <v>135129099</v>
      </c>
      <c r="H2779" t="s">
        <v>24</v>
      </c>
      <c r="I2779" t="s">
        <v>17</v>
      </c>
      <c r="J2779" t="s">
        <v>25</v>
      </c>
    </row>
    <row r="2780" spans="1:11" x14ac:dyDescent="0.2">
      <c r="A2780" t="s">
        <v>9948</v>
      </c>
      <c r="B2780" t="s">
        <v>9949</v>
      </c>
      <c r="F2780" s="2">
        <v>524323794</v>
      </c>
      <c r="G2780" s="2">
        <v>135368095</v>
      </c>
      <c r="H2780" t="s">
        <v>28</v>
      </c>
      <c r="I2780" t="s">
        <v>17</v>
      </c>
      <c r="J2780" t="s">
        <v>25</v>
      </c>
    </row>
    <row r="2781" spans="1:11" x14ac:dyDescent="0.2">
      <c r="A2781" t="s">
        <v>9950</v>
      </c>
      <c r="B2781" t="s">
        <v>9951</v>
      </c>
      <c r="F2781" s="2">
        <v>525132912</v>
      </c>
      <c r="G2781" s="2">
        <v>134585512</v>
      </c>
      <c r="H2781" t="s">
        <v>28</v>
      </c>
      <c r="I2781" t="s">
        <v>17</v>
      </c>
      <c r="J2781" t="s">
        <v>25</v>
      </c>
    </row>
    <row r="2782" spans="1:11" x14ac:dyDescent="0.2">
      <c r="A2782" t="s">
        <v>9952</v>
      </c>
      <c r="F2782" s="2">
        <v>525022475</v>
      </c>
      <c r="G2782" s="2">
        <v>134169045</v>
      </c>
      <c r="H2782" t="s">
        <v>28</v>
      </c>
      <c r="I2782" t="s">
        <v>17</v>
      </c>
      <c r="J2782" t="s">
        <v>25</v>
      </c>
    </row>
    <row r="2783" spans="1:11" x14ac:dyDescent="0.2">
      <c r="A2783" t="s">
        <v>9953</v>
      </c>
      <c r="F2783" s="2">
        <v>525139071</v>
      </c>
      <c r="G2783" s="2">
        <v>133808702</v>
      </c>
      <c r="H2783" t="s">
        <v>28</v>
      </c>
      <c r="I2783" t="s">
        <v>17</v>
      </c>
      <c r="J2783" t="s">
        <v>25</v>
      </c>
    </row>
    <row r="2784" spans="1:11" x14ac:dyDescent="0.2">
      <c r="A2784" t="s">
        <v>9954</v>
      </c>
      <c r="B2784" t="s">
        <v>6477</v>
      </c>
      <c r="C2784" t="s">
        <v>9955</v>
      </c>
      <c r="E2784" t="s">
        <v>9956</v>
      </c>
      <c r="F2784" s="2">
        <v>524946502</v>
      </c>
      <c r="G2784" s="2">
        <v>133607959</v>
      </c>
      <c r="H2784" t="s">
        <v>38</v>
      </c>
      <c r="I2784" t="s">
        <v>17</v>
      </c>
      <c r="J2784" t="s">
        <v>25</v>
      </c>
    </row>
    <row r="2785" spans="1:11" x14ac:dyDescent="0.2">
      <c r="A2785" t="s">
        <v>9957</v>
      </c>
      <c r="B2785" t="s">
        <v>9958</v>
      </c>
      <c r="C2785" t="s">
        <v>9959</v>
      </c>
      <c r="F2785" s="2">
        <v>525201674</v>
      </c>
      <c r="G2785" s="2">
        <v>134031215</v>
      </c>
      <c r="H2785" t="s">
        <v>255</v>
      </c>
      <c r="I2785" t="s">
        <v>17</v>
      </c>
      <c r="J2785" t="s">
        <v>25</v>
      </c>
    </row>
    <row r="2786" spans="1:11" x14ac:dyDescent="0.2">
      <c r="A2786" t="s">
        <v>9960</v>
      </c>
      <c r="B2786" t="s">
        <v>9961</v>
      </c>
      <c r="C2786" t="s">
        <v>9962</v>
      </c>
      <c r="D2786" t="s">
        <v>9963</v>
      </c>
      <c r="E2786" t="s">
        <v>9964</v>
      </c>
      <c r="F2786" s="2">
        <v>525156937</v>
      </c>
      <c r="G2786" s="2">
        <v>134607276</v>
      </c>
      <c r="H2786" t="s">
        <v>24</v>
      </c>
      <c r="I2786" t="s">
        <v>17</v>
      </c>
      <c r="J2786" t="s">
        <v>25</v>
      </c>
    </row>
    <row r="2787" spans="1:11" x14ac:dyDescent="0.2">
      <c r="A2787" t="s">
        <v>9965</v>
      </c>
      <c r="F2787" s="2">
        <v>525069971</v>
      </c>
      <c r="G2787" s="2">
        <v>132960082</v>
      </c>
      <c r="H2787" t="s">
        <v>28</v>
      </c>
      <c r="I2787" t="s">
        <v>17</v>
      </c>
      <c r="J2787" t="s">
        <v>25</v>
      </c>
    </row>
    <row r="2788" spans="1:11" x14ac:dyDescent="0.2">
      <c r="A2788" t="s">
        <v>9966</v>
      </c>
      <c r="C2788" t="s">
        <v>9967</v>
      </c>
      <c r="F2788" s="2">
        <v>525140551</v>
      </c>
      <c r="G2788" s="2">
        <v>134748679</v>
      </c>
      <c r="H2788" t="s">
        <v>255</v>
      </c>
      <c r="I2788" t="s">
        <v>17</v>
      </c>
      <c r="J2788" t="s">
        <v>25</v>
      </c>
    </row>
    <row r="2789" spans="1:11" x14ac:dyDescent="0.2">
      <c r="A2789" t="s">
        <v>9968</v>
      </c>
      <c r="B2789" t="s">
        <v>9969</v>
      </c>
      <c r="E2789" t="s">
        <v>9970</v>
      </c>
      <c r="F2789" s="2">
        <v>525365869</v>
      </c>
      <c r="G2789" s="2">
        <v>132051712</v>
      </c>
      <c r="H2789" t="s">
        <v>34</v>
      </c>
      <c r="I2789" t="s">
        <v>17</v>
      </c>
      <c r="J2789" t="s">
        <v>25</v>
      </c>
    </row>
    <row r="2790" spans="1:11" x14ac:dyDescent="0.2">
      <c r="A2790" t="s">
        <v>9971</v>
      </c>
      <c r="B2790" t="s">
        <v>9972</v>
      </c>
      <c r="C2790" t="s">
        <v>9973</v>
      </c>
      <c r="D2790" t="s">
        <v>9974</v>
      </c>
      <c r="F2790" s="2">
        <v>52524694</v>
      </c>
      <c r="G2790" s="2">
        <v>134020731</v>
      </c>
      <c r="H2790" t="s">
        <v>304</v>
      </c>
      <c r="I2790" t="s">
        <v>17</v>
      </c>
      <c r="J2790" t="s">
        <v>25</v>
      </c>
      <c r="K2790" t="s">
        <v>9975</v>
      </c>
    </row>
    <row r="2791" spans="1:11" x14ac:dyDescent="0.2">
      <c r="A2791" t="s">
        <v>9976</v>
      </c>
      <c r="F2791" s="2">
        <v>525064437</v>
      </c>
      <c r="G2791" s="2">
        <v>135582685</v>
      </c>
      <c r="H2791" t="s">
        <v>28</v>
      </c>
      <c r="I2791" t="s">
        <v>17</v>
      </c>
      <c r="J2791" t="s">
        <v>25</v>
      </c>
    </row>
    <row r="2792" spans="1:11" x14ac:dyDescent="0.2">
      <c r="A2792" t="s">
        <v>9977</v>
      </c>
      <c r="B2792" t="s">
        <v>9978</v>
      </c>
      <c r="F2792" s="2">
        <v>524989785</v>
      </c>
      <c r="G2792" s="2">
        <v>134484908</v>
      </c>
      <c r="H2792" t="s">
        <v>28</v>
      </c>
      <c r="I2792" t="s">
        <v>17</v>
      </c>
      <c r="J2792" t="s">
        <v>25</v>
      </c>
    </row>
    <row r="2793" spans="1:11" x14ac:dyDescent="0.2">
      <c r="A2793" t="s">
        <v>9979</v>
      </c>
      <c r="B2793" t="s">
        <v>9980</v>
      </c>
      <c r="C2793" t="s">
        <v>9981</v>
      </c>
      <c r="E2793" t="s">
        <v>9982</v>
      </c>
      <c r="F2793" s="2">
        <v>524403415</v>
      </c>
      <c r="G2793" s="2">
        <v>133157932</v>
      </c>
      <c r="H2793" t="s">
        <v>38</v>
      </c>
      <c r="I2793" t="s">
        <v>17</v>
      </c>
      <c r="J2793" t="s">
        <v>25</v>
      </c>
    </row>
    <row r="2794" spans="1:11" x14ac:dyDescent="0.2">
      <c r="A2794" t="s">
        <v>9983</v>
      </c>
      <c r="F2794" s="2">
        <v>52525368</v>
      </c>
      <c r="G2794" s="2">
        <v>133932509</v>
      </c>
      <c r="H2794" t="s">
        <v>28</v>
      </c>
      <c r="I2794" t="s">
        <v>17</v>
      </c>
      <c r="J2794" t="s">
        <v>25</v>
      </c>
    </row>
    <row r="2795" spans="1:11" x14ac:dyDescent="0.2">
      <c r="A2795" t="s">
        <v>9984</v>
      </c>
      <c r="B2795" t="s">
        <v>9985</v>
      </c>
      <c r="D2795" t="s">
        <v>9986</v>
      </c>
      <c r="E2795" t="s">
        <v>9987</v>
      </c>
      <c r="F2795" s="2">
        <v>524927656</v>
      </c>
      <c r="G2795" s="2">
        <v>13422536</v>
      </c>
      <c r="H2795" t="s">
        <v>1107</v>
      </c>
      <c r="I2795" t="s">
        <v>17</v>
      </c>
      <c r="J2795" t="s">
        <v>25</v>
      </c>
    </row>
    <row r="2796" spans="1:11" x14ac:dyDescent="0.2">
      <c r="A2796" t="s">
        <v>9988</v>
      </c>
      <c r="F2796" s="2">
        <v>52538366</v>
      </c>
      <c r="G2796" s="2">
        <v>132072537</v>
      </c>
      <c r="H2796" t="s">
        <v>28</v>
      </c>
      <c r="I2796" t="s">
        <v>17</v>
      </c>
      <c r="J2796" t="s">
        <v>25</v>
      </c>
    </row>
    <row r="2797" spans="1:11" x14ac:dyDescent="0.2">
      <c r="A2797" t="s">
        <v>9989</v>
      </c>
      <c r="B2797" t="s">
        <v>9990</v>
      </c>
      <c r="C2797" t="s">
        <v>9991</v>
      </c>
      <c r="E2797" t="s">
        <v>9992</v>
      </c>
      <c r="F2797" s="2">
        <v>525409786</v>
      </c>
      <c r="G2797" s="2">
        <v>134148336</v>
      </c>
      <c r="H2797" t="s">
        <v>38</v>
      </c>
      <c r="I2797" t="s">
        <v>17</v>
      </c>
      <c r="J2797" t="s">
        <v>25</v>
      </c>
    </row>
    <row r="2798" spans="1:11" x14ac:dyDescent="0.2">
      <c r="A2798" t="s">
        <v>9993</v>
      </c>
      <c r="B2798" t="s">
        <v>9994</v>
      </c>
      <c r="C2798" t="s">
        <v>9995</v>
      </c>
      <c r="D2798" t="s">
        <v>9996</v>
      </c>
      <c r="E2798" t="s">
        <v>9997</v>
      </c>
      <c r="F2798" s="2">
        <v>525358279</v>
      </c>
      <c r="G2798" s="2">
        <v>134216991</v>
      </c>
      <c r="H2798" t="s">
        <v>51</v>
      </c>
      <c r="I2798" t="s">
        <v>17</v>
      </c>
      <c r="J2798" t="s">
        <v>25</v>
      </c>
      <c r="K2798" t="s">
        <v>9998</v>
      </c>
    </row>
    <row r="2799" spans="1:11" x14ac:dyDescent="0.2">
      <c r="A2799" t="s">
        <v>9999</v>
      </c>
      <c r="F2799" s="2">
        <v>525273918</v>
      </c>
      <c r="G2799" s="2">
        <v>132124834</v>
      </c>
      <c r="H2799" t="s">
        <v>28</v>
      </c>
      <c r="I2799" t="s">
        <v>17</v>
      </c>
      <c r="J2799" t="s">
        <v>25</v>
      </c>
    </row>
    <row r="2800" spans="1:11" x14ac:dyDescent="0.2">
      <c r="A2800" t="s">
        <v>10000</v>
      </c>
      <c r="B2800" t="s">
        <v>10001</v>
      </c>
      <c r="C2800" t="s">
        <v>10002</v>
      </c>
      <c r="E2800" t="s">
        <v>10003</v>
      </c>
      <c r="F2800" s="2">
        <v>52464629</v>
      </c>
      <c r="G2800" s="2">
        <v>133204552</v>
      </c>
      <c r="H2800" t="s">
        <v>38</v>
      </c>
      <c r="I2800" t="s">
        <v>17</v>
      </c>
      <c r="J2800" t="s">
        <v>25</v>
      </c>
    </row>
    <row r="2801" spans="1:11" x14ac:dyDescent="0.2">
      <c r="A2801" t="s">
        <v>10004</v>
      </c>
      <c r="B2801" t="s">
        <v>10005</v>
      </c>
      <c r="C2801" t="s">
        <v>10006</v>
      </c>
      <c r="F2801" s="2">
        <v>52540967</v>
      </c>
      <c r="G2801" s="2">
        <v>134110925</v>
      </c>
      <c r="H2801" t="s">
        <v>3120</v>
      </c>
      <c r="I2801" t="s">
        <v>17</v>
      </c>
      <c r="J2801" t="s">
        <v>25</v>
      </c>
      <c r="K2801" t="s">
        <v>10007</v>
      </c>
    </row>
    <row r="2802" spans="1:11" x14ac:dyDescent="0.2">
      <c r="A2802" t="s">
        <v>10008</v>
      </c>
      <c r="B2802" t="s">
        <v>10009</v>
      </c>
      <c r="F2802" s="2">
        <v>525654106</v>
      </c>
      <c r="G2802" s="2">
        <v>134028222</v>
      </c>
      <c r="H2802" t="s">
        <v>28</v>
      </c>
      <c r="I2802" t="s">
        <v>17</v>
      </c>
      <c r="J2802" t="s">
        <v>25</v>
      </c>
    </row>
    <row r="2803" spans="1:11" x14ac:dyDescent="0.2">
      <c r="A2803" t="s">
        <v>10010</v>
      </c>
      <c r="F2803" s="2">
        <v>524799476</v>
      </c>
      <c r="G2803" s="2">
        <v>133521326</v>
      </c>
      <c r="H2803" t="s">
        <v>28</v>
      </c>
      <c r="I2803" t="s">
        <v>17</v>
      </c>
      <c r="J2803" t="s">
        <v>25</v>
      </c>
    </row>
    <row r="2804" spans="1:11" x14ac:dyDescent="0.2">
      <c r="A2804" t="s">
        <v>10011</v>
      </c>
      <c r="B2804" t="s">
        <v>10012</v>
      </c>
      <c r="F2804" s="2">
        <v>525224959</v>
      </c>
      <c r="G2804" s="2">
        <v>133801576</v>
      </c>
      <c r="H2804" t="s">
        <v>28</v>
      </c>
      <c r="I2804" t="s">
        <v>17</v>
      </c>
      <c r="J2804" t="s">
        <v>25</v>
      </c>
    </row>
    <row r="2805" spans="1:11" x14ac:dyDescent="0.2">
      <c r="A2805" t="s">
        <v>10013</v>
      </c>
      <c r="B2805" t="s">
        <v>10014</v>
      </c>
      <c r="C2805" t="s">
        <v>10015</v>
      </c>
      <c r="D2805" t="s">
        <v>10016</v>
      </c>
      <c r="F2805" s="2">
        <v>52478184</v>
      </c>
      <c r="G2805" s="2">
        <v>134388027</v>
      </c>
      <c r="H2805" t="s">
        <v>16</v>
      </c>
      <c r="I2805" t="s">
        <v>17</v>
      </c>
      <c r="J2805" t="s">
        <v>25</v>
      </c>
    </row>
    <row r="2806" spans="1:11" x14ac:dyDescent="0.2">
      <c r="A2806" t="s">
        <v>10017</v>
      </c>
      <c r="B2806" t="s">
        <v>10018</v>
      </c>
      <c r="C2806" t="s">
        <v>10019</v>
      </c>
      <c r="E2806" t="s">
        <v>10020</v>
      </c>
      <c r="F2806" s="2">
        <v>525243489</v>
      </c>
      <c r="G2806" s="2">
        <v>13193296</v>
      </c>
      <c r="H2806" t="s">
        <v>38</v>
      </c>
      <c r="I2806" t="s">
        <v>17</v>
      </c>
      <c r="J2806" t="s">
        <v>25</v>
      </c>
    </row>
    <row r="2807" spans="1:11" x14ac:dyDescent="0.2">
      <c r="A2807" t="s">
        <v>10021</v>
      </c>
      <c r="B2807" t="s">
        <v>10022</v>
      </c>
      <c r="C2807" t="s">
        <v>10023</v>
      </c>
      <c r="E2807" t="s">
        <v>10024</v>
      </c>
      <c r="F2807" s="2">
        <v>52480151</v>
      </c>
      <c r="G2807" s="2">
        <v>13432332</v>
      </c>
      <c r="H2807" t="s">
        <v>38</v>
      </c>
      <c r="I2807" t="s">
        <v>17</v>
      </c>
      <c r="J2807" t="s">
        <v>25</v>
      </c>
    </row>
    <row r="2808" spans="1:11" x14ac:dyDescent="0.2">
      <c r="A2808" t="s">
        <v>10025</v>
      </c>
      <c r="B2808" t="s">
        <v>10026</v>
      </c>
      <c r="F2808" s="2">
        <v>525107397</v>
      </c>
      <c r="G2808" s="2">
        <v>134579088</v>
      </c>
      <c r="H2808" t="s">
        <v>28</v>
      </c>
      <c r="I2808" t="s">
        <v>17</v>
      </c>
      <c r="J2808" t="s">
        <v>25</v>
      </c>
    </row>
    <row r="2809" spans="1:11" x14ac:dyDescent="0.2">
      <c r="A2809" t="s">
        <v>10027</v>
      </c>
      <c r="C2809" t="s">
        <v>10028</v>
      </c>
      <c r="D2809" t="s">
        <v>10029</v>
      </c>
      <c r="E2809" t="s">
        <v>10030</v>
      </c>
      <c r="F2809" s="2">
        <v>525129179</v>
      </c>
      <c r="G2809" s="2">
        <v>1358885</v>
      </c>
      <c r="H2809" t="s">
        <v>24</v>
      </c>
      <c r="I2809" t="s">
        <v>17</v>
      </c>
      <c r="J2809" t="s">
        <v>25</v>
      </c>
    </row>
    <row r="2810" spans="1:11" x14ac:dyDescent="0.2">
      <c r="A2810" t="s">
        <v>10031</v>
      </c>
      <c r="B2810" t="s">
        <v>10032</v>
      </c>
      <c r="F2810" s="2">
        <v>525344039</v>
      </c>
      <c r="G2810" s="2">
        <v>134162595</v>
      </c>
      <c r="H2810" t="s">
        <v>28</v>
      </c>
      <c r="I2810" t="s">
        <v>17</v>
      </c>
      <c r="J2810" t="s">
        <v>25</v>
      </c>
    </row>
    <row r="2811" spans="1:11" x14ac:dyDescent="0.2">
      <c r="A2811" t="s">
        <v>10033</v>
      </c>
      <c r="B2811" t="s">
        <v>10034</v>
      </c>
      <c r="F2811" s="2">
        <v>525097631</v>
      </c>
      <c r="G2811" s="2">
        <v>133041565</v>
      </c>
      <c r="H2811" t="s">
        <v>28</v>
      </c>
      <c r="I2811" t="s">
        <v>17</v>
      </c>
      <c r="J2811" t="s">
        <v>25</v>
      </c>
    </row>
    <row r="2812" spans="1:11" x14ac:dyDescent="0.2">
      <c r="A2812" t="s">
        <v>10035</v>
      </c>
      <c r="B2812" t="s">
        <v>10036</v>
      </c>
      <c r="C2812" t="s">
        <v>10037</v>
      </c>
      <c r="E2812" t="s">
        <v>10038</v>
      </c>
      <c r="F2812" s="2">
        <v>524868287</v>
      </c>
      <c r="G2812" s="2">
        <v>133432242</v>
      </c>
      <c r="H2812" t="s">
        <v>277</v>
      </c>
      <c r="I2812" t="s">
        <v>17</v>
      </c>
      <c r="J2812" t="s">
        <v>25</v>
      </c>
      <c r="K2812" t="s">
        <v>10039</v>
      </c>
    </row>
    <row r="2813" spans="1:11" x14ac:dyDescent="0.2">
      <c r="A2813" t="s">
        <v>10040</v>
      </c>
      <c r="B2813" t="s">
        <v>10041</v>
      </c>
      <c r="C2813" t="s">
        <v>10042</v>
      </c>
      <c r="E2813" t="s">
        <v>10043</v>
      </c>
      <c r="F2813" s="2">
        <v>525064376</v>
      </c>
      <c r="G2813" s="2">
        <v>13299551</v>
      </c>
      <c r="H2813" t="s">
        <v>38</v>
      </c>
      <c r="I2813" t="s">
        <v>17</v>
      </c>
      <c r="J2813" t="s">
        <v>25</v>
      </c>
    </row>
    <row r="2814" spans="1:11" x14ac:dyDescent="0.2">
      <c r="A2814" t="s">
        <v>10044</v>
      </c>
      <c r="B2814" t="s">
        <v>10045</v>
      </c>
      <c r="C2814" t="s">
        <v>10046</v>
      </c>
      <c r="D2814" t="s">
        <v>10047</v>
      </c>
      <c r="F2814" s="2">
        <v>525315861</v>
      </c>
      <c r="G2814" s="2">
        <v>134115915</v>
      </c>
      <c r="H2814" t="s">
        <v>51</v>
      </c>
      <c r="I2814" t="s">
        <v>17</v>
      </c>
      <c r="J2814" t="s">
        <v>25</v>
      </c>
      <c r="K2814" t="s">
        <v>10048</v>
      </c>
    </row>
    <row r="2815" spans="1:11" x14ac:dyDescent="0.2">
      <c r="A2815" t="s">
        <v>10049</v>
      </c>
      <c r="E2815" t="s">
        <v>10050</v>
      </c>
      <c r="F2815" s="2">
        <v>52553267</v>
      </c>
      <c r="G2815" s="2">
        <v>133827445</v>
      </c>
      <c r="H2815" t="s">
        <v>34</v>
      </c>
      <c r="I2815" t="s">
        <v>17</v>
      </c>
      <c r="J2815" t="s">
        <v>25</v>
      </c>
    </row>
    <row r="2816" spans="1:11" x14ac:dyDescent="0.2">
      <c r="A2816" t="s">
        <v>10051</v>
      </c>
      <c r="F2816" s="2">
        <v>525554882</v>
      </c>
      <c r="G2816" s="2">
        <v>133836297</v>
      </c>
      <c r="H2816" t="s">
        <v>28</v>
      </c>
      <c r="I2816" t="s">
        <v>17</v>
      </c>
      <c r="J2816" t="s">
        <v>25</v>
      </c>
    </row>
    <row r="2817" spans="1:11" x14ac:dyDescent="0.2">
      <c r="A2817" t="s">
        <v>10052</v>
      </c>
      <c r="B2817" t="s">
        <v>10053</v>
      </c>
      <c r="C2817" t="s">
        <v>10054</v>
      </c>
      <c r="D2817" t="s">
        <v>10055</v>
      </c>
      <c r="E2817" t="s">
        <v>10056</v>
      </c>
      <c r="F2817" s="2">
        <v>524952654</v>
      </c>
      <c r="G2817" s="2">
        <v>133399405</v>
      </c>
      <c r="H2817" t="s">
        <v>51</v>
      </c>
      <c r="I2817" t="s">
        <v>17</v>
      </c>
      <c r="J2817" t="s">
        <v>25</v>
      </c>
      <c r="K2817" t="s">
        <v>10057</v>
      </c>
    </row>
    <row r="2818" spans="1:11" x14ac:dyDescent="0.2">
      <c r="A2818" t="s">
        <v>10058</v>
      </c>
      <c r="C2818" t="s">
        <v>10059</v>
      </c>
      <c r="D2818" t="s">
        <v>10060</v>
      </c>
      <c r="E2818" t="s">
        <v>10061</v>
      </c>
      <c r="F2818" s="2">
        <v>524891063</v>
      </c>
      <c r="G2818" s="2">
        <v>133621926</v>
      </c>
      <c r="H2818" t="s">
        <v>51</v>
      </c>
      <c r="I2818" t="s">
        <v>17</v>
      </c>
      <c r="J2818" t="s">
        <v>25</v>
      </c>
      <c r="K2818" t="s">
        <v>10062</v>
      </c>
    </row>
    <row r="2819" spans="1:11" x14ac:dyDescent="0.2">
      <c r="A2819" t="s">
        <v>10063</v>
      </c>
      <c r="B2819" t="s">
        <v>10064</v>
      </c>
      <c r="C2819" t="s">
        <v>10065</v>
      </c>
      <c r="D2819" t="s">
        <v>10066</v>
      </c>
      <c r="E2819" t="s">
        <v>10067</v>
      </c>
      <c r="F2819" s="2">
        <v>525368606</v>
      </c>
      <c r="G2819" s="2">
        <v>134170755</v>
      </c>
      <c r="H2819" t="s">
        <v>51</v>
      </c>
      <c r="I2819" t="s">
        <v>17</v>
      </c>
      <c r="J2819" t="s">
        <v>25</v>
      </c>
      <c r="K2819" t="s">
        <v>10068</v>
      </c>
    </row>
    <row r="2820" spans="1:11" x14ac:dyDescent="0.2">
      <c r="A2820" t="s">
        <v>10069</v>
      </c>
      <c r="C2820" t="s">
        <v>10070</v>
      </c>
      <c r="F2820" s="2">
        <v>525354345</v>
      </c>
      <c r="G2820" s="2">
        <v>13453941</v>
      </c>
      <c r="H2820" t="s">
        <v>255</v>
      </c>
      <c r="I2820" t="s">
        <v>17</v>
      </c>
      <c r="J2820" t="s">
        <v>25</v>
      </c>
    </row>
    <row r="2821" spans="1:11" x14ac:dyDescent="0.2">
      <c r="A2821" t="s">
        <v>10071</v>
      </c>
      <c r="B2821" t="s">
        <v>10072</v>
      </c>
      <c r="C2821" t="s">
        <v>10073</v>
      </c>
      <c r="D2821" t="s">
        <v>10074</v>
      </c>
      <c r="E2821" t="s">
        <v>10075</v>
      </c>
      <c r="F2821" s="2">
        <v>525331751</v>
      </c>
      <c r="G2821" s="2">
        <v>134559643</v>
      </c>
      <c r="H2821" t="s">
        <v>51</v>
      </c>
      <c r="I2821" t="s">
        <v>17</v>
      </c>
      <c r="J2821" t="s">
        <v>25</v>
      </c>
      <c r="K2821" t="s">
        <v>10076</v>
      </c>
    </row>
    <row r="2822" spans="1:11" x14ac:dyDescent="0.2">
      <c r="A2822" t="s">
        <v>10077</v>
      </c>
      <c r="B2822" t="s">
        <v>10078</v>
      </c>
      <c r="E2822" t="s">
        <v>10079</v>
      </c>
      <c r="F2822" s="2">
        <v>524863316</v>
      </c>
      <c r="G2822" s="2">
        <v>133592489</v>
      </c>
      <c r="H2822" t="s">
        <v>34</v>
      </c>
      <c r="I2822" t="s">
        <v>17</v>
      </c>
      <c r="J2822" t="s">
        <v>25</v>
      </c>
    </row>
    <row r="2823" spans="1:11" x14ac:dyDescent="0.2">
      <c r="A2823" t="s">
        <v>10080</v>
      </c>
      <c r="B2823" t="s">
        <v>10081</v>
      </c>
      <c r="F2823" s="2">
        <v>524916492</v>
      </c>
      <c r="G2823" s="2">
        <v>134031072</v>
      </c>
      <c r="H2823" t="s">
        <v>28</v>
      </c>
      <c r="I2823" t="s">
        <v>17</v>
      </c>
      <c r="J2823" t="s">
        <v>25</v>
      </c>
    </row>
    <row r="2824" spans="1:11" x14ac:dyDescent="0.2">
      <c r="A2824" t="s">
        <v>10082</v>
      </c>
      <c r="C2824" t="s">
        <v>10083</v>
      </c>
      <c r="E2824">
        <v>493023949283</v>
      </c>
      <c r="F2824" s="2">
        <v>524192421</v>
      </c>
      <c r="G2824" s="2">
        <v>133428697</v>
      </c>
      <c r="H2824" t="s">
        <v>38</v>
      </c>
      <c r="I2824" t="s">
        <v>17</v>
      </c>
      <c r="J2824" t="s">
        <v>25</v>
      </c>
    </row>
    <row r="2825" spans="1:11" x14ac:dyDescent="0.2">
      <c r="A2825" t="s">
        <v>10084</v>
      </c>
      <c r="B2825" t="s">
        <v>10085</v>
      </c>
      <c r="C2825" t="s">
        <v>10086</v>
      </c>
      <c r="E2825" t="s">
        <v>10087</v>
      </c>
      <c r="F2825" s="2">
        <v>524936662</v>
      </c>
      <c r="G2825" s="2">
        <v>133674668</v>
      </c>
      <c r="H2825" t="s">
        <v>38</v>
      </c>
      <c r="I2825" t="s">
        <v>17</v>
      </c>
      <c r="J2825" t="s">
        <v>25</v>
      </c>
    </row>
    <row r="2826" spans="1:11" x14ac:dyDescent="0.2">
      <c r="A2826" t="s">
        <v>10088</v>
      </c>
      <c r="B2826" t="s">
        <v>10089</v>
      </c>
      <c r="F2826" s="2">
        <v>52509756</v>
      </c>
      <c r="G2826" s="2">
        <v>132970375</v>
      </c>
      <c r="H2826" t="s">
        <v>28</v>
      </c>
      <c r="I2826" t="s">
        <v>17</v>
      </c>
      <c r="J2826" t="s">
        <v>25</v>
      </c>
    </row>
    <row r="2827" spans="1:11" x14ac:dyDescent="0.2">
      <c r="A2827" t="s">
        <v>10090</v>
      </c>
      <c r="B2827" t="s">
        <v>7842</v>
      </c>
      <c r="C2827" t="s">
        <v>10091</v>
      </c>
      <c r="E2827" t="s">
        <v>10092</v>
      </c>
      <c r="F2827" s="2">
        <v>524962731</v>
      </c>
      <c r="G2827" s="2">
        <v>133430352</v>
      </c>
      <c r="H2827" t="s">
        <v>38</v>
      </c>
      <c r="I2827" t="s">
        <v>17</v>
      </c>
      <c r="J2827" t="s">
        <v>25</v>
      </c>
    </row>
    <row r="2828" spans="1:11" x14ac:dyDescent="0.2">
      <c r="A2828" t="s">
        <v>10093</v>
      </c>
      <c r="B2828" t="s">
        <v>10094</v>
      </c>
      <c r="E2828" t="s">
        <v>10095</v>
      </c>
      <c r="F2828" s="2">
        <v>524900957</v>
      </c>
      <c r="G2828" s="2">
        <v>134031572</v>
      </c>
      <c r="H2828" t="s">
        <v>34</v>
      </c>
      <c r="I2828" t="s">
        <v>17</v>
      </c>
      <c r="J2828" t="s">
        <v>25</v>
      </c>
    </row>
    <row r="2829" spans="1:11" x14ac:dyDescent="0.2">
      <c r="A2829" t="s">
        <v>10096</v>
      </c>
      <c r="B2829" t="s">
        <v>10097</v>
      </c>
      <c r="F2829" s="2">
        <v>525047409</v>
      </c>
      <c r="G2829" s="2">
        <v>133417306</v>
      </c>
      <c r="H2829" t="s">
        <v>28</v>
      </c>
      <c r="I2829" t="s">
        <v>17</v>
      </c>
      <c r="J2829" t="s">
        <v>25</v>
      </c>
    </row>
    <row r="2830" spans="1:11" x14ac:dyDescent="0.2">
      <c r="A2830" t="s">
        <v>10098</v>
      </c>
      <c r="B2830" t="s">
        <v>10099</v>
      </c>
      <c r="C2830" t="s">
        <v>10100</v>
      </c>
      <c r="D2830" t="s">
        <v>10101</v>
      </c>
      <c r="F2830" s="2">
        <v>525025659</v>
      </c>
      <c r="G2830" s="2">
        <v>133940139</v>
      </c>
      <c r="H2830" t="s">
        <v>51</v>
      </c>
      <c r="I2830" t="s">
        <v>17</v>
      </c>
      <c r="J2830" t="s">
        <v>25</v>
      </c>
      <c r="K2830" t="s">
        <v>10102</v>
      </c>
    </row>
    <row r="2831" spans="1:11" x14ac:dyDescent="0.2">
      <c r="A2831" t="s">
        <v>10103</v>
      </c>
      <c r="B2831" t="s">
        <v>10104</v>
      </c>
      <c r="C2831" t="s">
        <v>10105</v>
      </c>
      <c r="D2831" t="s">
        <v>10106</v>
      </c>
      <c r="F2831" s="2">
        <v>525265285</v>
      </c>
      <c r="G2831" s="2">
        <v>133513693</v>
      </c>
      <c r="H2831" t="s">
        <v>304</v>
      </c>
      <c r="I2831" t="s">
        <v>17</v>
      </c>
      <c r="J2831" t="s">
        <v>25</v>
      </c>
      <c r="K2831" t="s">
        <v>10107</v>
      </c>
    </row>
    <row r="2832" spans="1:11" x14ac:dyDescent="0.2">
      <c r="A2832" t="s">
        <v>10108</v>
      </c>
      <c r="B2832" t="s">
        <v>10109</v>
      </c>
      <c r="C2832" t="s">
        <v>10110</v>
      </c>
      <c r="E2832" t="s">
        <v>10111</v>
      </c>
      <c r="F2832" s="2">
        <v>525080852</v>
      </c>
      <c r="G2832" s="2">
        <v>133011528</v>
      </c>
      <c r="H2832" t="s">
        <v>38</v>
      </c>
      <c r="I2832" t="s">
        <v>17</v>
      </c>
      <c r="J2832" t="s">
        <v>25</v>
      </c>
    </row>
    <row r="2833" spans="1:11" x14ac:dyDescent="0.2">
      <c r="A2833" t="s">
        <v>10112</v>
      </c>
      <c r="B2833" t="s">
        <v>10113</v>
      </c>
      <c r="C2833" t="s">
        <v>10114</v>
      </c>
      <c r="E2833" t="s">
        <v>10115</v>
      </c>
      <c r="F2833" s="2">
        <v>525966834</v>
      </c>
      <c r="G2833" s="2">
        <v>133330039</v>
      </c>
      <c r="H2833" t="s">
        <v>38</v>
      </c>
      <c r="I2833" t="s">
        <v>17</v>
      </c>
      <c r="J2833" t="s">
        <v>25</v>
      </c>
    </row>
    <row r="2834" spans="1:11" x14ac:dyDescent="0.2">
      <c r="A2834" t="s">
        <v>10116</v>
      </c>
      <c r="F2834" s="2">
        <v>524986586</v>
      </c>
      <c r="G2834" s="2">
        <v>134612732</v>
      </c>
      <c r="H2834" t="s">
        <v>28</v>
      </c>
      <c r="I2834" t="s">
        <v>17</v>
      </c>
      <c r="J2834" t="s">
        <v>25</v>
      </c>
    </row>
    <row r="2835" spans="1:11" x14ac:dyDescent="0.2">
      <c r="A2835" t="s">
        <v>10117</v>
      </c>
      <c r="B2835" t="s">
        <v>10118</v>
      </c>
      <c r="C2835" t="s">
        <v>10119</v>
      </c>
      <c r="D2835" t="s">
        <v>10120</v>
      </c>
      <c r="F2835" s="2">
        <v>524361971</v>
      </c>
      <c r="G2835" s="2">
        <v>135356309</v>
      </c>
      <c r="H2835" t="s">
        <v>24</v>
      </c>
      <c r="I2835" t="s">
        <v>17</v>
      </c>
      <c r="J2835" t="s">
        <v>25</v>
      </c>
    </row>
    <row r="2836" spans="1:11" x14ac:dyDescent="0.2">
      <c r="A2836" t="s">
        <v>10121</v>
      </c>
      <c r="B2836" t="s">
        <v>10122</v>
      </c>
      <c r="D2836" t="s">
        <v>10123</v>
      </c>
      <c r="E2836">
        <v>493035055227</v>
      </c>
      <c r="F2836" s="2">
        <v>524998224</v>
      </c>
      <c r="G2836" s="2">
        <v>134242374</v>
      </c>
      <c r="H2836" t="s">
        <v>1107</v>
      </c>
      <c r="I2836" t="s">
        <v>17</v>
      </c>
      <c r="J2836" t="s">
        <v>25</v>
      </c>
    </row>
    <row r="2837" spans="1:11" x14ac:dyDescent="0.2">
      <c r="A2837" t="s">
        <v>10124</v>
      </c>
      <c r="B2837" t="s">
        <v>10125</v>
      </c>
      <c r="F2837" s="2">
        <v>525423416</v>
      </c>
      <c r="G2837" s="2">
        <v>134139987</v>
      </c>
      <c r="H2837" t="s">
        <v>28</v>
      </c>
      <c r="I2837" t="s">
        <v>17</v>
      </c>
      <c r="J2837" t="s">
        <v>25</v>
      </c>
    </row>
    <row r="2838" spans="1:11" x14ac:dyDescent="0.2">
      <c r="A2838" t="s">
        <v>10126</v>
      </c>
      <c r="F2838" s="2">
        <v>525067326</v>
      </c>
      <c r="G2838" s="2">
        <v>133790788</v>
      </c>
      <c r="H2838" t="s">
        <v>28</v>
      </c>
      <c r="I2838" t="s">
        <v>17</v>
      </c>
      <c r="J2838" t="s">
        <v>25</v>
      </c>
    </row>
    <row r="2839" spans="1:11" x14ac:dyDescent="0.2">
      <c r="A2839" t="s">
        <v>10127</v>
      </c>
      <c r="B2839" t="s">
        <v>10128</v>
      </c>
      <c r="C2839" t="s">
        <v>10129</v>
      </c>
      <c r="F2839" s="2">
        <v>525255024</v>
      </c>
      <c r="G2839" s="2">
        <v>134081148</v>
      </c>
      <c r="H2839" t="s">
        <v>3120</v>
      </c>
      <c r="I2839" t="s">
        <v>17</v>
      </c>
      <c r="J2839" t="s">
        <v>25</v>
      </c>
      <c r="K2839" t="s">
        <v>10130</v>
      </c>
    </row>
    <row r="2840" spans="1:11" x14ac:dyDescent="0.2">
      <c r="A2840" t="s">
        <v>10131</v>
      </c>
      <c r="B2840" t="s">
        <v>10132</v>
      </c>
      <c r="C2840" t="s">
        <v>10133</v>
      </c>
      <c r="F2840" s="2">
        <v>525063394</v>
      </c>
      <c r="G2840" s="2">
        <v>133099886</v>
      </c>
      <c r="H2840" t="s">
        <v>255</v>
      </c>
      <c r="I2840" t="s">
        <v>17</v>
      </c>
      <c r="J2840" t="s">
        <v>25</v>
      </c>
    </row>
    <row r="2841" spans="1:11" x14ac:dyDescent="0.2">
      <c r="A2841" t="s">
        <v>10134</v>
      </c>
      <c r="B2841" t="s">
        <v>10135</v>
      </c>
      <c r="C2841" t="s">
        <v>10136</v>
      </c>
      <c r="D2841" t="s">
        <v>10137</v>
      </c>
      <c r="E2841" t="s">
        <v>10138</v>
      </c>
      <c r="F2841" s="2">
        <v>525287499</v>
      </c>
      <c r="G2841" s="2">
        <v>133940772</v>
      </c>
      <c r="H2841" t="s">
        <v>51</v>
      </c>
      <c r="I2841" t="s">
        <v>17</v>
      </c>
      <c r="J2841" t="s">
        <v>25</v>
      </c>
      <c r="K2841" t="s">
        <v>10139</v>
      </c>
    </row>
    <row r="2842" spans="1:11" x14ac:dyDescent="0.2">
      <c r="A2842" t="s">
        <v>10140</v>
      </c>
      <c r="B2842" t="s">
        <v>10141</v>
      </c>
      <c r="C2842" t="s">
        <v>10142</v>
      </c>
      <c r="D2842" t="s">
        <v>10143</v>
      </c>
      <c r="E2842" t="s">
        <v>10144</v>
      </c>
      <c r="F2842" s="2">
        <v>525512676</v>
      </c>
      <c r="G2842" s="2">
        <v>134425783</v>
      </c>
      <c r="H2842" t="s">
        <v>16</v>
      </c>
      <c r="I2842" t="s">
        <v>17</v>
      </c>
      <c r="J2842" t="s">
        <v>25</v>
      </c>
    </row>
    <row r="2843" spans="1:11" x14ac:dyDescent="0.2">
      <c r="A2843" t="s">
        <v>10145</v>
      </c>
      <c r="B2843" t="s">
        <v>10146</v>
      </c>
      <c r="F2843" s="2">
        <v>525442461</v>
      </c>
      <c r="G2843" s="2">
        <v>133712752</v>
      </c>
      <c r="H2843" t="s">
        <v>28</v>
      </c>
      <c r="I2843" t="s">
        <v>17</v>
      </c>
      <c r="J2843" t="s">
        <v>25</v>
      </c>
    </row>
    <row r="2844" spans="1:11" x14ac:dyDescent="0.2">
      <c r="A2844" t="s">
        <v>10147</v>
      </c>
      <c r="B2844" t="s">
        <v>7420</v>
      </c>
      <c r="E2844" t="s">
        <v>10148</v>
      </c>
      <c r="F2844" s="2">
        <v>525273307</v>
      </c>
      <c r="G2844" s="2">
        <v>134057043</v>
      </c>
      <c r="H2844" t="s">
        <v>34</v>
      </c>
      <c r="I2844" t="s">
        <v>17</v>
      </c>
      <c r="J2844" t="s">
        <v>25</v>
      </c>
    </row>
    <row r="2845" spans="1:11" x14ac:dyDescent="0.2">
      <c r="A2845" t="s">
        <v>10149</v>
      </c>
      <c r="B2845" t="s">
        <v>10150</v>
      </c>
      <c r="F2845" s="2">
        <v>525553114</v>
      </c>
      <c r="G2845" s="2">
        <v>133758074</v>
      </c>
      <c r="H2845" t="s">
        <v>28</v>
      </c>
      <c r="I2845" t="s">
        <v>17</v>
      </c>
      <c r="J2845" t="s">
        <v>25</v>
      </c>
    </row>
    <row r="2846" spans="1:11" x14ac:dyDescent="0.2">
      <c r="A2846" t="s">
        <v>10151</v>
      </c>
      <c r="F2846" s="2">
        <v>525495</v>
      </c>
      <c r="G2846" s="2">
        <v>131562069</v>
      </c>
      <c r="H2846" t="s">
        <v>28</v>
      </c>
      <c r="I2846" t="s">
        <v>17</v>
      </c>
      <c r="J2846" t="s">
        <v>25</v>
      </c>
    </row>
    <row r="2847" spans="1:11" x14ac:dyDescent="0.2">
      <c r="A2847" t="s">
        <v>10152</v>
      </c>
      <c r="B2847" t="s">
        <v>10153</v>
      </c>
      <c r="C2847" t="s">
        <v>10154</v>
      </c>
      <c r="D2847" t="s">
        <v>10155</v>
      </c>
      <c r="F2847" s="2">
        <v>52489401</v>
      </c>
      <c r="G2847" s="2">
        <v>133170064</v>
      </c>
      <c r="H2847" t="s">
        <v>24</v>
      </c>
      <c r="I2847" t="s">
        <v>17</v>
      </c>
      <c r="J2847" t="s">
        <v>25</v>
      </c>
    </row>
    <row r="2848" spans="1:11" x14ac:dyDescent="0.2">
      <c r="A2848" t="s">
        <v>10156</v>
      </c>
      <c r="B2848" t="s">
        <v>10157</v>
      </c>
      <c r="E2848" t="s">
        <v>10158</v>
      </c>
      <c r="F2848" s="2">
        <v>525112671</v>
      </c>
      <c r="G2848" s="2">
        <v>132983991</v>
      </c>
      <c r="H2848" t="s">
        <v>34</v>
      </c>
      <c r="I2848" t="s">
        <v>17</v>
      </c>
      <c r="J2848" t="s">
        <v>25</v>
      </c>
    </row>
    <row r="2849" spans="1:11" x14ac:dyDescent="0.2">
      <c r="A2849" t="s">
        <v>10159</v>
      </c>
      <c r="B2849" t="s">
        <v>10160</v>
      </c>
      <c r="C2849" t="s">
        <v>10161</v>
      </c>
      <c r="E2849" t="s">
        <v>10162</v>
      </c>
      <c r="F2849" s="2">
        <v>524997424</v>
      </c>
      <c r="G2849" s="2">
        <v>133418672</v>
      </c>
      <c r="H2849" t="s">
        <v>277</v>
      </c>
      <c r="I2849" t="s">
        <v>17</v>
      </c>
      <c r="J2849" t="s">
        <v>25</v>
      </c>
      <c r="K2849" t="s">
        <v>10163</v>
      </c>
    </row>
    <row r="2850" spans="1:11" x14ac:dyDescent="0.2">
      <c r="A2850" t="s">
        <v>10164</v>
      </c>
      <c r="B2850" t="s">
        <v>10165</v>
      </c>
      <c r="F2850" s="2">
        <v>525057999</v>
      </c>
      <c r="G2850" s="2">
        <v>134420048</v>
      </c>
      <c r="H2850" t="s">
        <v>28</v>
      </c>
      <c r="I2850" t="s">
        <v>17</v>
      </c>
      <c r="J2850" t="s">
        <v>25</v>
      </c>
    </row>
    <row r="2851" spans="1:11" x14ac:dyDescent="0.2">
      <c r="A2851" t="s">
        <v>10166</v>
      </c>
      <c r="B2851" t="s">
        <v>10165</v>
      </c>
      <c r="F2851" s="2">
        <v>525056092</v>
      </c>
      <c r="G2851" s="2">
        <v>134425374</v>
      </c>
      <c r="H2851" t="s">
        <v>28</v>
      </c>
      <c r="I2851" t="s">
        <v>17</v>
      </c>
      <c r="J2851" t="s">
        <v>25</v>
      </c>
    </row>
    <row r="2852" spans="1:11" x14ac:dyDescent="0.2">
      <c r="A2852" t="s">
        <v>10167</v>
      </c>
      <c r="F2852" s="2">
        <v>525053494</v>
      </c>
      <c r="G2852" s="2">
        <v>13442324</v>
      </c>
      <c r="H2852" t="s">
        <v>28</v>
      </c>
      <c r="I2852" t="s">
        <v>17</v>
      </c>
      <c r="J2852" t="s">
        <v>25</v>
      </c>
    </row>
    <row r="2853" spans="1:11" x14ac:dyDescent="0.2">
      <c r="A2853" t="s">
        <v>10168</v>
      </c>
      <c r="F2853" s="2">
        <v>525049453</v>
      </c>
      <c r="G2853" s="2">
        <v>134419382</v>
      </c>
      <c r="H2853" t="s">
        <v>28</v>
      </c>
      <c r="I2853" t="s">
        <v>17</v>
      </c>
      <c r="J2853" t="s">
        <v>25</v>
      </c>
    </row>
    <row r="2854" spans="1:11" x14ac:dyDescent="0.2">
      <c r="A2854" t="s">
        <v>10169</v>
      </c>
      <c r="B2854" t="s">
        <v>10170</v>
      </c>
      <c r="C2854" t="s">
        <v>10171</v>
      </c>
      <c r="D2854" t="s">
        <v>10172</v>
      </c>
      <c r="E2854" t="s">
        <v>10173</v>
      </c>
      <c r="F2854" s="2">
        <v>525047189</v>
      </c>
      <c r="G2854" s="2">
        <v>134417479</v>
      </c>
      <c r="H2854" t="s">
        <v>51</v>
      </c>
      <c r="I2854" t="s">
        <v>17</v>
      </c>
      <c r="J2854" t="s">
        <v>25</v>
      </c>
      <c r="K2854" t="s">
        <v>10174</v>
      </c>
    </row>
    <row r="2855" spans="1:11" x14ac:dyDescent="0.2">
      <c r="A2855" t="s">
        <v>10175</v>
      </c>
      <c r="B2855" t="s">
        <v>10176</v>
      </c>
      <c r="C2855" t="s">
        <v>10177</v>
      </c>
      <c r="D2855" t="s">
        <v>10178</v>
      </c>
      <c r="E2855">
        <v>4930403635700</v>
      </c>
      <c r="F2855" s="2">
        <v>525050276</v>
      </c>
      <c r="G2855" s="2">
        <v>134430896</v>
      </c>
      <c r="H2855" t="s">
        <v>51</v>
      </c>
      <c r="I2855" t="s">
        <v>17</v>
      </c>
      <c r="J2855" t="s">
        <v>25</v>
      </c>
      <c r="K2855" t="s">
        <v>10179</v>
      </c>
    </row>
    <row r="2856" spans="1:11" x14ac:dyDescent="0.2">
      <c r="A2856" t="s">
        <v>10180</v>
      </c>
      <c r="F2856" s="2">
        <v>525051337</v>
      </c>
      <c r="G2856" s="2">
        <v>134431836</v>
      </c>
      <c r="H2856" t="s">
        <v>28</v>
      </c>
      <c r="I2856" t="s">
        <v>17</v>
      </c>
      <c r="J2856" t="s">
        <v>25</v>
      </c>
    </row>
    <row r="2857" spans="1:11" x14ac:dyDescent="0.2">
      <c r="A2857" t="s">
        <v>10181</v>
      </c>
      <c r="B2857" t="s">
        <v>10182</v>
      </c>
      <c r="E2857" t="s">
        <v>10183</v>
      </c>
      <c r="F2857" s="2">
        <v>524573164</v>
      </c>
      <c r="G2857" s="2">
        <v>133234232</v>
      </c>
      <c r="H2857" t="s">
        <v>34</v>
      </c>
      <c r="I2857" t="s">
        <v>17</v>
      </c>
      <c r="J2857" t="s">
        <v>25</v>
      </c>
    </row>
    <row r="2858" spans="1:11" x14ac:dyDescent="0.2">
      <c r="A2858" t="s">
        <v>10184</v>
      </c>
      <c r="B2858" t="s">
        <v>10185</v>
      </c>
      <c r="F2858" s="2">
        <v>525277884</v>
      </c>
      <c r="G2858" s="2">
        <v>134030452</v>
      </c>
      <c r="H2858" t="s">
        <v>28</v>
      </c>
      <c r="I2858" t="s">
        <v>17</v>
      </c>
      <c r="J2858" t="s">
        <v>25</v>
      </c>
    </row>
    <row r="2859" spans="1:11" x14ac:dyDescent="0.2">
      <c r="A2859" t="s">
        <v>10186</v>
      </c>
      <c r="B2859" t="s">
        <v>10187</v>
      </c>
      <c r="D2859" t="s">
        <v>10188</v>
      </c>
      <c r="E2859" t="s">
        <v>10189</v>
      </c>
      <c r="F2859" s="2">
        <v>52493169</v>
      </c>
      <c r="G2859" s="2">
        <v>133793154</v>
      </c>
      <c r="H2859" t="s">
        <v>1107</v>
      </c>
      <c r="I2859" t="s">
        <v>17</v>
      </c>
      <c r="J2859" t="s">
        <v>25</v>
      </c>
    </row>
    <row r="2860" spans="1:11" x14ac:dyDescent="0.2">
      <c r="A2860" t="s">
        <v>10190</v>
      </c>
      <c r="B2860" t="s">
        <v>10191</v>
      </c>
      <c r="C2860" t="s">
        <v>10192</v>
      </c>
      <c r="E2860" t="s">
        <v>10193</v>
      </c>
      <c r="F2860" s="2">
        <v>525371193</v>
      </c>
      <c r="G2860" s="2">
        <v>136056788</v>
      </c>
      <c r="H2860" t="s">
        <v>38</v>
      </c>
      <c r="I2860" t="s">
        <v>17</v>
      </c>
      <c r="J2860" t="s">
        <v>25</v>
      </c>
    </row>
    <row r="2861" spans="1:11" x14ac:dyDescent="0.2">
      <c r="A2861" t="s">
        <v>10194</v>
      </c>
      <c r="B2861" t="s">
        <v>2977</v>
      </c>
      <c r="F2861" s="2">
        <v>525105711</v>
      </c>
      <c r="G2861" s="2">
        <v>134576726</v>
      </c>
      <c r="H2861" t="s">
        <v>28</v>
      </c>
      <c r="I2861" t="s">
        <v>17</v>
      </c>
      <c r="J2861" t="s">
        <v>25</v>
      </c>
    </row>
    <row r="2862" spans="1:11" x14ac:dyDescent="0.2">
      <c r="A2862" t="s">
        <v>10195</v>
      </c>
      <c r="B2862" t="s">
        <v>10196</v>
      </c>
      <c r="F2862" s="2">
        <v>524106695</v>
      </c>
      <c r="G2862" s="2">
        <v>132667001</v>
      </c>
      <c r="H2862" t="s">
        <v>28</v>
      </c>
      <c r="I2862" t="s">
        <v>17</v>
      </c>
      <c r="J2862" t="s">
        <v>25</v>
      </c>
    </row>
    <row r="2863" spans="1:11" x14ac:dyDescent="0.2">
      <c r="A2863" t="s">
        <v>10197</v>
      </c>
      <c r="B2863" t="s">
        <v>10198</v>
      </c>
      <c r="C2863" t="s">
        <v>10199</v>
      </c>
      <c r="D2863" t="s">
        <v>10200</v>
      </c>
      <c r="E2863" t="s">
        <v>10201</v>
      </c>
      <c r="F2863" s="2">
        <v>525383679</v>
      </c>
      <c r="G2863" s="2">
        <v>134128958</v>
      </c>
      <c r="H2863" t="s">
        <v>51</v>
      </c>
      <c r="I2863" t="s">
        <v>17</v>
      </c>
      <c r="J2863" t="s">
        <v>25</v>
      </c>
      <c r="K2863" t="s">
        <v>10202</v>
      </c>
    </row>
    <row r="2864" spans="1:11" x14ac:dyDescent="0.2">
      <c r="A2864" t="s">
        <v>10203</v>
      </c>
      <c r="B2864" t="s">
        <v>10204</v>
      </c>
      <c r="F2864" s="2">
        <v>525470788</v>
      </c>
      <c r="G2864" s="2">
        <v>134279409</v>
      </c>
      <c r="H2864" t="s">
        <v>28</v>
      </c>
      <c r="I2864" t="s">
        <v>17</v>
      </c>
      <c r="J2864" t="s">
        <v>25</v>
      </c>
    </row>
    <row r="2865" spans="1:11" x14ac:dyDescent="0.2">
      <c r="A2865" t="s">
        <v>10205</v>
      </c>
      <c r="B2865" t="s">
        <v>10206</v>
      </c>
      <c r="C2865" t="s">
        <v>10207</v>
      </c>
      <c r="D2865" t="s">
        <v>10208</v>
      </c>
      <c r="F2865" s="2">
        <v>525062118</v>
      </c>
      <c r="G2865" s="2">
        <v>133726574</v>
      </c>
      <c r="H2865" t="s">
        <v>304</v>
      </c>
      <c r="I2865" t="s">
        <v>17</v>
      </c>
      <c r="J2865" t="s">
        <v>25</v>
      </c>
      <c r="K2865" t="s">
        <v>10209</v>
      </c>
    </row>
    <row r="2866" spans="1:11" x14ac:dyDescent="0.2">
      <c r="A2866" t="s">
        <v>10210</v>
      </c>
      <c r="B2866" t="s">
        <v>10211</v>
      </c>
      <c r="F2866" s="2">
        <v>525134907</v>
      </c>
      <c r="G2866" s="2">
        <v>134626231</v>
      </c>
      <c r="H2866" t="s">
        <v>28</v>
      </c>
      <c r="I2866" t="s">
        <v>17</v>
      </c>
      <c r="J2866" t="s">
        <v>25</v>
      </c>
    </row>
    <row r="2867" spans="1:11" x14ac:dyDescent="0.2">
      <c r="A2867" t="s">
        <v>10212</v>
      </c>
      <c r="B2867" t="s">
        <v>10213</v>
      </c>
      <c r="E2867" t="s">
        <v>10214</v>
      </c>
      <c r="F2867" s="2">
        <v>525094992</v>
      </c>
      <c r="G2867" s="2">
        <v>134252454</v>
      </c>
      <c r="H2867" t="s">
        <v>34</v>
      </c>
      <c r="I2867" t="s">
        <v>17</v>
      </c>
      <c r="J2867" t="s">
        <v>25</v>
      </c>
    </row>
    <row r="2868" spans="1:11" x14ac:dyDescent="0.2">
      <c r="A2868" t="s">
        <v>10215</v>
      </c>
      <c r="B2868" t="s">
        <v>10216</v>
      </c>
      <c r="E2868" t="s">
        <v>10217</v>
      </c>
      <c r="F2868" s="2">
        <v>525242388</v>
      </c>
      <c r="G2868" s="2">
        <v>134806906</v>
      </c>
      <c r="H2868" t="s">
        <v>34</v>
      </c>
      <c r="I2868" t="s">
        <v>17</v>
      </c>
      <c r="J2868" t="s">
        <v>25</v>
      </c>
    </row>
    <row r="2869" spans="1:11" x14ac:dyDescent="0.2">
      <c r="A2869" t="s">
        <v>10218</v>
      </c>
      <c r="B2869" t="s">
        <v>10219</v>
      </c>
      <c r="C2869" t="s">
        <v>10220</v>
      </c>
      <c r="D2869" t="s">
        <v>10221</v>
      </c>
      <c r="F2869" s="2">
        <v>525211858</v>
      </c>
      <c r="G2869" s="2">
        <v>133067777</v>
      </c>
      <c r="H2869" t="s">
        <v>51</v>
      </c>
      <c r="I2869" t="s">
        <v>17</v>
      </c>
      <c r="J2869" t="s">
        <v>25</v>
      </c>
      <c r="K2869" t="s">
        <v>10222</v>
      </c>
    </row>
    <row r="2870" spans="1:11" x14ac:dyDescent="0.2">
      <c r="A2870" t="s">
        <v>10223</v>
      </c>
      <c r="B2870" t="s">
        <v>10224</v>
      </c>
      <c r="F2870" s="2">
        <v>524586007</v>
      </c>
      <c r="G2870" s="2">
        <v>133781074</v>
      </c>
      <c r="H2870" t="s">
        <v>28</v>
      </c>
      <c r="I2870" t="s">
        <v>17</v>
      </c>
      <c r="J2870" t="s">
        <v>25</v>
      </c>
    </row>
    <row r="2871" spans="1:11" x14ac:dyDescent="0.2">
      <c r="A2871" t="s">
        <v>10225</v>
      </c>
      <c r="B2871" t="s">
        <v>10226</v>
      </c>
      <c r="C2871" t="s">
        <v>10227</v>
      </c>
      <c r="F2871" s="2">
        <v>525097113</v>
      </c>
      <c r="G2871" s="2">
        <v>132814631</v>
      </c>
      <c r="H2871" t="s">
        <v>277</v>
      </c>
      <c r="I2871" t="s">
        <v>17</v>
      </c>
      <c r="J2871" t="s">
        <v>25</v>
      </c>
      <c r="K2871" t="s">
        <v>10228</v>
      </c>
    </row>
    <row r="2872" spans="1:11" x14ac:dyDescent="0.2">
      <c r="A2872" t="s">
        <v>10229</v>
      </c>
      <c r="F2872" s="2">
        <v>4163414</v>
      </c>
      <c r="G2872" s="2">
        <v>-727880792</v>
      </c>
      <c r="H2872" t="s">
        <v>28</v>
      </c>
      <c r="I2872" t="s">
        <v>17</v>
      </c>
      <c r="J2872" t="s">
        <v>25</v>
      </c>
    </row>
    <row r="2873" spans="1:11" x14ac:dyDescent="0.2">
      <c r="A2873" t="s">
        <v>10230</v>
      </c>
      <c r="B2873" t="s">
        <v>10231</v>
      </c>
      <c r="C2873" t="s">
        <v>10232</v>
      </c>
      <c r="E2873" t="s">
        <v>10233</v>
      </c>
      <c r="F2873" s="2">
        <v>52428723</v>
      </c>
      <c r="G2873" s="2">
        <v>13330226</v>
      </c>
      <c r="H2873" t="s">
        <v>38</v>
      </c>
      <c r="I2873" t="s">
        <v>17</v>
      </c>
      <c r="J2873" t="s">
        <v>25</v>
      </c>
    </row>
    <row r="2874" spans="1:11" x14ac:dyDescent="0.2">
      <c r="A2874" t="s">
        <v>10234</v>
      </c>
      <c r="B2874" t="s">
        <v>10235</v>
      </c>
      <c r="F2874" s="2">
        <v>524914931</v>
      </c>
      <c r="G2874" s="2">
        <v>134136359</v>
      </c>
      <c r="H2874" t="s">
        <v>28</v>
      </c>
      <c r="I2874" t="s">
        <v>17</v>
      </c>
      <c r="J2874" t="s">
        <v>25</v>
      </c>
    </row>
    <row r="2875" spans="1:11" x14ac:dyDescent="0.2">
      <c r="A2875" t="s">
        <v>10236</v>
      </c>
      <c r="B2875" t="s">
        <v>10237</v>
      </c>
      <c r="F2875" s="2">
        <v>524980313</v>
      </c>
      <c r="G2875" s="2">
        <v>134429779</v>
      </c>
      <c r="H2875" t="s">
        <v>28</v>
      </c>
      <c r="I2875" t="s">
        <v>17</v>
      </c>
      <c r="J2875" t="s">
        <v>25</v>
      </c>
    </row>
    <row r="2876" spans="1:11" x14ac:dyDescent="0.2">
      <c r="A2876" t="s">
        <v>10238</v>
      </c>
      <c r="B2876" t="s">
        <v>10239</v>
      </c>
      <c r="C2876" t="s">
        <v>10240</v>
      </c>
      <c r="D2876" t="s">
        <v>10241</v>
      </c>
      <c r="E2876" t="s">
        <v>10242</v>
      </c>
      <c r="F2876" s="2">
        <v>525111972</v>
      </c>
      <c r="G2876" s="2">
        <v>1338759</v>
      </c>
      <c r="H2876" t="s">
        <v>51</v>
      </c>
      <c r="I2876" t="s">
        <v>17</v>
      </c>
      <c r="J2876" t="s">
        <v>25</v>
      </c>
      <c r="K2876" t="s">
        <v>10243</v>
      </c>
    </row>
    <row r="2877" spans="1:11" x14ac:dyDescent="0.2">
      <c r="A2877" t="s">
        <v>10244</v>
      </c>
      <c r="B2877" t="s">
        <v>10245</v>
      </c>
      <c r="C2877" t="s">
        <v>10246</v>
      </c>
      <c r="D2877" t="s">
        <v>10247</v>
      </c>
      <c r="F2877" s="2">
        <v>524118881</v>
      </c>
      <c r="G2877" s="2">
        <v>133129557</v>
      </c>
      <c r="H2877" t="s">
        <v>16</v>
      </c>
      <c r="I2877" t="s">
        <v>17</v>
      </c>
      <c r="J2877" t="s">
        <v>25</v>
      </c>
    </row>
    <row r="2878" spans="1:11" x14ac:dyDescent="0.2">
      <c r="A2878" t="s">
        <v>10248</v>
      </c>
      <c r="B2878" t="s">
        <v>10249</v>
      </c>
      <c r="F2878" s="2">
        <v>525005579</v>
      </c>
      <c r="G2878" s="2">
        <v>13421564</v>
      </c>
      <c r="H2878" t="s">
        <v>28</v>
      </c>
      <c r="I2878" t="s">
        <v>17</v>
      </c>
      <c r="J2878" t="s">
        <v>25</v>
      </c>
    </row>
    <row r="2879" spans="1:11" x14ac:dyDescent="0.2">
      <c r="A2879" t="s">
        <v>10250</v>
      </c>
      <c r="B2879" t="s">
        <v>8164</v>
      </c>
      <c r="C2879" t="s">
        <v>10251</v>
      </c>
      <c r="D2879" t="s">
        <v>10252</v>
      </c>
      <c r="E2879" t="s">
        <v>10253</v>
      </c>
      <c r="F2879" s="2">
        <v>525173379</v>
      </c>
      <c r="G2879" s="2">
        <v>134052915</v>
      </c>
      <c r="H2879" t="s">
        <v>51</v>
      </c>
      <c r="I2879" t="s">
        <v>17</v>
      </c>
      <c r="J2879" t="s">
        <v>25</v>
      </c>
      <c r="K2879" t="s">
        <v>10254</v>
      </c>
    </row>
    <row r="2880" spans="1:11" x14ac:dyDescent="0.2">
      <c r="A2880" t="s">
        <v>10255</v>
      </c>
      <c r="B2880" t="s">
        <v>10256</v>
      </c>
      <c r="F2880" s="2">
        <v>524986002</v>
      </c>
      <c r="G2880" s="2">
        <v>133457431</v>
      </c>
      <c r="H2880" t="s">
        <v>28</v>
      </c>
      <c r="I2880" t="s">
        <v>17</v>
      </c>
      <c r="J2880" t="s">
        <v>25</v>
      </c>
    </row>
    <row r="2881" spans="1:11" x14ac:dyDescent="0.2">
      <c r="A2881" t="s">
        <v>10257</v>
      </c>
      <c r="F2881" s="2">
        <v>525400506</v>
      </c>
      <c r="G2881" s="2">
        <v>133529706</v>
      </c>
      <c r="H2881" t="s">
        <v>28</v>
      </c>
      <c r="I2881" t="s">
        <v>17</v>
      </c>
      <c r="J2881" t="s">
        <v>25</v>
      </c>
    </row>
    <row r="2882" spans="1:11" x14ac:dyDescent="0.2">
      <c r="A2882" t="s">
        <v>10258</v>
      </c>
      <c r="B2882" t="s">
        <v>10259</v>
      </c>
      <c r="C2882" t="s">
        <v>10260</v>
      </c>
      <c r="D2882" t="s">
        <v>10261</v>
      </c>
      <c r="E2882">
        <v>493032596331</v>
      </c>
      <c r="F2882" s="2">
        <v>525081997</v>
      </c>
      <c r="G2882" s="2">
        <v>134660958</v>
      </c>
      <c r="H2882" t="s">
        <v>24</v>
      </c>
      <c r="I2882" t="s">
        <v>17</v>
      </c>
      <c r="J2882" t="s">
        <v>25</v>
      </c>
    </row>
    <row r="2883" spans="1:11" x14ac:dyDescent="0.2">
      <c r="A2883" t="s">
        <v>10262</v>
      </c>
      <c r="B2883" t="s">
        <v>10263</v>
      </c>
      <c r="F2883" s="2">
        <v>525006966</v>
      </c>
      <c r="G2883" s="2">
        <v>134391167</v>
      </c>
      <c r="H2883" t="s">
        <v>28</v>
      </c>
      <c r="I2883" t="s">
        <v>17</v>
      </c>
      <c r="J2883" t="s">
        <v>25</v>
      </c>
    </row>
    <row r="2884" spans="1:11" x14ac:dyDescent="0.2">
      <c r="A2884" t="s">
        <v>10264</v>
      </c>
      <c r="C2884" t="s">
        <v>10265</v>
      </c>
      <c r="E2884">
        <v>493020251017</v>
      </c>
      <c r="F2884" s="2">
        <v>525182344</v>
      </c>
      <c r="G2884" s="2">
        <v>133887515</v>
      </c>
      <c r="H2884" t="s">
        <v>277</v>
      </c>
      <c r="I2884" t="s">
        <v>17</v>
      </c>
      <c r="J2884" t="s">
        <v>25</v>
      </c>
      <c r="K2884" t="s">
        <v>10266</v>
      </c>
    </row>
    <row r="2885" spans="1:11" x14ac:dyDescent="0.2">
      <c r="A2885" t="s">
        <v>10267</v>
      </c>
      <c r="B2885" t="s">
        <v>10268</v>
      </c>
      <c r="C2885" t="s">
        <v>10269</v>
      </c>
      <c r="E2885" t="s">
        <v>10270</v>
      </c>
      <c r="F2885" s="2">
        <v>525406266</v>
      </c>
      <c r="G2885" s="2">
        <v>131319314</v>
      </c>
      <c r="H2885" t="s">
        <v>38</v>
      </c>
      <c r="I2885" t="s">
        <v>17</v>
      </c>
      <c r="J2885" t="s">
        <v>25</v>
      </c>
    </row>
    <row r="2886" spans="1:11" x14ac:dyDescent="0.2">
      <c r="A2886" t="s">
        <v>10271</v>
      </c>
      <c r="B2886" t="s">
        <v>10272</v>
      </c>
      <c r="C2886" t="s">
        <v>10273</v>
      </c>
      <c r="D2886" t="s">
        <v>10274</v>
      </c>
      <c r="F2886" s="2">
        <v>524831799</v>
      </c>
      <c r="G2886" s="2">
        <v>134317283</v>
      </c>
      <c r="H2886" t="s">
        <v>51</v>
      </c>
      <c r="I2886" t="s">
        <v>17</v>
      </c>
      <c r="J2886" t="s">
        <v>25</v>
      </c>
      <c r="K2886" t="s">
        <v>10275</v>
      </c>
    </row>
    <row r="2887" spans="1:11" x14ac:dyDescent="0.2">
      <c r="A2887" t="s">
        <v>10276</v>
      </c>
      <c r="B2887" t="s">
        <v>10277</v>
      </c>
      <c r="E2887" t="s">
        <v>10278</v>
      </c>
      <c r="F2887" s="2">
        <v>524184284</v>
      </c>
      <c r="G2887" s="2">
        <v>133985955</v>
      </c>
      <c r="H2887" t="s">
        <v>34</v>
      </c>
      <c r="I2887" t="s">
        <v>17</v>
      </c>
      <c r="J2887" t="s">
        <v>25</v>
      </c>
    </row>
    <row r="2888" spans="1:11" x14ac:dyDescent="0.2">
      <c r="A2888" t="s">
        <v>10279</v>
      </c>
      <c r="B2888" t="s">
        <v>10280</v>
      </c>
      <c r="F2888" s="2">
        <v>525285274</v>
      </c>
      <c r="G2888" s="2">
        <v>134575012</v>
      </c>
      <c r="H2888" t="s">
        <v>28</v>
      </c>
      <c r="I2888" t="s">
        <v>17</v>
      </c>
      <c r="J2888" t="s">
        <v>25</v>
      </c>
    </row>
    <row r="2889" spans="1:11" x14ac:dyDescent="0.2">
      <c r="A2889" t="s">
        <v>10281</v>
      </c>
      <c r="B2889" t="s">
        <v>10282</v>
      </c>
      <c r="C2889" t="s">
        <v>10283</v>
      </c>
      <c r="E2889" t="s">
        <v>10284</v>
      </c>
      <c r="F2889" s="2">
        <v>524327518</v>
      </c>
      <c r="G2889" s="2">
        <v>134720827</v>
      </c>
      <c r="H2889" t="s">
        <v>277</v>
      </c>
      <c r="I2889" t="s">
        <v>17</v>
      </c>
      <c r="J2889" t="s">
        <v>25</v>
      </c>
      <c r="K2889" t="s">
        <v>10285</v>
      </c>
    </row>
    <row r="2890" spans="1:11" x14ac:dyDescent="0.2">
      <c r="A2890" t="s">
        <v>10286</v>
      </c>
      <c r="B2890" t="s">
        <v>10287</v>
      </c>
      <c r="F2890" s="2">
        <v>524593621</v>
      </c>
      <c r="G2890" s="2">
        <v>135083407</v>
      </c>
      <c r="H2890" t="s">
        <v>28</v>
      </c>
      <c r="I2890" t="s">
        <v>17</v>
      </c>
      <c r="J2890" t="s">
        <v>25</v>
      </c>
    </row>
    <row r="2891" spans="1:11" x14ac:dyDescent="0.2">
      <c r="A2891" t="s">
        <v>10288</v>
      </c>
      <c r="B2891" t="s">
        <v>10289</v>
      </c>
      <c r="F2891" s="2">
        <v>52493873</v>
      </c>
      <c r="G2891" s="2">
        <v>134352644</v>
      </c>
      <c r="H2891" t="s">
        <v>28</v>
      </c>
      <c r="I2891" t="s">
        <v>17</v>
      </c>
      <c r="J2891" t="s">
        <v>25</v>
      </c>
    </row>
    <row r="2892" spans="1:11" x14ac:dyDescent="0.2">
      <c r="A2892" t="s">
        <v>10290</v>
      </c>
      <c r="B2892" t="s">
        <v>10291</v>
      </c>
      <c r="F2892" s="2">
        <v>524248059</v>
      </c>
      <c r="G2892" s="2">
        <v>135747571</v>
      </c>
      <c r="H2892" t="s">
        <v>28</v>
      </c>
      <c r="I2892" t="s">
        <v>17</v>
      </c>
      <c r="J2892" t="s">
        <v>25</v>
      </c>
    </row>
    <row r="2893" spans="1:11" x14ac:dyDescent="0.2">
      <c r="A2893" t="s">
        <v>10292</v>
      </c>
      <c r="B2893" t="s">
        <v>10293</v>
      </c>
      <c r="F2893" s="2">
        <v>525498058</v>
      </c>
      <c r="G2893" s="2">
        <v>134744744</v>
      </c>
      <c r="H2893" t="s">
        <v>28</v>
      </c>
      <c r="I2893" t="s">
        <v>17</v>
      </c>
      <c r="J2893" t="s">
        <v>25</v>
      </c>
    </row>
    <row r="2894" spans="1:11" x14ac:dyDescent="0.2">
      <c r="A2894" t="s">
        <v>10294</v>
      </c>
      <c r="B2894" t="s">
        <v>10295</v>
      </c>
      <c r="C2894" t="s">
        <v>10296</v>
      </c>
      <c r="E2894">
        <v>493043059908</v>
      </c>
      <c r="F2894" s="2">
        <v>524492921</v>
      </c>
      <c r="G2894" s="2">
        <v>136242468</v>
      </c>
      <c r="H2894" t="s">
        <v>38</v>
      </c>
      <c r="I2894" t="s">
        <v>17</v>
      </c>
      <c r="J2894" t="s">
        <v>25</v>
      </c>
    </row>
    <row r="2895" spans="1:11" x14ac:dyDescent="0.2">
      <c r="A2895" t="s">
        <v>10297</v>
      </c>
      <c r="B2895" t="s">
        <v>10298</v>
      </c>
      <c r="C2895" t="s">
        <v>10299</v>
      </c>
      <c r="D2895" t="s">
        <v>10300</v>
      </c>
      <c r="E2895" t="s">
        <v>10301</v>
      </c>
      <c r="F2895" s="2">
        <v>524152967</v>
      </c>
      <c r="G2895" s="2">
        <v>135820734</v>
      </c>
      <c r="H2895" t="s">
        <v>24</v>
      </c>
      <c r="I2895" t="s">
        <v>17</v>
      </c>
      <c r="J2895" t="s">
        <v>25</v>
      </c>
    </row>
    <row r="2896" spans="1:11" x14ac:dyDescent="0.2">
      <c r="A2896" t="s">
        <v>10302</v>
      </c>
      <c r="B2896" t="s">
        <v>10303</v>
      </c>
      <c r="F2896" s="2">
        <v>525382699</v>
      </c>
      <c r="G2896" s="2">
        <v>132031088</v>
      </c>
      <c r="H2896" t="s">
        <v>28</v>
      </c>
      <c r="I2896" t="s">
        <v>17</v>
      </c>
      <c r="J2896" t="s">
        <v>25</v>
      </c>
    </row>
    <row r="2897" spans="1:11" x14ac:dyDescent="0.2">
      <c r="A2897" t="s">
        <v>10304</v>
      </c>
      <c r="B2897" t="s">
        <v>10305</v>
      </c>
      <c r="C2897" t="s">
        <v>10306</v>
      </c>
      <c r="D2897" t="s">
        <v>10307</v>
      </c>
      <c r="F2897" s="2">
        <v>525367167</v>
      </c>
      <c r="G2897" s="2">
        <v>134107577</v>
      </c>
      <c r="H2897" t="s">
        <v>51</v>
      </c>
      <c r="I2897" t="s">
        <v>17</v>
      </c>
      <c r="J2897" t="s">
        <v>25</v>
      </c>
      <c r="K2897" t="s">
        <v>10308</v>
      </c>
    </row>
    <row r="2898" spans="1:11" x14ac:dyDescent="0.2">
      <c r="A2898" t="s">
        <v>10309</v>
      </c>
      <c r="C2898" t="s">
        <v>10310</v>
      </c>
      <c r="F2898" s="2">
        <v>525505799</v>
      </c>
      <c r="G2898" s="2">
        <v>134029953</v>
      </c>
      <c r="H2898" t="s">
        <v>255</v>
      </c>
      <c r="I2898" t="s">
        <v>17</v>
      </c>
      <c r="J2898" t="s">
        <v>25</v>
      </c>
    </row>
    <row r="2899" spans="1:11" x14ac:dyDescent="0.2">
      <c r="A2899" t="s">
        <v>10311</v>
      </c>
      <c r="B2899" t="s">
        <v>10312</v>
      </c>
      <c r="F2899" s="2">
        <v>524514865</v>
      </c>
      <c r="G2899" s="2">
        <v>133357461</v>
      </c>
      <c r="H2899" t="s">
        <v>28</v>
      </c>
      <c r="I2899" t="s">
        <v>17</v>
      </c>
      <c r="J2899" t="s">
        <v>25</v>
      </c>
    </row>
    <row r="2900" spans="1:11" x14ac:dyDescent="0.2">
      <c r="A2900" t="s">
        <v>10313</v>
      </c>
      <c r="B2900" t="s">
        <v>10314</v>
      </c>
      <c r="C2900" t="s">
        <v>10315</v>
      </c>
      <c r="F2900" s="2">
        <v>525433177</v>
      </c>
      <c r="G2900" s="2">
        <v>134420553</v>
      </c>
      <c r="H2900" t="s">
        <v>255</v>
      </c>
      <c r="I2900" t="s">
        <v>17</v>
      </c>
      <c r="J2900" t="s">
        <v>25</v>
      </c>
    </row>
    <row r="2901" spans="1:11" x14ac:dyDescent="0.2">
      <c r="A2901" t="s">
        <v>10316</v>
      </c>
      <c r="B2901" t="s">
        <v>10317</v>
      </c>
      <c r="C2901" t="s">
        <v>10318</v>
      </c>
      <c r="E2901" t="s">
        <v>10319</v>
      </c>
      <c r="F2901" s="2">
        <v>524403354</v>
      </c>
      <c r="G2901" s="2">
        <v>133274053</v>
      </c>
      <c r="H2901" t="s">
        <v>38</v>
      </c>
      <c r="I2901" t="s">
        <v>17</v>
      </c>
      <c r="J2901" t="s">
        <v>25</v>
      </c>
    </row>
    <row r="2902" spans="1:11" x14ac:dyDescent="0.2">
      <c r="A2902" t="s">
        <v>10320</v>
      </c>
      <c r="B2902" t="s">
        <v>10321</v>
      </c>
      <c r="C2902" t="s">
        <v>10322</v>
      </c>
      <c r="E2902" t="s">
        <v>10323</v>
      </c>
      <c r="F2902" s="2">
        <v>524660007</v>
      </c>
      <c r="G2902" s="2">
        <v>133298641</v>
      </c>
      <c r="H2902" t="s">
        <v>277</v>
      </c>
      <c r="I2902" t="s">
        <v>17</v>
      </c>
      <c r="J2902" t="s">
        <v>25</v>
      </c>
      <c r="K2902" t="s">
        <v>10324</v>
      </c>
    </row>
    <row r="2903" spans="1:11" x14ac:dyDescent="0.2">
      <c r="A2903" t="s">
        <v>10325</v>
      </c>
      <c r="B2903" t="s">
        <v>10326</v>
      </c>
      <c r="C2903" t="s">
        <v>10327</v>
      </c>
      <c r="E2903" t="s">
        <v>10328</v>
      </c>
      <c r="F2903" s="2">
        <v>524849807</v>
      </c>
      <c r="G2903" s="2">
        <v>134328355</v>
      </c>
      <c r="H2903" t="s">
        <v>38</v>
      </c>
      <c r="I2903" t="s">
        <v>17</v>
      </c>
      <c r="J2903" t="s">
        <v>25</v>
      </c>
    </row>
    <row r="2904" spans="1:11" x14ac:dyDescent="0.2">
      <c r="A2904" t="s">
        <v>10329</v>
      </c>
      <c r="B2904" t="s">
        <v>10330</v>
      </c>
      <c r="C2904" t="s">
        <v>10331</v>
      </c>
      <c r="F2904" s="2">
        <v>52532037</v>
      </c>
      <c r="G2904" s="2">
        <v>134312931</v>
      </c>
      <c r="H2904" t="s">
        <v>255</v>
      </c>
      <c r="I2904" t="s">
        <v>17</v>
      </c>
      <c r="J2904" t="s">
        <v>25</v>
      </c>
    </row>
    <row r="2905" spans="1:11" x14ac:dyDescent="0.2">
      <c r="A2905" t="s">
        <v>10332</v>
      </c>
      <c r="F2905" s="2">
        <v>524313019</v>
      </c>
      <c r="G2905" s="2">
        <v>135348911</v>
      </c>
      <c r="H2905" t="s">
        <v>28</v>
      </c>
      <c r="I2905" t="s">
        <v>17</v>
      </c>
      <c r="J2905" t="s">
        <v>25</v>
      </c>
    </row>
    <row r="2906" spans="1:11" x14ac:dyDescent="0.2">
      <c r="A2906" t="s">
        <v>10333</v>
      </c>
      <c r="B2906" t="s">
        <v>10334</v>
      </c>
      <c r="C2906" t="s">
        <v>10335</v>
      </c>
      <c r="E2906" t="s">
        <v>10336</v>
      </c>
      <c r="F2906" s="2">
        <v>524337842</v>
      </c>
      <c r="G2906" s="2">
        <v>135402305</v>
      </c>
      <c r="H2906" t="s">
        <v>277</v>
      </c>
      <c r="I2906" t="s">
        <v>17</v>
      </c>
      <c r="J2906" t="s">
        <v>25</v>
      </c>
      <c r="K2906" t="s">
        <v>10337</v>
      </c>
    </row>
    <row r="2907" spans="1:11" x14ac:dyDescent="0.2">
      <c r="A2907" t="s">
        <v>10338</v>
      </c>
      <c r="B2907" t="s">
        <v>10339</v>
      </c>
      <c r="F2907" s="2">
        <v>525319361</v>
      </c>
      <c r="G2907" s="2">
        <v>134157898</v>
      </c>
      <c r="H2907" t="s">
        <v>28</v>
      </c>
      <c r="I2907" t="s">
        <v>17</v>
      </c>
      <c r="J2907" t="s">
        <v>25</v>
      </c>
    </row>
    <row r="2908" spans="1:11" x14ac:dyDescent="0.2">
      <c r="A2908" t="s">
        <v>10340</v>
      </c>
      <c r="B2908" t="s">
        <v>10341</v>
      </c>
      <c r="E2908" t="s">
        <v>10342</v>
      </c>
      <c r="F2908" s="2">
        <v>525622824</v>
      </c>
      <c r="G2908" s="2">
        <v>13373601</v>
      </c>
      <c r="H2908" t="s">
        <v>34</v>
      </c>
      <c r="I2908" t="s">
        <v>17</v>
      </c>
      <c r="J2908" t="s">
        <v>25</v>
      </c>
    </row>
    <row r="2909" spans="1:11" x14ac:dyDescent="0.2">
      <c r="A2909" t="s">
        <v>10343</v>
      </c>
      <c r="B2909" t="s">
        <v>10344</v>
      </c>
      <c r="C2909" t="s">
        <v>10345</v>
      </c>
      <c r="E2909" t="s">
        <v>10346</v>
      </c>
      <c r="F2909" s="2">
        <v>525083282</v>
      </c>
      <c r="G2909" s="2">
        <v>134664074</v>
      </c>
      <c r="H2909" t="s">
        <v>277</v>
      </c>
      <c r="I2909" t="s">
        <v>17</v>
      </c>
      <c r="J2909" t="s">
        <v>25</v>
      </c>
      <c r="K2909" t="s">
        <v>10347</v>
      </c>
    </row>
    <row r="2910" spans="1:11" x14ac:dyDescent="0.2">
      <c r="A2910" t="s">
        <v>10348</v>
      </c>
      <c r="B2910" t="s">
        <v>10349</v>
      </c>
      <c r="F2910" s="2">
        <v>525071287</v>
      </c>
      <c r="G2910" s="2">
        <v>134709398</v>
      </c>
      <c r="H2910" t="s">
        <v>28</v>
      </c>
      <c r="I2910" t="s">
        <v>17</v>
      </c>
      <c r="J2910" t="s">
        <v>25</v>
      </c>
    </row>
    <row r="2911" spans="1:11" x14ac:dyDescent="0.2">
      <c r="A2911" t="s">
        <v>10350</v>
      </c>
      <c r="B2911" t="s">
        <v>10351</v>
      </c>
      <c r="E2911">
        <v>491629377777</v>
      </c>
      <c r="F2911" s="2">
        <v>525262826</v>
      </c>
      <c r="G2911" s="2">
        <v>133938089</v>
      </c>
      <c r="H2911" t="s">
        <v>34</v>
      </c>
      <c r="I2911" t="s">
        <v>17</v>
      </c>
      <c r="J2911" t="s">
        <v>25</v>
      </c>
    </row>
    <row r="2912" spans="1:11" x14ac:dyDescent="0.2">
      <c r="A2912" t="s">
        <v>10352</v>
      </c>
      <c r="B2912" t="s">
        <v>10353</v>
      </c>
      <c r="C2912" t="s">
        <v>10354</v>
      </c>
      <c r="F2912" s="2">
        <v>525075952</v>
      </c>
      <c r="G2912" s="2">
        <v>13467407</v>
      </c>
      <c r="H2912" t="s">
        <v>38</v>
      </c>
      <c r="I2912" t="s">
        <v>17</v>
      </c>
      <c r="J2912" t="s">
        <v>25</v>
      </c>
    </row>
    <row r="2913" spans="1:11" x14ac:dyDescent="0.2">
      <c r="A2913" t="s">
        <v>10355</v>
      </c>
      <c r="B2913" t="s">
        <v>10356</v>
      </c>
      <c r="C2913" t="s">
        <v>10357</v>
      </c>
      <c r="D2913" t="s">
        <v>10358</v>
      </c>
      <c r="E2913" t="s">
        <v>10359</v>
      </c>
      <c r="F2913" s="2">
        <v>525070849</v>
      </c>
      <c r="G2913" s="2">
        <v>133007937</v>
      </c>
      <c r="H2913" t="s">
        <v>24</v>
      </c>
      <c r="I2913" t="s">
        <v>17</v>
      </c>
      <c r="J2913" t="s">
        <v>25</v>
      </c>
    </row>
    <row r="2914" spans="1:11" x14ac:dyDescent="0.2">
      <c r="A2914" t="s">
        <v>10360</v>
      </c>
      <c r="B2914" t="s">
        <v>10361</v>
      </c>
      <c r="F2914" s="2">
        <v>525107993</v>
      </c>
      <c r="G2914" s="2">
        <v>132985345</v>
      </c>
      <c r="H2914" t="s">
        <v>28</v>
      </c>
      <c r="I2914" t="s">
        <v>17</v>
      </c>
      <c r="J2914" t="s">
        <v>25</v>
      </c>
    </row>
    <row r="2915" spans="1:11" x14ac:dyDescent="0.2">
      <c r="A2915" t="s">
        <v>10362</v>
      </c>
      <c r="C2915" t="s">
        <v>10363</v>
      </c>
      <c r="E2915" t="s">
        <v>10364</v>
      </c>
      <c r="F2915" s="2">
        <v>524444345</v>
      </c>
      <c r="G2915" s="2">
        <v>132947629</v>
      </c>
      <c r="H2915" t="s">
        <v>38</v>
      </c>
      <c r="I2915" t="s">
        <v>17</v>
      </c>
      <c r="J2915" t="s">
        <v>25</v>
      </c>
    </row>
    <row r="2916" spans="1:11" x14ac:dyDescent="0.2">
      <c r="A2916" t="s">
        <v>10365</v>
      </c>
      <c r="B2916" t="s">
        <v>10366</v>
      </c>
      <c r="C2916" t="s">
        <v>10367</v>
      </c>
      <c r="D2916" t="s">
        <v>10368</v>
      </c>
      <c r="E2916" t="s">
        <v>10369</v>
      </c>
      <c r="F2916" s="2">
        <v>52506743</v>
      </c>
      <c r="G2916" s="2">
        <v>133086538</v>
      </c>
      <c r="H2916" t="s">
        <v>24</v>
      </c>
      <c r="I2916" t="s">
        <v>17</v>
      </c>
      <c r="J2916" t="s">
        <v>25</v>
      </c>
    </row>
    <row r="2917" spans="1:11" x14ac:dyDescent="0.2">
      <c r="A2917" t="s">
        <v>10370</v>
      </c>
      <c r="B2917" t="s">
        <v>10371</v>
      </c>
      <c r="E2917" t="s">
        <v>10372</v>
      </c>
      <c r="F2917" s="2">
        <v>524797382</v>
      </c>
      <c r="G2917" s="2">
        <v>134436298</v>
      </c>
      <c r="H2917" t="s">
        <v>34</v>
      </c>
      <c r="I2917" t="s">
        <v>17</v>
      </c>
      <c r="J2917" t="s">
        <v>25</v>
      </c>
    </row>
    <row r="2918" spans="1:11" x14ac:dyDescent="0.2">
      <c r="A2918" t="s">
        <v>10373</v>
      </c>
      <c r="B2918" t="s">
        <v>10374</v>
      </c>
      <c r="C2918" t="s">
        <v>10375</v>
      </c>
      <c r="E2918" t="s">
        <v>10376</v>
      </c>
      <c r="F2918" s="2">
        <v>52467413</v>
      </c>
      <c r="G2918" s="2">
        <v>133084766</v>
      </c>
      <c r="H2918" t="s">
        <v>38</v>
      </c>
      <c r="I2918" t="s">
        <v>17</v>
      </c>
      <c r="J2918" t="s">
        <v>25</v>
      </c>
    </row>
    <row r="2919" spans="1:11" x14ac:dyDescent="0.2">
      <c r="A2919" t="s">
        <v>10377</v>
      </c>
      <c r="B2919" t="s">
        <v>10378</v>
      </c>
      <c r="C2919" t="s">
        <v>10379</v>
      </c>
      <c r="E2919">
        <f>1-860-828-8808</f>
        <v>-10495</v>
      </c>
      <c r="F2919" s="2">
        <v>416299992</v>
      </c>
      <c r="G2919" s="2">
        <v>-727559941</v>
      </c>
      <c r="H2919" t="s">
        <v>38</v>
      </c>
      <c r="I2919" t="s">
        <v>17</v>
      </c>
      <c r="J2919" t="s">
        <v>25</v>
      </c>
    </row>
    <row r="2920" spans="1:11" x14ac:dyDescent="0.2">
      <c r="A2920" t="s">
        <v>10380</v>
      </c>
      <c r="B2920" t="s">
        <v>10381</v>
      </c>
      <c r="C2920" t="s">
        <v>10382</v>
      </c>
      <c r="D2920" t="s">
        <v>10383</v>
      </c>
      <c r="E2920" t="s">
        <v>10384</v>
      </c>
      <c r="F2920" s="2">
        <v>525173106</v>
      </c>
      <c r="G2920" s="2">
        <v>134714476</v>
      </c>
      <c r="H2920" t="s">
        <v>51</v>
      </c>
      <c r="I2920" t="s">
        <v>17</v>
      </c>
      <c r="J2920" t="s">
        <v>25</v>
      </c>
      <c r="K2920" t="s">
        <v>10385</v>
      </c>
    </row>
    <row r="2921" spans="1:11" x14ac:dyDescent="0.2">
      <c r="A2921" t="s">
        <v>10386</v>
      </c>
      <c r="B2921" t="s">
        <v>10387</v>
      </c>
      <c r="C2921" t="s">
        <v>10388</v>
      </c>
      <c r="F2921" s="2">
        <v>524765808</v>
      </c>
      <c r="G2921" s="2">
        <v>133607602</v>
      </c>
      <c r="H2921" t="s">
        <v>277</v>
      </c>
      <c r="I2921" t="s">
        <v>17</v>
      </c>
      <c r="J2921" t="s">
        <v>25</v>
      </c>
      <c r="K2921" t="s">
        <v>10389</v>
      </c>
    </row>
    <row r="2922" spans="1:11" x14ac:dyDescent="0.2">
      <c r="A2922" t="s">
        <v>10390</v>
      </c>
      <c r="B2922" t="s">
        <v>10391</v>
      </c>
      <c r="F2922" s="2">
        <v>524657234</v>
      </c>
      <c r="G2922" s="2">
        <v>134320971</v>
      </c>
      <c r="H2922" t="s">
        <v>28</v>
      </c>
      <c r="I2922" t="s">
        <v>17</v>
      </c>
      <c r="J2922" t="s">
        <v>25</v>
      </c>
    </row>
    <row r="2923" spans="1:11" x14ac:dyDescent="0.2">
      <c r="A2923" t="s">
        <v>10392</v>
      </c>
      <c r="B2923" t="s">
        <v>10393</v>
      </c>
      <c r="C2923" t="s">
        <v>10394</v>
      </c>
      <c r="E2923" t="s">
        <v>10395</v>
      </c>
      <c r="F2923" s="2">
        <v>524536238</v>
      </c>
      <c r="G2923" s="2">
        <v>136253093</v>
      </c>
      <c r="H2923" t="s">
        <v>38</v>
      </c>
      <c r="I2923" t="s">
        <v>17</v>
      </c>
      <c r="J2923" t="s">
        <v>25</v>
      </c>
    </row>
    <row r="2924" spans="1:11" x14ac:dyDescent="0.2">
      <c r="A2924" t="s">
        <v>10396</v>
      </c>
      <c r="B2924" t="s">
        <v>10397</v>
      </c>
      <c r="C2924" t="s">
        <v>10398</v>
      </c>
      <c r="D2924" t="s">
        <v>10399</v>
      </c>
      <c r="E2924" t="s">
        <v>10400</v>
      </c>
      <c r="F2924" s="2">
        <v>525487927</v>
      </c>
      <c r="G2924" s="2">
        <v>134495209</v>
      </c>
      <c r="H2924" t="s">
        <v>51</v>
      </c>
      <c r="I2924" t="s">
        <v>17</v>
      </c>
      <c r="J2924" t="s">
        <v>25</v>
      </c>
      <c r="K2924" t="s">
        <v>10401</v>
      </c>
    </row>
    <row r="2925" spans="1:11" x14ac:dyDescent="0.2">
      <c r="A2925" t="s">
        <v>10402</v>
      </c>
      <c r="F2925" s="2">
        <v>525287357</v>
      </c>
      <c r="G2925" s="2">
        <v>133939791</v>
      </c>
      <c r="H2925" t="s">
        <v>28</v>
      </c>
      <c r="I2925" t="s">
        <v>17</v>
      </c>
      <c r="J2925" t="s">
        <v>25</v>
      </c>
    </row>
    <row r="2926" spans="1:11" x14ac:dyDescent="0.2">
      <c r="A2926" t="s">
        <v>10403</v>
      </c>
      <c r="B2926" t="s">
        <v>10404</v>
      </c>
      <c r="C2926" t="s">
        <v>10405</v>
      </c>
      <c r="D2926" t="s">
        <v>10406</v>
      </c>
      <c r="E2926" t="s">
        <v>10407</v>
      </c>
      <c r="F2926" s="2">
        <v>524949138</v>
      </c>
      <c r="G2926" s="2">
        <v>133397529</v>
      </c>
      <c r="H2926" t="s">
        <v>51</v>
      </c>
      <c r="I2926" t="s">
        <v>17</v>
      </c>
      <c r="J2926" t="s">
        <v>25</v>
      </c>
      <c r="K2926" t="s">
        <v>10408</v>
      </c>
    </row>
    <row r="2927" spans="1:11" x14ac:dyDescent="0.2">
      <c r="A2927" t="s">
        <v>10409</v>
      </c>
      <c r="B2927" t="s">
        <v>10410</v>
      </c>
      <c r="C2927" t="s">
        <v>10411</v>
      </c>
      <c r="D2927" t="s">
        <v>10412</v>
      </c>
      <c r="E2927" t="s">
        <v>10413</v>
      </c>
      <c r="F2927" s="2">
        <v>52489858</v>
      </c>
      <c r="G2927" s="2">
        <v>133545923</v>
      </c>
      <c r="H2927" t="s">
        <v>51</v>
      </c>
      <c r="I2927" t="s">
        <v>17</v>
      </c>
      <c r="J2927" t="s">
        <v>25</v>
      </c>
      <c r="K2927" t="s">
        <v>10414</v>
      </c>
    </row>
    <row r="2928" spans="1:11" x14ac:dyDescent="0.2">
      <c r="A2928" t="s">
        <v>10415</v>
      </c>
      <c r="B2928" t="s">
        <v>10416</v>
      </c>
      <c r="C2928" t="s">
        <v>10417</v>
      </c>
      <c r="F2928" s="2">
        <v>525275672</v>
      </c>
      <c r="G2928" s="2">
        <v>133884355</v>
      </c>
      <c r="H2928" t="s">
        <v>255</v>
      </c>
      <c r="I2928" t="s">
        <v>17</v>
      </c>
      <c r="J2928" t="s">
        <v>25</v>
      </c>
    </row>
    <row r="2929" spans="1:10" x14ac:dyDescent="0.2">
      <c r="A2929" t="s">
        <v>10418</v>
      </c>
      <c r="B2929" t="s">
        <v>10419</v>
      </c>
      <c r="C2929" t="s">
        <v>10420</v>
      </c>
      <c r="D2929" t="s">
        <v>10421</v>
      </c>
      <c r="E2929" t="s">
        <v>10422</v>
      </c>
      <c r="F2929" s="2">
        <v>525882166</v>
      </c>
      <c r="G2929" s="2">
        <v>134124072</v>
      </c>
      <c r="H2929" t="s">
        <v>24</v>
      </c>
      <c r="I2929" t="s">
        <v>17</v>
      </c>
      <c r="J2929" t="s">
        <v>25</v>
      </c>
    </row>
    <row r="2930" spans="1:10" x14ac:dyDescent="0.2">
      <c r="A2930" t="s">
        <v>10423</v>
      </c>
      <c r="B2930" t="s">
        <v>3448</v>
      </c>
      <c r="F2930" s="2">
        <v>525305652</v>
      </c>
      <c r="G2930" s="2">
        <v>133835659</v>
      </c>
      <c r="H2930" t="s">
        <v>28</v>
      </c>
      <c r="I2930" t="s">
        <v>17</v>
      </c>
      <c r="J2930" t="s">
        <v>25</v>
      </c>
    </row>
    <row r="2931" spans="1:10" x14ac:dyDescent="0.2">
      <c r="A2931" t="s">
        <v>10424</v>
      </c>
      <c r="F2931" s="2">
        <v>525156149</v>
      </c>
      <c r="G2931" s="2">
        <v>134645444</v>
      </c>
      <c r="H2931" t="s">
        <v>28</v>
      </c>
      <c r="I2931" t="s">
        <v>17</v>
      </c>
      <c r="J2931" t="s">
        <v>25</v>
      </c>
    </row>
    <row r="2932" spans="1:10" x14ac:dyDescent="0.2">
      <c r="A2932" t="s">
        <v>10425</v>
      </c>
      <c r="B2932" t="s">
        <v>10426</v>
      </c>
      <c r="F2932" s="2">
        <v>524828157</v>
      </c>
      <c r="G2932" s="2">
        <v>134413761</v>
      </c>
      <c r="H2932" t="s">
        <v>28</v>
      </c>
      <c r="I2932" t="s">
        <v>17</v>
      </c>
      <c r="J2932" t="s">
        <v>25</v>
      </c>
    </row>
    <row r="2933" spans="1:10" x14ac:dyDescent="0.2">
      <c r="A2933" t="s">
        <v>10427</v>
      </c>
      <c r="B2933" t="s">
        <v>10428</v>
      </c>
      <c r="F2933" s="2">
        <v>526259414</v>
      </c>
      <c r="G2933" s="2">
        <v>132916075</v>
      </c>
      <c r="H2933" t="s">
        <v>28</v>
      </c>
      <c r="I2933" t="s">
        <v>17</v>
      </c>
      <c r="J2933" t="s">
        <v>25</v>
      </c>
    </row>
    <row r="2934" spans="1:10" x14ac:dyDescent="0.2">
      <c r="A2934" t="s">
        <v>10429</v>
      </c>
      <c r="B2934" t="s">
        <v>10430</v>
      </c>
      <c r="C2934" t="s">
        <v>10431</v>
      </c>
      <c r="E2934" t="s">
        <v>10432</v>
      </c>
      <c r="F2934" s="2">
        <v>524954482</v>
      </c>
      <c r="G2934" s="2">
        <v>134211907</v>
      </c>
      <c r="H2934" t="s">
        <v>38</v>
      </c>
      <c r="I2934" t="s">
        <v>17</v>
      </c>
      <c r="J2934" t="s">
        <v>25</v>
      </c>
    </row>
    <row r="2935" spans="1:10" x14ac:dyDescent="0.2">
      <c r="A2935" t="s">
        <v>10433</v>
      </c>
      <c r="B2935" t="s">
        <v>10434</v>
      </c>
      <c r="C2935" t="s">
        <v>10435</v>
      </c>
      <c r="E2935" t="s">
        <v>10436</v>
      </c>
      <c r="F2935" s="2">
        <v>524854772</v>
      </c>
      <c r="G2935" s="2">
        <v>133613187</v>
      </c>
      <c r="H2935" t="s">
        <v>38</v>
      </c>
      <c r="I2935" t="s">
        <v>17</v>
      </c>
      <c r="J2935" t="s">
        <v>25</v>
      </c>
    </row>
    <row r="2936" spans="1:10" x14ac:dyDescent="0.2">
      <c r="A2936" t="s">
        <v>10437</v>
      </c>
      <c r="B2936" t="s">
        <v>10438</v>
      </c>
      <c r="F2936" s="2">
        <v>524662115</v>
      </c>
      <c r="G2936" s="2">
        <v>134318334</v>
      </c>
      <c r="H2936" t="s">
        <v>28</v>
      </c>
      <c r="I2936" t="s">
        <v>17</v>
      </c>
      <c r="J2936" t="s">
        <v>25</v>
      </c>
    </row>
    <row r="2937" spans="1:10" x14ac:dyDescent="0.2">
      <c r="A2937" t="s">
        <v>10439</v>
      </c>
      <c r="B2937" t="s">
        <v>10440</v>
      </c>
      <c r="C2937" t="s">
        <v>10441</v>
      </c>
      <c r="D2937" t="s">
        <v>10442</v>
      </c>
      <c r="E2937">
        <v>493054893752</v>
      </c>
      <c r="F2937" s="2">
        <v>524599331</v>
      </c>
      <c r="G2937" s="2">
        <v>135290884</v>
      </c>
      <c r="H2937" t="s">
        <v>16</v>
      </c>
      <c r="I2937" t="s">
        <v>17</v>
      </c>
      <c r="J2937" t="s">
        <v>25</v>
      </c>
    </row>
    <row r="2938" spans="1:10" x14ac:dyDescent="0.2">
      <c r="A2938" t="s">
        <v>10443</v>
      </c>
      <c r="B2938" t="s">
        <v>10268</v>
      </c>
      <c r="C2938" t="s">
        <v>10444</v>
      </c>
      <c r="E2938" t="s">
        <v>10445</v>
      </c>
      <c r="F2938" s="2">
        <v>525406037</v>
      </c>
      <c r="G2938" s="2">
        <v>131321682</v>
      </c>
      <c r="H2938" t="s">
        <v>38</v>
      </c>
      <c r="I2938" t="s">
        <v>17</v>
      </c>
      <c r="J2938" t="s">
        <v>25</v>
      </c>
    </row>
    <row r="2939" spans="1:10" x14ac:dyDescent="0.2">
      <c r="A2939" t="s">
        <v>10446</v>
      </c>
      <c r="B2939" t="s">
        <v>10447</v>
      </c>
      <c r="D2939" t="s">
        <v>10448</v>
      </c>
      <c r="E2939" t="s">
        <v>10449</v>
      </c>
      <c r="F2939" s="2">
        <v>525365434</v>
      </c>
      <c r="G2939" s="2">
        <v>134208704</v>
      </c>
      <c r="H2939" t="s">
        <v>1107</v>
      </c>
      <c r="I2939" t="s">
        <v>17</v>
      </c>
      <c r="J2939" t="s">
        <v>25</v>
      </c>
    </row>
    <row r="2940" spans="1:10" x14ac:dyDescent="0.2">
      <c r="A2940" t="s">
        <v>10450</v>
      </c>
      <c r="F2940" s="2">
        <v>525622834</v>
      </c>
      <c r="G2940" s="2">
        <v>133532886</v>
      </c>
      <c r="H2940" t="s">
        <v>28</v>
      </c>
      <c r="I2940" t="s">
        <v>17</v>
      </c>
      <c r="J2940" t="s">
        <v>25</v>
      </c>
    </row>
    <row r="2941" spans="1:10" x14ac:dyDescent="0.2">
      <c r="A2941" t="s">
        <v>10451</v>
      </c>
      <c r="F2941" s="2">
        <v>525623969</v>
      </c>
      <c r="G2941" s="2">
        <v>13356956</v>
      </c>
      <c r="H2941" t="s">
        <v>28</v>
      </c>
      <c r="I2941" t="s">
        <v>17</v>
      </c>
      <c r="J2941" t="s">
        <v>25</v>
      </c>
    </row>
    <row r="2942" spans="1:10" x14ac:dyDescent="0.2">
      <c r="A2942" t="s">
        <v>10452</v>
      </c>
      <c r="B2942" t="s">
        <v>10453</v>
      </c>
      <c r="F2942" s="2">
        <v>52532281</v>
      </c>
      <c r="G2942" s="2">
        <v>133498266</v>
      </c>
      <c r="H2942" t="s">
        <v>28</v>
      </c>
      <c r="I2942" t="s">
        <v>17</v>
      </c>
      <c r="J2942" t="s">
        <v>25</v>
      </c>
    </row>
    <row r="2943" spans="1:10" x14ac:dyDescent="0.2">
      <c r="A2943" t="s">
        <v>10454</v>
      </c>
      <c r="B2943" t="s">
        <v>10455</v>
      </c>
      <c r="E2943" t="s">
        <v>10456</v>
      </c>
      <c r="F2943" s="2">
        <v>525082331</v>
      </c>
      <c r="G2943" s="2">
        <v>133092634</v>
      </c>
      <c r="H2943" t="s">
        <v>34</v>
      </c>
      <c r="I2943" t="s">
        <v>17</v>
      </c>
      <c r="J2943" t="s">
        <v>25</v>
      </c>
    </row>
    <row r="2944" spans="1:10" x14ac:dyDescent="0.2">
      <c r="A2944" t="s">
        <v>10457</v>
      </c>
      <c r="B2944" t="s">
        <v>10458</v>
      </c>
      <c r="C2944" t="s">
        <v>10459</v>
      </c>
      <c r="D2944" t="s">
        <v>10460</v>
      </c>
      <c r="E2944" t="s">
        <v>10461</v>
      </c>
      <c r="F2944" s="2">
        <v>524580091</v>
      </c>
      <c r="G2944" s="2">
        <v>133181695</v>
      </c>
      <c r="H2944" t="s">
        <v>24</v>
      </c>
      <c r="I2944" t="s">
        <v>17</v>
      </c>
      <c r="J2944" t="s">
        <v>25</v>
      </c>
    </row>
    <row r="2945" spans="1:11" x14ac:dyDescent="0.2">
      <c r="A2945" t="s">
        <v>10462</v>
      </c>
      <c r="B2945" t="s">
        <v>10463</v>
      </c>
      <c r="C2945" t="s">
        <v>10464</v>
      </c>
      <c r="D2945" t="s">
        <v>10465</v>
      </c>
      <c r="E2945" t="s">
        <v>10466</v>
      </c>
      <c r="F2945" s="2">
        <v>525030465</v>
      </c>
      <c r="G2945" s="2">
        <v>133665504</v>
      </c>
      <c r="H2945" t="s">
        <v>51</v>
      </c>
      <c r="I2945" t="s">
        <v>17</v>
      </c>
      <c r="J2945" t="s">
        <v>25</v>
      </c>
      <c r="K2945" t="s">
        <v>10467</v>
      </c>
    </row>
    <row r="2946" spans="1:11" x14ac:dyDescent="0.2">
      <c r="A2946" t="s">
        <v>10468</v>
      </c>
      <c r="B2946" t="s">
        <v>10469</v>
      </c>
      <c r="F2946" s="2">
        <v>525257146</v>
      </c>
      <c r="G2946" s="2">
        <v>133988543</v>
      </c>
      <c r="H2946" t="s">
        <v>28</v>
      </c>
      <c r="I2946" t="s">
        <v>17</v>
      </c>
      <c r="J2946" t="s">
        <v>25</v>
      </c>
    </row>
    <row r="2947" spans="1:11" x14ac:dyDescent="0.2">
      <c r="A2947" t="s">
        <v>10470</v>
      </c>
      <c r="F2947" s="2">
        <v>525692227</v>
      </c>
      <c r="G2947" s="2">
        <v>133514078</v>
      </c>
      <c r="H2947" t="s">
        <v>28</v>
      </c>
      <c r="I2947" t="s">
        <v>17</v>
      </c>
      <c r="J2947" t="s">
        <v>25</v>
      </c>
    </row>
    <row r="2948" spans="1:11" x14ac:dyDescent="0.2">
      <c r="A2948" t="s">
        <v>10471</v>
      </c>
      <c r="B2948" t="s">
        <v>10472</v>
      </c>
      <c r="C2948" t="s">
        <v>10473</v>
      </c>
      <c r="F2948" s="2">
        <v>525077194</v>
      </c>
      <c r="G2948" s="2">
        <v>134500181</v>
      </c>
      <c r="H2948" t="s">
        <v>277</v>
      </c>
      <c r="I2948" t="s">
        <v>17</v>
      </c>
      <c r="J2948" t="s">
        <v>25</v>
      </c>
      <c r="K2948" t="s">
        <v>10474</v>
      </c>
    </row>
    <row r="2949" spans="1:11" x14ac:dyDescent="0.2">
      <c r="A2949" t="s">
        <v>10475</v>
      </c>
      <c r="B2949" t="s">
        <v>10476</v>
      </c>
      <c r="F2949" s="2">
        <v>524660478</v>
      </c>
      <c r="G2949" s="2">
        <v>133062983</v>
      </c>
      <c r="H2949" t="s">
        <v>28</v>
      </c>
      <c r="I2949" t="s">
        <v>17</v>
      </c>
      <c r="J2949" t="s">
        <v>25</v>
      </c>
    </row>
    <row r="2950" spans="1:11" x14ac:dyDescent="0.2">
      <c r="A2950" t="s">
        <v>10477</v>
      </c>
      <c r="B2950" t="s">
        <v>10478</v>
      </c>
      <c r="F2950" s="2">
        <v>525379361</v>
      </c>
      <c r="G2950" s="2">
        <v>134230952</v>
      </c>
      <c r="H2950" t="s">
        <v>28</v>
      </c>
      <c r="I2950" t="s">
        <v>17</v>
      </c>
      <c r="J2950" t="s">
        <v>25</v>
      </c>
    </row>
    <row r="2951" spans="1:11" x14ac:dyDescent="0.2">
      <c r="A2951" t="s">
        <v>10479</v>
      </c>
      <c r="B2951" t="s">
        <v>10480</v>
      </c>
      <c r="F2951" s="2">
        <v>524877367</v>
      </c>
      <c r="G2951" s="2">
        <v>134199484</v>
      </c>
      <c r="H2951" t="s">
        <v>28</v>
      </c>
      <c r="I2951" t="s">
        <v>17</v>
      </c>
      <c r="J2951" t="s">
        <v>25</v>
      </c>
    </row>
    <row r="2952" spans="1:11" x14ac:dyDescent="0.2">
      <c r="A2952" t="s">
        <v>10481</v>
      </c>
      <c r="B2952" t="s">
        <v>10482</v>
      </c>
      <c r="C2952" t="s">
        <v>10483</v>
      </c>
      <c r="E2952" t="s">
        <v>10484</v>
      </c>
      <c r="F2952" s="2">
        <v>524208825</v>
      </c>
      <c r="G2952" s="2">
        <v>131680712</v>
      </c>
      <c r="H2952" t="s">
        <v>38</v>
      </c>
      <c r="I2952" t="s">
        <v>17</v>
      </c>
      <c r="J2952" t="s">
        <v>25</v>
      </c>
    </row>
    <row r="2953" spans="1:11" x14ac:dyDescent="0.2">
      <c r="A2953" t="s">
        <v>10485</v>
      </c>
      <c r="F2953" s="2">
        <v>525244893</v>
      </c>
      <c r="G2953" s="2">
        <v>133488717</v>
      </c>
      <c r="H2953" t="s">
        <v>28</v>
      </c>
      <c r="I2953" t="s">
        <v>17</v>
      </c>
      <c r="J2953" t="s">
        <v>25</v>
      </c>
    </row>
    <row r="2954" spans="1:11" x14ac:dyDescent="0.2">
      <c r="A2954" t="s">
        <v>10486</v>
      </c>
      <c r="B2954" t="s">
        <v>10487</v>
      </c>
      <c r="C2954" t="s">
        <v>10488</v>
      </c>
      <c r="D2954" t="s">
        <v>10489</v>
      </c>
      <c r="F2954" s="2">
        <v>525259096</v>
      </c>
      <c r="G2954" s="2">
        <v>133875602</v>
      </c>
      <c r="H2954" t="s">
        <v>16</v>
      </c>
      <c r="I2954" t="s">
        <v>17</v>
      </c>
      <c r="J2954" t="s">
        <v>25</v>
      </c>
    </row>
    <row r="2955" spans="1:11" x14ac:dyDescent="0.2">
      <c r="A2955" t="s">
        <v>10490</v>
      </c>
      <c r="B2955" t="s">
        <v>10491</v>
      </c>
      <c r="C2955" t="s">
        <v>10492</v>
      </c>
      <c r="D2955" t="s">
        <v>10493</v>
      </c>
      <c r="E2955" t="s">
        <v>10494</v>
      </c>
      <c r="F2955" s="2">
        <v>524851453</v>
      </c>
      <c r="G2955" s="2">
        <v>133616307</v>
      </c>
      <c r="H2955" t="s">
        <v>24</v>
      </c>
      <c r="I2955" t="s">
        <v>17</v>
      </c>
      <c r="J2955" t="s">
        <v>25</v>
      </c>
    </row>
    <row r="2956" spans="1:11" x14ac:dyDescent="0.2">
      <c r="A2956" t="s">
        <v>10495</v>
      </c>
      <c r="B2956" t="s">
        <v>10496</v>
      </c>
      <c r="E2956" t="s">
        <v>10497</v>
      </c>
      <c r="F2956" s="2">
        <v>525430018</v>
      </c>
      <c r="G2956" s="2">
        <v>134258771</v>
      </c>
      <c r="H2956" t="s">
        <v>34</v>
      </c>
      <c r="I2956" t="s">
        <v>17</v>
      </c>
      <c r="J2956" t="s">
        <v>25</v>
      </c>
    </row>
    <row r="2957" spans="1:11" x14ac:dyDescent="0.2">
      <c r="A2957" t="s">
        <v>10498</v>
      </c>
      <c r="B2957" t="s">
        <v>10499</v>
      </c>
      <c r="F2957" s="2">
        <v>524983535</v>
      </c>
      <c r="G2957" s="2">
        <v>133544844</v>
      </c>
      <c r="H2957" t="s">
        <v>28</v>
      </c>
      <c r="I2957" t="s">
        <v>17</v>
      </c>
      <c r="J2957" t="s">
        <v>25</v>
      </c>
    </row>
    <row r="2958" spans="1:11" x14ac:dyDescent="0.2">
      <c r="A2958" t="s">
        <v>10500</v>
      </c>
      <c r="B2958" t="s">
        <v>10501</v>
      </c>
      <c r="C2958" t="s">
        <v>10502</v>
      </c>
      <c r="F2958" s="2">
        <v>524932506</v>
      </c>
      <c r="G2958" s="2">
        <v>134146128</v>
      </c>
      <c r="H2958" t="s">
        <v>277</v>
      </c>
      <c r="I2958" t="s">
        <v>17</v>
      </c>
      <c r="J2958" t="s">
        <v>25</v>
      </c>
      <c r="K2958" t="s">
        <v>10503</v>
      </c>
    </row>
    <row r="2959" spans="1:11" x14ac:dyDescent="0.2">
      <c r="A2959" t="s">
        <v>10504</v>
      </c>
      <c r="B2959" t="s">
        <v>10505</v>
      </c>
      <c r="F2959" s="2">
        <v>525167071</v>
      </c>
      <c r="G2959" s="2">
        <v>13389083</v>
      </c>
      <c r="H2959" t="s">
        <v>28</v>
      </c>
      <c r="I2959" t="s">
        <v>17</v>
      </c>
      <c r="J2959" t="s">
        <v>25</v>
      </c>
    </row>
    <row r="2960" spans="1:11" x14ac:dyDescent="0.2">
      <c r="A2960" t="s">
        <v>10506</v>
      </c>
      <c r="B2960" t="s">
        <v>10507</v>
      </c>
      <c r="C2960" t="s">
        <v>10508</v>
      </c>
      <c r="D2960" t="s">
        <v>10509</v>
      </c>
      <c r="E2960" t="s">
        <v>10510</v>
      </c>
      <c r="F2960" s="2">
        <v>525099377</v>
      </c>
      <c r="G2960" s="2">
        <v>133233003</v>
      </c>
      <c r="H2960" t="s">
        <v>16</v>
      </c>
      <c r="I2960" t="s">
        <v>17</v>
      </c>
      <c r="J2960" t="s">
        <v>25</v>
      </c>
    </row>
    <row r="2961" spans="1:11" x14ac:dyDescent="0.2">
      <c r="A2961" t="s">
        <v>10511</v>
      </c>
      <c r="B2961" t="s">
        <v>10512</v>
      </c>
      <c r="F2961" s="2">
        <v>525135954</v>
      </c>
      <c r="G2961" s="2">
        <v>133811156</v>
      </c>
      <c r="H2961" t="s">
        <v>28</v>
      </c>
      <c r="I2961" t="s">
        <v>17</v>
      </c>
      <c r="J2961" t="s">
        <v>25</v>
      </c>
    </row>
    <row r="2962" spans="1:11" x14ac:dyDescent="0.2">
      <c r="A2962" t="s">
        <v>10513</v>
      </c>
      <c r="C2962" t="s">
        <v>10514</v>
      </c>
      <c r="F2962" s="2">
        <v>524575147</v>
      </c>
      <c r="G2962" s="2">
        <v>134808418</v>
      </c>
      <c r="H2962" t="s">
        <v>3120</v>
      </c>
      <c r="I2962" t="s">
        <v>17</v>
      </c>
      <c r="J2962" t="s">
        <v>25</v>
      </c>
      <c r="K2962" t="s">
        <v>10515</v>
      </c>
    </row>
    <row r="2963" spans="1:11" x14ac:dyDescent="0.2">
      <c r="A2963" t="s">
        <v>10516</v>
      </c>
      <c r="B2963" t="s">
        <v>10517</v>
      </c>
      <c r="C2963" t="s">
        <v>10518</v>
      </c>
      <c r="D2963" t="s">
        <v>10519</v>
      </c>
      <c r="E2963">
        <f>1-860-505-7867</f>
        <v>-9231</v>
      </c>
      <c r="F2963" s="2">
        <v>416293729</v>
      </c>
      <c r="G2963" s="2">
        <v>-727582387</v>
      </c>
      <c r="H2963" t="s">
        <v>16</v>
      </c>
      <c r="I2963" t="s">
        <v>17</v>
      </c>
      <c r="J2963" t="s">
        <v>25</v>
      </c>
    </row>
    <row r="2964" spans="1:11" x14ac:dyDescent="0.2">
      <c r="A2964" t="s">
        <v>10520</v>
      </c>
      <c r="B2964" t="s">
        <v>10521</v>
      </c>
      <c r="C2964" t="s">
        <v>10522</v>
      </c>
      <c r="E2964" t="s">
        <v>10523</v>
      </c>
      <c r="F2964" s="2">
        <v>525493194</v>
      </c>
      <c r="G2964" s="2">
        <v>13407594</v>
      </c>
      <c r="H2964" t="s">
        <v>38</v>
      </c>
      <c r="I2964" t="s">
        <v>17</v>
      </c>
      <c r="J2964" t="s">
        <v>25</v>
      </c>
    </row>
    <row r="2965" spans="1:11" x14ac:dyDescent="0.2">
      <c r="A2965" t="s">
        <v>10524</v>
      </c>
      <c r="F2965" s="2">
        <v>525257754</v>
      </c>
      <c r="G2965" s="2">
        <v>133875986</v>
      </c>
      <c r="H2965" t="s">
        <v>28</v>
      </c>
      <c r="I2965" t="s">
        <v>17</v>
      </c>
      <c r="J2965" t="s">
        <v>25</v>
      </c>
    </row>
    <row r="2966" spans="1:11" x14ac:dyDescent="0.2">
      <c r="A2966" t="s">
        <v>10525</v>
      </c>
      <c r="B2966" t="s">
        <v>10526</v>
      </c>
      <c r="C2966" t="s">
        <v>10527</v>
      </c>
      <c r="E2966" t="s">
        <v>10528</v>
      </c>
      <c r="F2966" s="2">
        <v>525034178</v>
      </c>
      <c r="G2966" s="2">
        <v>133929014</v>
      </c>
      <c r="H2966" t="s">
        <v>38</v>
      </c>
      <c r="I2966" t="s">
        <v>17</v>
      </c>
      <c r="J2966" t="s">
        <v>25</v>
      </c>
    </row>
    <row r="2967" spans="1:11" x14ac:dyDescent="0.2">
      <c r="A2967" t="s">
        <v>10529</v>
      </c>
      <c r="B2967" t="s">
        <v>10530</v>
      </c>
      <c r="C2967" t="s">
        <v>10531</v>
      </c>
      <c r="D2967" t="s">
        <v>10532</v>
      </c>
      <c r="E2967" t="s">
        <v>10533</v>
      </c>
      <c r="F2967" s="2">
        <v>525175706</v>
      </c>
      <c r="G2967" s="2">
        <v>132900232</v>
      </c>
      <c r="H2967" t="s">
        <v>24</v>
      </c>
      <c r="I2967" t="s">
        <v>17</v>
      </c>
      <c r="J2967" t="s">
        <v>25</v>
      </c>
    </row>
    <row r="2968" spans="1:11" x14ac:dyDescent="0.2">
      <c r="A2968" t="s">
        <v>10534</v>
      </c>
      <c r="C2968" t="s">
        <v>10535</v>
      </c>
      <c r="D2968" t="s">
        <v>10536</v>
      </c>
      <c r="F2968" s="2">
        <v>525026938</v>
      </c>
      <c r="G2968" s="2">
        <v>133092106</v>
      </c>
      <c r="H2968" t="s">
        <v>51</v>
      </c>
      <c r="I2968" t="s">
        <v>17</v>
      </c>
      <c r="J2968" t="s">
        <v>25</v>
      </c>
      <c r="K2968" t="s">
        <v>10537</v>
      </c>
    </row>
    <row r="2969" spans="1:11" x14ac:dyDescent="0.2">
      <c r="A2969" t="s">
        <v>10538</v>
      </c>
      <c r="B2969" t="s">
        <v>10539</v>
      </c>
      <c r="F2969" s="2">
        <v>524684443</v>
      </c>
      <c r="G2969" s="2">
        <v>134296284</v>
      </c>
      <c r="H2969" t="s">
        <v>28</v>
      </c>
      <c r="I2969" t="s">
        <v>17</v>
      </c>
      <c r="J2969" t="s">
        <v>25</v>
      </c>
    </row>
    <row r="2970" spans="1:11" x14ac:dyDescent="0.2">
      <c r="A2970" t="s">
        <v>10540</v>
      </c>
      <c r="F2970" s="2">
        <v>525059562</v>
      </c>
      <c r="G2970" s="2">
        <v>133030365</v>
      </c>
      <c r="H2970" t="s">
        <v>28</v>
      </c>
      <c r="I2970" t="s">
        <v>17</v>
      </c>
      <c r="J2970" t="s">
        <v>25</v>
      </c>
    </row>
    <row r="2971" spans="1:11" x14ac:dyDescent="0.2">
      <c r="A2971" t="s">
        <v>10541</v>
      </c>
      <c r="B2971" t="s">
        <v>10542</v>
      </c>
      <c r="F2971" s="2">
        <v>524875376</v>
      </c>
      <c r="G2971" s="2">
        <v>133544244</v>
      </c>
      <c r="H2971" t="s">
        <v>28</v>
      </c>
      <c r="I2971" t="s">
        <v>17</v>
      </c>
      <c r="J2971" t="s">
        <v>25</v>
      </c>
    </row>
    <row r="2972" spans="1:11" x14ac:dyDescent="0.2">
      <c r="A2972" t="s">
        <v>10543</v>
      </c>
      <c r="B2972" t="s">
        <v>10544</v>
      </c>
      <c r="C2972" t="s">
        <v>10545</v>
      </c>
      <c r="E2972" t="s">
        <v>10546</v>
      </c>
      <c r="F2972" s="2">
        <v>525118879</v>
      </c>
      <c r="G2972" s="2">
        <v>133885337</v>
      </c>
      <c r="H2972" t="s">
        <v>38</v>
      </c>
      <c r="I2972" t="s">
        <v>17</v>
      </c>
      <c r="J2972" t="s">
        <v>25</v>
      </c>
    </row>
    <row r="2973" spans="1:11" x14ac:dyDescent="0.2">
      <c r="A2973" t="s">
        <v>10547</v>
      </c>
      <c r="B2973" t="s">
        <v>10548</v>
      </c>
      <c r="F2973" s="2">
        <v>525076191</v>
      </c>
      <c r="G2973" s="2">
        <v>133916108</v>
      </c>
      <c r="H2973" t="s">
        <v>28</v>
      </c>
      <c r="I2973" t="s">
        <v>17</v>
      </c>
      <c r="J2973" t="s">
        <v>25</v>
      </c>
    </row>
    <row r="2974" spans="1:11" x14ac:dyDescent="0.2">
      <c r="A2974" t="s">
        <v>10549</v>
      </c>
      <c r="B2974" t="s">
        <v>10550</v>
      </c>
      <c r="C2974" t="s">
        <v>10551</v>
      </c>
      <c r="D2974" t="s">
        <v>10552</v>
      </c>
      <c r="E2974" t="s">
        <v>10553</v>
      </c>
      <c r="F2974" s="2">
        <v>525469486</v>
      </c>
      <c r="G2974" s="2">
        <v>134036259</v>
      </c>
      <c r="H2974" t="s">
        <v>24</v>
      </c>
      <c r="I2974" t="s">
        <v>17</v>
      </c>
      <c r="J2974" t="s">
        <v>25</v>
      </c>
    </row>
    <row r="2975" spans="1:11" x14ac:dyDescent="0.2">
      <c r="A2975" t="s">
        <v>10554</v>
      </c>
      <c r="B2975" t="s">
        <v>10555</v>
      </c>
      <c r="C2975" t="s">
        <v>10556</v>
      </c>
      <c r="E2975" t="s">
        <v>10557</v>
      </c>
      <c r="F2975" s="2">
        <v>525272448</v>
      </c>
      <c r="G2975" s="2">
        <v>133991334</v>
      </c>
      <c r="H2975" t="s">
        <v>277</v>
      </c>
      <c r="I2975" t="s">
        <v>17</v>
      </c>
      <c r="J2975" t="s">
        <v>25</v>
      </c>
      <c r="K2975" t="s">
        <v>10558</v>
      </c>
    </row>
    <row r="2976" spans="1:11" x14ac:dyDescent="0.2">
      <c r="A2976" t="s">
        <v>10559</v>
      </c>
      <c r="B2976" t="s">
        <v>10560</v>
      </c>
      <c r="C2976" t="s">
        <v>10561</v>
      </c>
      <c r="E2976" t="s">
        <v>10562</v>
      </c>
      <c r="F2976" s="2">
        <v>525574356</v>
      </c>
      <c r="G2976" s="2">
        <v>134686463</v>
      </c>
      <c r="H2976" t="s">
        <v>38</v>
      </c>
      <c r="I2976" t="s">
        <v>17</v>
      </c>
      <c r="J2976" t="s">
        <v>25</v>
      </c>
    </row>
    <row r="2977" spans="1:11" x14ac:dyDescent="0.2">
      <c r="A2977" t="s">
        <v>10563</v>
      </c>
      <c r="B2977" t="s">
        <v>10564</v>
      </c>
      <c r="C2977" t="s">
        <v>10565</v>
      </c>
      <c r="D2977" t="s">
        <v>10566</v>
      </c>
      <c r="E2977" t="s">
        <v>10567</v>
      </c>
      <c r="F2977" s="2">
        <v>52497315</v>
      </c>
      <c r="G2977" s="2">
        <v>13438654</v>
      </c>
      <c r="H2977" t="s">
        <v>24</v>
      </c>
      <c r="I2977" t="s">
        <v>17</v>
      </c>
      <c r="J2977" t="s">
        <v>25</v>
      </c>
    </row>
    <row r="2978" spans="1:11" x14ac:dyDescent="0.2">
      <c r="A2978" t="s">
        <v>10568</v>
      </c>
      <c r="B2978" t="s">
        <v>10569</v>
      </c>
      <c r="C2978" t="s">
        <v>10570</v>
      </c>
      <c r="E2978" t="s">
        <v>10571</v>
      </c>
      <c r="F2978" s="2">
        <v>525059249</v>
      </c>
      <c r="G2978" s="2">
        <v>134464622</v>
      </c>
      <c r="H2978" t="s">
        <v>277</v>
      </c>
      <c r="I2978" t="s">
        <v>17</v>
      </c>
      <c r="J2978" t="s">
        <v>25</v>
      </c>
      <c r="K2978" t="s">
        <v>10572</v>
      </c>
    </row>
    <row r="2979" spans="1:11" x14ac:dyDescent="0.2">
      <c r="A2979" t="s">
        <v>10573</v>
      </c>
      <c r="B2979" t="s">
        <v>10574</v>
      </c>
      <c r="C2979" t="s">
        <v>10575</v>
      </c>
      <c r="D2979" t="s">
        <v>10576</v>
      </c>
      <c r="E2979">
        <v>493027593090</v>
      </c>
      <c r="F2979" s="2">
        <v>525283411</v>
      </c>
      <c r="G2979" s="2">
        <v>134104587</v>
      </c>
      <c r="H2979" t="s">
        <v>51</v>
      </c>
      <c r="I2979" t="s">
        <v>17</v>
      </c>
      <c r="J2979" t="s">
        <v>25</v>
      </c>
      <c r="K2979" t="s">
        <v>10577</v>
      </c>
    </row>
    <row r="2980" spans="1:11" x14ac:dyDescent="0.2">
      <c r="A2980" t="s">
        <v>10578</v>
      </c>
      <c r="B2980" t="s">
        <v>10579</v>
      </c>
      <c r="C2980" t="s">
        <v>10580</v>
      </c>
      <c r="E2980" t="s">
        <v>10581</v>
      </c>
      <c r="F2980" s="2">
        <v>525200808</v>
      </c>
      <c r="G2980" s="2">
        <v>133967763</v>
      </c>
      <c r="H2980" t="s">
        <v>277</v>
      </c>
      <c r="I2980" t="s">
        <v>17</v>
      </c>
      <c r="J2980" t="s">
        <v>25</v>
      </c>
      <c r="K2980" t="s">
        <v>10582</v>
      </c>
    </row>
    <row r="2981" spans="1:11" x14ac:dyDescent="0.2">
      <c r="A2981" t="s">
        <v>10583</v>
      </c>
      <c r="B2981" t="s">
        <v>10584</v>
      </c>
      <c r="C2981" t="s">
        <v>10585</v>
      </c>
      <c r="F2981" s="2">
        <v>525109324</v>
      </c>
      <c r="G2981" s="2">
        <v>134569765</v>
      </c>
      <c r="H2981" t="s">
        <v>38</v>
      </c>
      <c r="I2981" t="s">
        <v>17</v>
      </c>
      <c r="J2981" t="s">
        <v>25</v>
      </c>
    </row>
    <row r="2982" spans="1:11" x14ac:dyDescent="0.2">
      <c r="A2982" t="s">
        <v>10586</v>
      </c>
      <c r="B2982" t="s">
        <v>10587</v>
      </c>
      <c r="C2982" t="s">
        <v>10588</v>
      </c>
      <c r="D2982" t="s">
        <v>10589</v>
      </c>
      <c r="E2982" t="s">
        <v>10590</v>
      </c>
      <c r="F2982" s="2">
        <v>524522087</v>
      </c>
      <c r="G2982" s="2">
        <v>131376998</v>
      </c>
      <c r="H2982" t="s">
        <v>24</v>
      </c>
      <c r="I2982" t="s">
        <v>17</v>
      </c>
      <c r="J2982" t="s">
        <v>25</v>
      </c>
    </row>
    <row r="2983" spans="1:11" x14ac:dyDescent="0.2">
      <c r="A2983" t="s">
        <v>10591</v>
      </c>
      <c r="B2983" t="s">
        <v>10592</v>
      </c>
      <c r="C2983" t="s">
        <v>10593</v>
      </c>
      <c r="D2983" t="s">
        <v>10594</v>
      </c>
      <c r="E2983" t="s">
        <v>10595</v>
      </c>
      <c r="F2983" s="2">
        <v>52485305</v>
      </c>
      <c r="G2983" s="2">
        <v>13362386</v>
      </c>
      <c r="H2983" t="s">
        <v>51</v>
      </c>
      <c r="I2983" t="s">
        <v>17</v>
      </c>
      <c r="J2983" t="s">
        <v>25</v>
      </c>
      <c r="K2983" t="s">
        <v>10596</v>
      </c>
    </row>
    <row r="2984" spans="1:11" x14ac:dyDescent="0.2">
      <c r="A2984" t="s">
        <v>10597</v>
      </c>
      <c r="B2984" t="s">
        <v>10598</v>
      </c>
      <c r="F2984" s="2">
        <v>525451861</v>
      </c>
      <c r="G2984" s="2">
        <v>133691757</v>
      </c>
      <c r="H2984" t="s">
        <v>28</v>
      </c>
      <c r="I2984" t="s">
        <v>17</v>
      </c>
      <c r="J2984" t="s">
        <v>25</v>
      </c>
    </row>
    <row r="2985" spans="1:11" x14ac:dyDescent="0.2">
      <c r="A2985" t="s">
        <v>10599</v>
      </c>
      <c r="B2985" t="s">
        <v>10600</v>
      </c>
      <c r="F2985" s="2">
        <v>524851476</v>
      </c>
      <c r="G2985" s="2">
        <v>134286213</v>
      </c>
      <c r="H2985" t="s">
        <v>28</v>
      </c>
      <c r="I2985" t="s">
        <v>17</v>
      </c>
      <c r="J2985" t="s">
        <v>25</v>
      </c>
    </row>
    <row r="2986" spans="1:11" x14ac:dyDescent="0.2">
      <c r="A2986" t="s">
        <v>10601</v>
      </c>
      <c r="B2986" t="s">
        <v>10602</v>
      </c>
      <c r="C2986" t="s">
        <v>10603</v>
      </c>
      <c r="F2986" s="2">
        <v>525212794</v>
      </c>
      <c r="G2986" s="2">
        <v>13423595</v>
      </c>
      <c r="H2986" t="s">
        <v>255</v>
      </c>
      <c r="I2986" t="s">
        <v>17</v>
      </c>
      <c r="J2986" t="s">
        <v>25</v>
      </c>
    </row>
    <row r="2987" spans="1:11" x14ac:dyDescent="0.2">
      <c r="A2987" t="s">
        <v>10604</v>
      </c>
      <c r="F2987" s="2">
        <v>525625958</v>
      </c>
      <c r="G2987" s="2">
        <v>133310069</v>
      </c>
      <c r="H2987" t="s">
        <v>28</v>
      </c>
      <c r="I2987" t="s">
        <v>17</v>
      </c>
      <c r="J2987" t="s">
        <v>25</v>
      </c>
    </row>
    <row r="2988" spans="1:11" x14ac:dyDescent="0.2">
      <c r="A2988" t="s">
        <v>10605</v>
      </c>
      <c r="F2988" s="2">
        <v>525328443</v>
      </c>
      <c r="G2988" s="2">
        <v>134235918</v>
      </c>
      <c r="H2988" t="s">
        <v>28</v>
      </c>
      <c r="I2988" t="s">
        <v>17</v>
      </c>
      <c r="J2988" t="s">
        <v>25</v>
      </c>
    </row>
    <row r="2989" spans="1:11" x14ac:dyDescent="0.2">
      <c r="A2989" t="s">
        <v>10606</v>
      </c>
      <c r="B2989" t="s">
        <v>10607</v>
      </c>
      <c r="F2989" s="2">
        <v>52496159</v>
      </c>
      <c r="G2989" s="2">
        <v>133414106</v>
      </c>
      <c r="H2989" t="s">
        <v>28</v>
      </c>
      <c r="I2989" t="s">
        <v>17</v>
      </c>
      <c r="J2989" t="s">
        <v>25</v>
      </c>
    </row>
    <row r="2990" spans="1:11" x14ac:dyDescent="0.2">
      <c r="A2990" t="s">
        <v>10608</v>
      </c>
      <c r="B2990" t="s">
        <v>10609</v>
      </c>
      <c r="C2990" t="s">
        <v>10610</v>
      </c>
      <c r="D2990" t="s">
        <v>10611</v>
      </c>
      <c r="E2990" t="s">
        <v>10612</v>
      </c>
      <c r="F2990" s="2">
        <v>525125939</v>
      </c>
      <c r="G2990" s="2">
        <v>133902113</v>
      </c>
      <c r="H2990" t="s">
        <v>24</v>
      </c>
      <c r="I2990" t="s">
        <v>17</v>
      </c>
      <c r="J2990" t="s">
        <v>25</v>
      </c>
    </row>
    <row r="2991" spans="1:11" x14ac:dyDescent="0.2">
      <c r="A2991" t="s">
        <v>10613</v>
      </c>
      <c r="B2991" t="s">
        <v>10614</v>
      </c>
      <c r="C2991" t="s">
        <v>10615</v>
      </c>
      <c r="D2991" t="s">
        <v>10616</v>
      </c>
      <c r="F2991" s="2">
        <v>525237013</v>
      </c>
      <c r="G2991" s="2">
        <v>133743059</v>
      </c>
      <c r="H2991" t="s">
        <v>304</v>
      </c>
      <c r="I2991" t="s">
        <v>17</v>
      </c>
      <c r="J2991" t="s">
        <v>25</v>
      </c>
      <c r="K2991" t="s">
        <v>10617</v>
      </c>
    </row>
    <row r="2992" spans="1:11" x14ac:dyDescent="0.2">
      <c r="A2992" t="s">
        <v>10618</v>
      </c>
      <c r="B2992" t="s">
        <v>2682</v>
      </c>
      <c r="F2992" s="2">
        <v>525032038</v>
      </c>
      <c r="G2992" s="2">
        <v>133198912</v>
      </c>
      <c r="H2992" t="s">
        <v>28</v>
      </c>
      <c r="I2992" t="s">
        <v>17</v>
      </c>
      <c r="J2992" t="s">
        <v>25</v>
      </c>
    </row>
    <row r="2993" spans="1:11" x14ac:dyDescent="0.2">
      <c r="A2993" t="s">
        <v>10619</v>
      </c>
      <c r="B2993" t="s">
        <v>10620</v>
      </c>
      <c r="C2993" t="s">
        <v>10621</v>
      </c>
      <c r="F2993" s="2">
        <v>52511701</v>
      </c>
      <c r="G2993" s="2">
        <v>133827752</v>
      </c>
      <c r="H2993" t="s">
        <v>255</v>
      </c>
      <c r="I2993" t="s">
        <v>17</v>
      </c>
      <c r="J2993" t="s">
        <v>25</v>
      </c>
    </row>
    <row r="2994" spans="1:11" x14ac:dyDescent="0.2">
      <c r="A2994" t="s">
        <v>10622</v>
      </c>
      <c r="F2994" s="2">
        <v>525705517</v>
      </c>
      <c r="G2994" s="2">
        <v>134105596</v>
      </c>
      <c r="H2994" t="s">
        <v>28</v>
      </c>
      <c r="I2994" t="s">
        <v>17</v>
      </c>
      <c r="J2994" t="s">
        <v>25</v>
      </c>
    </row>
    <row r="2995" spans="1:11" x14ac:dyDescent="0.2">
      <c r="A2995" t="s">
        <v>10623</v>
      </c>
      <c r="B2995" t="s">
        <v>10624</v>
      </c>
      <c r="C2995" t="s">
        <v>10625</v>
      </c>
      <c r="F2995" s="2">
        <v>524898084</v>
      </c>
      <c r="G2995" s="2">
        <v>133851072</v>
      </c>
      <c r="H2995" t="s">
        <v>277</v>
      </c>
      <c r="I2995" t="s">
        <v>17</v>
      </c>
      <c r="J2995" t="s">
        <v>25</v>
      </c>
      <c r="K2995" t="s">
        <v>10626</v>
      </c>
    </row>
    <row r="2996" spans="1:11" x14ac:dyDescent="0.2">
      <c r="A2996" t="s">
        <v>10627</v>
      </c>
      <c r="B2996" t="s">
        <v>5452</v>
      </c>
      <c r="C2996" t="s">
        <v>10628</v>
      </c>
      <c r="D2996" t="s">
        <v>10629</v>
      </c>
      <c r="E2996" t="s">
        <v>10630</v>
      </c>
      <c r="F2996" s="2">
        <v>525020182</v>
      </c>
      <c r="G2996" s="2">
        <v>133253589</v>
      </c>
      <c r="H2996" t="s">
        <v>24</v>
      </c>
      <c r="I2996" t="s">
        <v>17</v>
      </c>
      <c r="J2996" t="s">
        <v>25</v>
      </c>
    </row>
    <row r="2997" spans="1:11" x14ac:dyDescent="0.2">
      <c r="A2997" t="s">
        <v>10631</v>
      </c>
      <c r="B2997" t="s">
        <v>10632</v>
      </c>
      <c r="C2997" t="s">
        <v>10633</v>
      </c>
      <c r="E2997" t="s">
        <v>10634</v>
      </c>
      <c r="F2997" s="2">
        <v>52499657</v>
      </c>
      <c r="G2997" s="2">
        <v>134432843</v>
      </c>
      <c r="H2997" t="s">
        <v>38</v>
      </c>
      <c r="I2997" t="s">
        <v>17</v>
      </c>
      <c r="J2997" t="s">
        <v>25</v>
      </c>
    </row>
    <row r="2998" spans="1:11" x14ac:dyDescent="0.2">
      <c r="A2998" t="s">
        <v>10635</v>
      </c>
      <c r="C2998" t="s">
        <v>10636</v>
      </c>
      <c r="D2998" t="s">
        <v>10637</v>
      </c>
      <c r="E2998" t="s">
        <v>10638</v>
      </c>
      <c r="F2998" s="2">
        <v>524795471</v>
      </c>
      <c r="G2998" s="2">
        <v>134418247</v>
      </c>
      <c r="H2998" t="s">
        <v>16</v>
      </c>
      <c r="I2998" t="s">
        <v>17</v>
      </c>
      <c r="J2998" t="s">
        <v>25</v>
      </c>
    </row>
    <row r="2999" spans="1:11" x14ac:dyDescent="0.2">
      <c r="A2999" t="s">
        <v>10639</v>
      </c>
      <c r="B2999" t="s">
        <v>10640</v>
      </c>
      <c r="C2999" t="s">
        <v>10641</v>
      </c>
      <c r="D2999" t="s">
        <v>10642</v>
      </c>
    </row>
    <row r="3000" spans="1:11" x14ac:dyDescent="0.2">
      <c r="A3000" t="s">
        <v>10643</v>
      </c>
      <c r="B3000" t="s">
        <v>10644</v>
      </c>
      <c r="C3000" t="s">
        <v>10645</v>
      </c>
      <c r="F3000" s="2">
        <v>525377598</v>
      </c>
      <c r="G3000" s="2">
        <v>13408594</v>
      </c>
      <c r="H3000" t="s">
        <v>38</v>
      </c>
      <c r="I3000" t="s">
        <v>17</v>
      </c>
      <c r="J3000" t="s">
        <v>25</v>
      </c>
    </row>
    <row r="3001" spans="1:11" x14ac:dyDescent="0.2">
      <c r="A3001" t="s">
        <v>10646</v>
      </c>
      <c r="B3001" t="s">
        <v>10647</v>
      </c>
      <c r="F3001" s="2">
        <v>524989531</v>
      </c>
      <c r="G3001" s="2">
        <v>134310242</v>
      </c>
      <c r="H3001" t="s">
        <v>28</v>
      </c>
      <c r="I3001" t="s">
        <v>17</v>
      </c>
      <c r="J3001" t="s">
        <v>25</v>
      </c>
    </row>
    <row r="3002" spans="1:11" x14ac:dyDescent="0.2">
      <c r="A3002" t="s">
        <v>10648</v>
      </c>
      <c r="B3002" t="s">
        <v>10649</v>
      </c>
      <c r="C3002" t="s">
        <v>10650</v>
      </c>
      <c r="F3002" s="2">
        <v>5253205</v>
      </c>
      <c r="G3002" s="2">
        <v>13432014</v>
      </c>
      <c r="H3002" t="s">
        <v>255</v>
      </c>
      <c r="I3002" t="s">
        <v>17</v>
      </c>
      <c r="J3002" t="s">
        <v>25</v>
      </c>
    </row>
    <row r="3003" spans="1:11" x14ac:dyDescent="0.2">
      <c r="A3003" t="s">
        <v>10651</v>
      </c>
      <c r="F3003" s="2">
        <v>525030999</v>
      </c>
      <c r="G3003" s="2">
        <v>133662756</v>
      </c>
      <c r="H3003" t="s">
        <v>28</v>
      </c>
      <c r="I3003" t="s">
        <v>17</v>
      </c>
      <c r="J3003" t="s">
        <v>25</v>
      </c>
    </row>
    <row r="3004" spans="1:11" x14ac:dyDescent="0.2">
      <c r="A3004" t="s">
        <v>10652</v>
      </c>
      <c r="B3004" t="s">
        <v>10653</v>
      </c>
      <c r="C3004" t="s">
        <v>10654</v>
      </c>
      <c r="F3004" s="2">
        <v>525157638</v>
      </c>
      <c r="G3004" s="2">
        <v>133324081</v>
      </c>
      <c r="H3004" t="s">
        <v>38</v>
      </c>
      <c r="I3004" t="s">
        <v>17</v>
      </c>
      <c r="J3004" t="s">
        <v>25</v>
      </c>
    </row>
    <row r="3005" spans="1:11" x14ac:dyDescent="0.2">
      <c r="A3005" t="s">
        <v>10655</v>
      </c>
      <c r="B3005" t="s">
        <v>10656</v>
      </c>
      <c r="C3005" t="s">
        <v>10657</v>
      </c>
      <c r="E3005">
        <v>4915175639396</v>
      </c>
      <c r="F3005" s="2">
        <v>524586583</v>
      </c>
      <c r="G3005" s="2">
        <v>133836728</v>
      </c>
      <c r="H3005" t="s">
        <v>38</v>
      </c>
      <c r="I3005" t="s">
        <v>17</v>
      </c>
      <c r="J3005" t="s">
        <v>25</v>
      </c>
    </row>
    <row r="3006" spans="1:11" x14ac:dyDescent="0.2">
      <c r="A3006" t="s">
        <v>10658</v>
      </c>
      <c r="B3006" t="s">
        <v>10659</v>
      </c>
      <c r="C3006" t="s">
        <v>10660</v>
      </c>
      <c r="F3006" s="2">
        <v>524586443</v>
      </c>
      <c r="G3006" s="2">
        <v>133838509</v>
      </c>
      <c r="H3006" t="s">
        <v>38</v>
      </c>
      <c r="I3006" t="s">
        <v>17</v>
      </c>
      <c r="J3006" t="s">
        <v>25</v>
      </c>
    </row>
    <row r="3007" spans="1:11" x14ac:dyDescent="0.2">
      <c r="A3007" t="s">
        <v>10661</v>
      </c>
      <c r="B3007" t="s">
        <v>10662</v>
      </c>
      <c r="F3007" s="2">
        <v>525448603</v>
      </c>
      <c r="G3007" s="2">
        <v>134376471</v>
      </c>
      <c r="H3007" t="s">
        <v>28</v>
      </c>
      <c r="I3007" t="s">
        <v>17</v>
      </c>
      <c r="J3007" t="s">
        <v>25</v>
      </c>
    </row>
    <row r="3008" spans="1:11" x14ac:dyDescent="0.2">
      <c r="A3008" t="s">
        <v>10663</v>
      </c>
      <c r="B3008" t="s">
        <v>10664</v>
      </c>
      <c r="F3008" s="2">
        <v>524973335</v>
      </c>
      <c r="G3008" s="2">
        <v>134232121</v>
      </c>
      <c r="H3008" t="s">
        <v>28</v>
      </c>
      <c r="I3008" t="s">
        <v>17</v>
      </c>
      <c r="J3008" t="s">
        <v>25</v>
      </c>
    </row>
    <row r="3009" spans="1:11" x14ac:dyDescent="0.2">
      <c r="A3009" t="s">
        <v>10665</v>
      </c>
      <c r="B3009" t="s">
        <v>10666</v>
      </c>
      <c r="C3009" t="s">
        <v>10667</v>
      </c>
      <c r="D3009" t="s">
        <v>10668</v>
      </c>
      <c r="F3009" s="2">
        <v>525266874</v>
      </c>
      <c r="G3009" s="2">
        <v>133722029</v>
      </c>
      <c r="H3009" t="s">
        <v>304</v>
      </c>
      <c r="I3009" t="s">
        <v>17</v>
      </c>
      <c r="J3009" t="s">
        <v>25</v>
      </c>
      <c r="K3009" t="s">
        <v>10669</v>
      </c>
    </row>
    <row r="3010" spans="1:11" x14ac:dyDescent="0.2">
      <c r="A3010" t="s">
        <v>10670</v>
      </c>
      <c r="F3010" s="2">
        <v>524933948</v>
      </c>
      <c r="G3010" s="2">
        <v>133345565</v>
      </c>
      <c r="H3010" t="s">
        <v>28</v>
      </c>
      <c r="I3010" t="s">
        <v>17</v>
      </c>
      <c r="J3010" t="s">
        <v>25</v>
      </c>
    </row>
    <row r="3011" spans="1:11" x14ac:dyDescent="0.2">
      <c r="A3011" t="s">
        <v>10671</v>
      </c>
      <c r="B3011" t="s">
        <v>10672</v>
      </c>
      <c r="C3011" t="s">
        <v>10673</v>
      </c>
      <c r="D3011" t="s">
        <v>10674</v>
      </c>
      <c r="E3011" t="s">
        <v>10675</v>
      </c>
      <c r="F3011" s="2">
        <v>524321879</v>
      </c>
      <c r="G3011" s="2">
        <v>134746235</v>
      </c>
      <c r="H3011" t="s">
        <v>16</v>
      </c>
      <c r="I3011" t="s">
        <v>17</v>
      </c>
      <c r="J3011" t="s">
        <v>25</v>
      </c>
    </row>
    <row r="3012" spans="1:11" x14ac:dyDescent="0.2">
      <c r="A3012" t="s">
        <v>10676</v>
      </c>
      <c r="B3012" t="s">
        <v>10672</v>
      </c>
      <c r="C3012" t="s">
        <v>10677</v>
      </c>
      <c r="E3012" t="s">
        <v>10678</v>
      </c>
      <c r="F3012" s="2">
        <v>524322183</v>
      </c>
      <c r="G3012" s="2">
        <v>134745632</v>
      </c>
      <c r="H3012" t="s">
        <v>38</v>
      </c>
      <c r="I3012" t="s">
        <v>17</v>
      </c>
      <c r="J3012" t="s">
        <v>25</v>
      </c>
    </row>
    <row r="3013" spans="1:11" x14ac:dyDescent="0.2">
      <c r="A3013" t="s">
        <v>10679</v>
      </c>
      <c r="F3013" s="2">
        <v>524953302</v>
      </c>
      <c r="G3013" s="2">
        <v>133614175</v>
      </c>
      <c r="H3013" t="s">
        <v>28</v>
      </c>
      <c r="I3013" t="s">
        <v>17</v>
      </c>
      <c r="J3013" t="s">
        <v>25</v>
      </c>
    </row>
    <row r="3014" spans="1:11" x14ac:dyDescent="0.2">
      <c r="A3014" t="s">
        <v>10680</v>
      </c>
      <c r="B3014" t="s">
        <v>10681</v>
      </c>
      <c r="C3014" t="s">
        <v>10682</v>
      </c>
      <c r="D3014" t="s">
        <v>10683</v>
      </c>
      <c r="E3014" t="s">
        <v>10684</v>
      </c>
      <c r="F3014" s="2">
        <v>524905761</v>
      </c>
      <c r="G3014" s="2">
        <v>134315445</v>
      </c>
      <c r="H3014" t="s">
        <v>51</v>
      </c>
      <c r="I3014" t="s">
        <v>17</v>
      </c>
      <c r="J3014" t="s">
        <v>25</v>
      </c>
      <c r="K3014" t="s">
        <v>10685</v>
      </c>
    </row>
    <row r="3015" spans="1:11" x14ac:dyDescent="0.2">
      <c r="A3015" t="s">
        <v>10686</v>
      </c>
      <c r="B3015" t="s">
        <v>10687</v>
      </c>
      <c r="C3015" t="s">
        <v>10688</v>
      </c>
      <c r="E3015" t="s">
        <v>10689</v>
      </c>
      <c r="F3015" s="2">
        <v>524849619</v>
      </c>
      <c r="G3015" s="2">
        <v>133638496</v>
      </c>
      <c r="H3015" t="s">
        <v>38</v>
      </c>
      <c r="I3015" t="s">
        <v>17</v>
      </c>
      <c r="J3015" t="s">
        <v>25</v>
      </c>
    </row>
    <row r="3016" spans="1:11" x14ac:dyDescent="0.2">
      <c r="A3016" t="s">
        <v>10690</v>
      </c>
      <c r="B3016" t="s">
        <v>10691</v>
      </c>
      <c r="C3016" t="s">
        <v>9494</v>
      </c>
      <c r="E3016" t="s">
        <v>9495</v>
      </c>
      <c r="F3016" s="2">
        <v>525324084</v>
      </c>
      <c r="G3016" s="2">
        <v>133795304</v>
      </c>
      <c r="H3016" t="s">
        <v>38</v>
      </c>
      <c r="I3016" t="s">
        <v>17</v>
      </c>
      <c r="J3016" t="s">
        <v>25</v>
      </c>
    </row>
    <row r="3017" spans="1:11" x14ac:dyDescent="0.2">
      <c r="A3017" t="s">
        <v>10692</v>
      </c>
      <c r="B3017" t="s">
        <v>10693</v>
      </c>
      <c r="E3017" t="s">
        <v>10694</v>
      </c>
      <c r="F3017" s="2">
        <v>524975701</v>
      </c>
      <c r="G3017" s="2">
        <v>133499944</v>
      </c>
      <c r="H3017" t="s">
        <v>34</v>
      </c>
      <c r="I3017" t="s">
        <v>17</v>
      </c>
      <c r="J3017" t="s">
        <v>25</v>
      </c>
    </row>
    <row r="3018" spans="1:11" x14ac:dyDescent="0.2">
      <c r="A3018" t="s">
        <v>10695</v>
      </c>
      <c r="B3018" t="s">
        <v>10696</v>
      </c>
      <c r="C3018" t="s">
        <v>10697</v>
      </c>
      <c r="D3018" t="s">
        <v>10698</v>
      </c>
      <c r="E3018">
        <v>491734189782</v>
      </c>
      <c r="F3018" s="2">
        <v>524980672</v>
      </c>
      <c r="G3018" s="2">
        <v>133479892</v>
      </c>
      <c r="H3018" t="s">
        <v>304</v>
      </c>
      <c r="I3018" t="s">
        <v>17</v>
      </c>
      <c r="J3018" t="s">
        <v>25</v>
      </c>
      <c r="K3018" t="s">
        <v>10699</v>
      </c>
    </row>
    <row r="3019" spans="1:11" x14ac:dyDescent="0.2">
      <c r="A3019" t="s">
        <v>10700</v>
      </c>
      <c r="F3019" s="2">
        <v>524990245</v>
      </c>
      <c r="G3019" s="2">
        <v>133549775</v>
      </c>
      <c r="H3019" t="s">
        <v>28</v>
      </c>
      <c r="I3019" t="s">
        <v>17</v>
      </c>
      <c r="J3019" t="s">
        <v>25</v>
      </c>
    </row>
    <row r="3020" spans="1:11" x14ac:dyDescent="0.2">
      <c r="A3020" t="s">
        <v>10701</v>
      </c>
      <c r="B3020" t="s">
        <v>10702</v>
      </c>
      <c r="F3020" s="2">
        <v>525317654</v>
      </c>
      <c r="G3020" s="2">
        <v>134326768</v>
      </c>
      <c r="H3020" t="s">
        <v>28</v>
      </c>
      <c r="I3020" t="s">
        <v>17</v>
      </c>
      <c r="J3020" t="s">
        <v>25</v>
      </c>
    </row>
    <row r="3021" spans="1:11" x14ac:dyDescent="0.2">
      <c r="A3021" t="s">
        <v>10703</v>
      </c>
      <c r="B3021" t="s">
        <v>10704</v>
      </c>
      <c r="F3021" s="2">
        <v>524297788</v>
      </c>
      <c r="G3021" s="2">
        <v>132599214</v>
      </c>
      <c r="H3021" t="s">
        <v>28</v>
      </c>
      <c r="I3021" t="s">
        <v>17</v>
      </c>
      <c r="J3021" t="s">
        <v>25</v>
      </c>
    </row>
    <row r="3022" spans="1:11" x14ac:dyDescent="0.2">
      <c r="A3022" t="s">
        <v>10705</v>
      </c>
      <c r="B3022" t="s">
        <v>10706</v>
      </c>
      <c r="C3022" t="s">
        <v>10707</v>
      </c>
      <c r="D3022" t="s">
        <v>10708</v>
      </c>
      <c r="F3022" s="2">
        <v>525332185</v>
      </c>
      <c r="G3022" s="2">
        <v>134338222</v>
      </c>
      <c r="H3022" t="s">
        <v>51</v>
      </c>
      <c r="I3022" t="s">
        <v>17</v>
      </c>
      <c r="J3022" t="s">
        <v>25</v>
      </c>
      <c r="K3022" t="s">
        <v>10709</v>
      </c>
    </row>
    <row r="3023" spans="1:11" x14ac:dyDescent="0.2">
      <c r="A3023" t="s">
        <v>10710</v>
      </c>
      <c r="F3023" s="2">
        <v>524503473</v>
      </c>
      <c r="G3023" s="2">
        <v>13342362</v>
      </c>
      <c r="H3023" t="s">
        <v>28</v>
      </c>
      <c r="I3023" t="s">
        <v>17</v>
      </c>
      <c r="J3023" t="s">
        <v>25</v>
      </c>
    </row>
    <row r="3024" spans="1:11" x14ac:dyDescent="0.2">
      <c r="A3024" t="s">
        <v>10711</v>
      </c>
      <c r="B3024" t="s">
        <v>10712</v>
      </c>
      <c r="F3024" s="2">
        <v>52504926</v>
      </c>
      <c r="G3024" s="2">
        <v>133011832</v>
      </c>
      <c r="H3024" t="s">
        <v>28</v>
      </c>
      <c r="I3024" t="s">
        <v>17</v>
      </c>
      <c r="J3024" t="s">
        <v>25</v>
      </c>
    </row>
    <row r="3025" spans="1:11" x14ac:dyDescent="0.2">
      <c r="A3025" t="s">
        <v>10713</v>
      </c>
      <c r="B3025" t="s">
        <v>10714</v>
      </c>
      <c r="F3025" s="2">
        <v>52505459</v>
      </c>
      <c r="G3025" s="2">
        <v>133905386</v>
      </c>
      <c r="H3025" t="s">
        <v>28</v>
      </c>
      <c r="I3025" t="s">
        <v>17</v>
      </c>
      <c r="J3025" t="s">
        <v>25</v>
      </c>
    </row>
    <row r="3026" spans="1:11" x14ac:dyDescent="0.2">
      <c r="A3026" t="s">
        <v>10715</v>
      </c>
      <c r="C3026" t="s">
        <v>9778</v>
      </c>
      <c r="D3026" t="s">
        <v>9779</v>
      </c>
      <c r="F3026" s="2">
        <v>52515732</v>
      </c>
      <c r="G3026" s="2">
        <v>134607431</v>
      </c>
      <c r="H3026" t="s">
        <v>16</v>
      </c>
      <c r="I3026" t="s">
        <v>17</v>
      </c>
      <c r="J3026" t="s">
        <v>25</v>
      </c>
    </row>
    <row r="3027" spans="1:11" x14ac:dyDescent="0.2">
      <c r="A3027" t="s">
        <v>10716</v>
      </c>
      <c r="B3027" t="s">
        <v>10717</v>
      </c>
      <c r="C3027" t="s">
        <v>10718</v>
      </c>
      <c r="D3027" t="s">
        <v>10719</v>
      </c>
      <c r="E3027" t="s">
        <v>10720</v>
      </c>
      <c r="F3027" s="2">
        <v>524919158</v>
      </c>
      <c r="G3027" s="2">
        <v>134171184</v>
      </c>
      <c r="H3027" t="s">
        <v>51</v>
      </c>
      <c r="I3027" t="s">
        <v>17</v>
      </c>
      <c r="J3027" t="s">
        <v>25</v>
      </c>
      <c r="K3027" t="s">
        <v>10721</v>
      </c>
    </row>
    <row r="3028" spans="1:11" x14ac:dyDescent="0.2">
      <c r="A3028" t="s">
        <v>10722</v>
      </c>
      <c r="B3028" t="s">
        <v>10723</v>
      </c>
      <c r="C3028" t="s">
        <v>10724</v>
      </c>
      <c r="D3028" t="s">
        <v>10725</v>
      </c>
      <c r="F3028" s="2">
        <v>524914427</v>
      </c>
      <c r="G3028" s="2">
        <v>134163139</v>
      </c>
      <c r="H3028" t="s">
        <v>24</v>
      </c>
      <c r="I3028" t="s">
        <v>17</v>
      </c>
      <c r="J3028" t="s">
        <v>25</v>
      </c>
    </row>
    <row r="3029" spans="1:11" x14ac:dyDescent="0.2">
      <c r="A3029" t="s">
        <v>10726</v>
      </c>
      <c r="B3029" t="s">
        <v>10727</v>
      </c>
      <c r="C3029" t="s">
        <v>10728</v>
      </c>
      <c r="E3029" t="s">
        <v>10729</v>
      </c>
      <c r="F3029" s="2">
        <v>524790967</v>
      </c>
      <c r="G3029" s="2">
        <v>133439049</v>
      </c>
      <c r="H3029" t="s">
        <v>38</v>
      </c>
      <c r="I3029" t="s">
        <v>17</v>
      </c>
      <c r="J3029" t="s">
        <v>25</v>
      </c>
    </row>
    <row r="3030" spans="1:11" x14ac:dyDescent="0.2">
      <c r="A3030" t="s">
        <v>10730</v>
      </c>
      <c r="B3030" t="s">
        <v>10731</v>
      </c>
      <c r="C3030" t="s">
        <v>10732</v>
      </c>
      <c r="D3030" t="s">
        <v>10733</v>
      </c>
      <c r="F3030" s="2">
        <v>525516296</v>
      </c>
      <c r="G3030" s="2">
        <v>134080468</v>
      </c>
      <c r="H3030" t="s">
        <v>304</v>
      </c>
      <c r="I3030" t="s">
        <v>17</v>
      </c>
      <c r="J3030" t="s">
        <v>25</v>
      </c>
      <c r="K3030" t="s">
        <v>10734</v>
      </c>
    </row>
    <row r="3031" spans="1:11" x14ac:dyDescent="0.2">
      <c r="A3031" t="s">
        <v>10735</v>
      </c>
      <c r="F3031" s="2">
        <v>52536432</v>
      </c>
      <c r="G3031" s="2">
        <v>132687022</v>
      </c>
      <c r="H3031" t="s">
        <v>28</v>
      </c>
      <c r="I3031" t="s">
        <v>17</v>
      </c>
      <c r="J3031" t="s">
        <v>25</v>
      </c>
    </row>
    <row r="3032" spans="1:11" x14ac:dyDescent="0.2">
      <c r="A3032" t="s">
        <v>10736</v>
      </c>
      <c r="B3032" t="s">
        <v>10737</v>
      </c>
      <c r="C3032" t="s">
        <v>10738</v>
      </c>
      <c r="F3032" s="2">
        <v>524958805</v>
      </c>
      <c r="G3032" s="2">
        <v>133955417</v>
      </c>
      <c r="H3032" t="s">
        <v>255</v>
      </c>
      <c r="I3032" t="s">
        <v>17</v>
      </c>
      <c r="J3032" t="s">
        <v>25</v>
      </c>
    </row>
    <row r="3033" spans="1:11" x14ac:dyDescent="0.2">
      <c r="A3033" t="s">
        <v>10739</v>
      </c>
      <c r="B3033" t="s">
        <v>10740</v>
      </c>
      <c r="C3033" t="s">
        <v>10741</v>
      </c>
      <c r="F3033" s="2">
        <v>525068339</v>
      </c>
      <c r="G3033" s="2">
        <v>133239064</v>
      </c>
      <c r="H3033" t="s">
        <v>3120</v>
      </c>
      <c r="I3033" t="s">
        <v>17</v>
      </c>
      <c r="J3033" t="s">
        <v>25</v>
      </c>
      <c r="K3033" t="s">
        <v>10742</v>
      </c>
    </row>
    <row r="3034" spans="1:11" x14ac:dyDescent="0.2">
      <c r="A3034" t="s">
        <v>10743</v>
      </c>
      <c r="B3034" t="s">
        <v>10744</v>
      </c>
      <c r="E3034" t="s">
        <v>10745</v>
      </c>
      <c r="F3034" s="2">
        <v>524755992</v>
      </c>
      <c r="G3034" s="2">
        <v>134472182</v>
      </c>
      <c r="H3034" t="s">
        <v>34</v>
      </c>
      <c r="I3034" t="s">
        <v>17</v>
      </c>
      <c r="J3034" t="s">
        <v>25</v>
      </c>
    </row>
    <row r="3035" spans="1:11" x14ac:dyDescent="0.2">
      <c r="A3035" t="s">
        <v>10746</v>
      </c>
      <c r="F3035" s="2">
        <v>52415126</v>
      </c>
      <c r="G3035" s="2">
        <v>133468051</v>
      </c>
      <c r="H3035" t="s">
        <v>28</v>
      </c>
      <c r="I3035" t="s">
        <v>17</v>
      </c>
      <c r="J3035" t="s">
        <v>25</v>
      </c>
    </row>
    <row r="3036" spans="1:11" x14ac:dyDescent="0.2">
      <c r="A3036" t="s">
        <v>10747</v>
      </c>
      <c r="F3036" s="2">
        <v>524851299</v>
      </c>
      <c r="G3036" s="2">
        <v>133847383</v>
      </c>
      <c r="H3036" t="s">
        <v>28</v>
      </c>
      <c r="I3036" t="s">
        <v>17</v>
      </c>
      <c r="J3036" t="s">
        <v>25</v>
      </c>
    </row>
    <row r="3037" spans="1:11" x14ac:dyDescent="0.2">
      <c r="A3037" t="s">
        <v>10748</v>
      </c>
      <c r="B3037" t="s">
        <v>538</v>
      </c>
      <c r="F3037" s="2">
        <v>525125685</v>
      </c>
      <c r="G3037" s="2">
        <v>134572215</v>
      </c>
      <c r="H3037" t="s">
        <v>28</v>
      </c>
      <c r="I3037" t="s">
        <v>17</v>
      </c>
      <c r="J3037" t="s">
        <v>25</v>
      </c>
    </row>
    <row r="3038" spans="1:11" x14ac:dyDescent="0.2">
      <c r="A3038" t="s">
        <v>10749</v>
      </c>
      <c r="B3038" t="s">
        <v>10750</v>
      </c>
      <c r="C3038" t="s">
        <v>10751</v>
      </c>
      <c r="D3038" t="s">
        <v>10752</v>
      </c>
      <c r="F3038" s="2">
        <v>525610572</v>
      </c>
      <c r="G3038" s="2">
        <v>134999142</v>
      </c>
      <c r="H3038" t="s">
        <v>16</v>
      </c>
      <c r="I3038" t="s">
        <v>17</v>
      </c>
      <c r="J3038" t="s">
        <v>25</v>
      </c>
    </row>
    <row r="3039" spans="1:11" x14ac:dyDescent="0.2">
      <c r="A3039" t="s">
        <v>10753</v>
      </c>
      <c r="C3039" t="s">
        <v>10754</v>
      </c>
      <c r="D3039" t="s">
        <v>10755</v>
      </c>
      <c r="E3039">
        <v>49306943968</v>
      </c>
      <c r="F3039" s="2">
        <v>524940664</v>
      </c>
      <c r="G3039" s="2">
        <v>133965214</v>
      </c>
      <c r="H3039" t="s">
        <v>51</v>
      </c>
      <c r="I3039" t="s">
        <v>17</v>
      </c>
      <c r="J3039" t="s">
        <v>25</v>
      </c>
      <c r="K3039" t="s">
        <v>10756</v>
      </c>
    </row>
    <row r="3040" spans="1:11" x14ac:dyDescent="0.2">
      <c r="A3040" t="s">
        <v>10757</v>
      </c>
      <c r="F3040" s="2">
        <v>525090686</v>
      </c>
      <c r="G3040" s="2">
        <v>134659234</v>
      </c>
      <c r="H3040" t="s">
        <v>28</v>
      </c>
      <c r="I3040" t="s">
        <v>17</v>
      </c>
      <c r="J3040" t="s">
        <v>25</v>
      </c>
    </row>
    <row r="3041" spans="1:11" x14ac:dyDescent="0.2">
      <c r="A3041" t="s">
        <v>10758</v>
      </c>
      <c r="B3041" t="s">
        <v>10759</v>
      </c>
      <c r="C3041" t="s">
        <v>10760</v>
      </c>
      <c r="D3041" t="s">
        <v>10761</v>
      </c>
      <c r="E3041" t="s">
        <v>10762</v>
      </c>
      <c r="F3041" s="2">
        <v>524757633</v>
      </c>
      <c r="G3041" s="2">
        <v>134228931</v>
      </c>
      <c r="H3041" t="s">
        <v>51</v>
      </c>
      <c r="I3041" t="s">
        <v>17</v>
      </c>
      <c r="J3041" t="s">
        <v>25</v>
      </c>
      <c r="K3041" t="s">
        <v>10763</v>
      </c>
    </row>
    <row r="3042" spans="1:11" x14ac:dyDescent="0.2">
      <c r="A3042" t="s">
        <v>10764</v>
      </c>
      <c r="B3042" t="s">
        <v>10765</v>
      </c>
      <c r="C3042" t="s">
        <v>10766</v>
      </c>
      <c r="F3042" s="2">
        <v>525003863</v>
      </c>
      <c r="G3042" s="2">
        <v>13299378</v>
      </c>
      <c r="H3042" t="s">
        <v>3120</v>
      </c>
      <c r="I3042" t="s">
        <v>17</v>
      </c>
      <c r="J3042" t="s">
        <v>25</v>
      </c>
      <c r="K3042" t="s">
        <v>10767</v>
      </c>
    </row>
    <row r="3043" spans="1:11" x14ac:dyDescent="0.2">
      <c r="A3043" t="s">
        <v>10768</v>
      </c>
      <c r="B3043" t="s">
        <v>10769</v>
      </c>
      <c r="E3043">
        <v>4917662076772</v>
      </c>
      <c r="F3043" s="2">
        <v>524853989</v>
      </c>
      <c r="G3043" s="2">
        <v>134316774</v>
      </c>
      <c r="H3043" t="s">
        <v>34</v>
      </c>
      <c r="I3043" t="s">
        <v>17</v>
      </c>
      <c r="J3043" t="s">
        <v>25</v>
      </c>
    </row>
    <row r="3044" spans="1:11" x14ac:dyDescent="0.2">
      <c r="A3044" t="s">
        <v>10770</v>
      </c>
      <c r="F3044" s="2">
        <v>525169201</v>
      </c>
      <c r="G3044" s="2">
        <v>134540882</v>
      </c>
      <c r="H3044" t="s">
        <v>28</v>
      </c>
      <c r="I3044" t="s">
        <v>17</v>
      </c>
      <c r="J3044" t="s">
        <v>25</v>
      </c>
    </row>
    <row r="3045" spans="1:11" x14ac:dyDescent="0.2">
      <c r="A3045" t="s">
        <v>10771</v>
      </c>
      <c r="B3045" t="s">
        <v>10772</v>
      </c>
      <c r="C3045" t="s">
        <v>10773</v>
      </c>
      <c r="E3045" t="s">
        <v>10774</v>
      </c>
      <c r="F3045" s="2">
        <v>525160844</v>
      </c>
      <c r="G3045" s="2">
        <v>134564004</v>
      </c>
      <c r="H3045" t="s">
        <v>38</v>
      </c>
      <c r="I3045" t="s">
        <v>17</v>
      </c>
      <c r="J3045" t="s">
        <v>25</v>
      </c>
    </row>
    <row r="3046" spans="1:11" x14ac:dyDescent="0.2">
      <c r="A3046" t="s">
        <v>10775</v>
      </c>
      <c r="F3046" s="2">
        <v>525170204</v>
      </c>
      <c r="G3046" s="2">
        <v>134540466</v>
      </c>
      <c r="H3046" t="s">
        <v>28</v>
      </c>
      <c r="I3046" t="s">
        <v>17</v>
      </c>
      <c r="J3046" t="s">
        <v>25</v>
      </c>
    </row>
    <row r="3047" spans="1:11" x14ac:dyDescent="0.2">
      <c r="A3047" t="s">
        <v>10776</v>
      </c>
      <c r="B3047" t="s">
        <v>10777</v>
      </c>
      <c r="C3047" t="s">
        <v>10778</v>
      </c>
      <c r="D3047" t="s">
        <v>10779</v>
      </c>
      <c r="F3047" s="2">
        <v>52543113</v>
      </c>
      <c r="G3047" s="2">
        <v>13421056</v>
      </c>
      <c r="H3047" t="s">
        <v>51</v>
      </c>
      <c r="I3047" t="s">
        <v>17</v>
      </c>
      <c r="J3047" t="s">
        <v>25</v>
      </c>
      <c r="K3047" t="s">
        <v>10780</v>
      </c>
    </row>
    <row r="3048" spans="1:11" x14ac:dyDescent="0.2">
      <c r="A3048" t="s">
        <v>10781</v>
      </c>
      <c r="B3048" t="s">
        <v>10782</v>
      </c>
      <c r="C3048" t="s">
        <v>10783</v>
      </c>
      <c r="D3048" t="s">
        <v>10784</v>
      </c>
      <c r="E3048" t="s">
        <v>10785</v>
      </c>
      <c r="F3048" s="2">
        <v>525407528</v>
      </c>
      <c r="G3048" s="2">
        <v>134194404</v>
      </c>
      <c r="H3048" t="s">
        <v>51</v>
      </c>
      <c r="I3048" t="s">
        <v>17</v>
      </c>
      <c r="J3048" t="s">
        <v>25</v>
      </c>
      <c r="K3048" t="s">
        <v>10786</v>
      </c>
    </row>
    <row r="3049" spans="1:11" x14ac:dyDescent="0.2">
      <c r="A3049" t="s">
        <v>10787</v>
      </c>
      <c r="B3049" t="s">
        <v>10788</v>
      </c>
      <c r="C3049" t="s">
        <v>10789</v>
      </c>
      <c r="D3049" t="s">
        <v>10790</v>
      </c>
      <c r="E3049" t="s">
        <v>10791</v>
      </c>
      <c r="F3049" s="2">
        <v>524758917</v>
      </c>
      <c r="G3049" s="2">
        <v>134259796</v>
      </c>
      <c r="H3049" t="s">
        <v>51</v>
      </c>
      <c r="I3049" t="s">
        <v>17</v>
      </c>
      <c r="J3049" t="s">
        <v>25</v>
      </c>
      <c r="K3049" t="s">
        <v>10792</v>
      </c>
    </row>
    <row r="3050" spans="1:11" x14ac:dyDescent="0.2">
      <c r="A3050" t="s">
        <v>10793</v>
      </c>
      <c r="B3050" t="s">
        <v>10794</v>
      </c>
      <c r="F3050" s="2">
        <v>525426141</v>
      </c>
      <c r="G3050" s="2">
        <v>134165463</v>
      </c>
      <c r="H3050" t="s">
        <v>28</v>
      </c>
      <c r="I3050" t="s">
        <v>17</v>
      </c>
      <c r="J3050" t="s">
        <v>25</v>
      </c>
    </row>
    <row r="3051" spans="1:11" x14ac:dyDescent="0.2">
      <c r="A3051" t="s">
        <v>10795</v>
      </c>
      <c r="B3051" t="s">
        <v>10796</v>
      </c>
      <c r="C3051" t="s">
        <v>10797</v>
      </c>
      <c r="D3051" t="s">
        <v>10798</v>
      </c>
      <c r="E3051" t="s">
        <v>10799</v>
      </c>
      <c r="F3051" s="2">
        <v>525411897</v>
      </c>
      <c r="G3051" s="2">
        <v>134228484</v>
      </c>
      <c r="H3051" t="s">
        <v>16</v>
      </c>
      <c r="I3051" t="s">
        <v>17</v>
      </c>
      <c r="J3051" t="s">
        <v>25</v>
      </c>
    </row>
    <row r="3052" spans="1:11" x14ac:dyDescent="0.2">
      <c r="A3052" t="s">
        <v>10800</v>
      </c>
      <c r="B3052" t="s">
        <v>10801</v>
      </c>
      <c r="F3052" s="2">
        <v>525453286</v>
      </c>
      <c r="G3052" s="2">
        <v>134205814</v>
      </c>
      <c r="H3052" t="s">
        <v>28</v>
      </c>
      <c r="I3052" t="s">
        <v>17</v>
      </c>
      <c r="J3052" t="s">
        <v>25</v>
      </c>
    </row>
    <row r="3053" spans="1:11" x14ac:dyDescent="0.2">
      <c r="A3053" t="s">
        <v>10802</v>
      </c>
      <c r="B3053" t="s">
        <v>10803</v>
      </c>
      <c r="C3053" t="s">
        <v>10804</v>
      </c>
      <c r="D3053" t="s">
        <v>10805</v>
      </c>
      <c r="E3053" t="s">
        <v>10806</v>
      </c>
      <c r="F3053" s="2">
        <v>525438258</v>
      </c>
      <c r="G3053" s="2">
        <v>134182491</v>
      </c>
      <c r="H3053" t="s">
        <v>51</v>
      </c>
      <c r="I3053" t="s">
        <v>17</v>
      </c>
      <c r="J3053" t="s">
        <v>25</v>
      </c>
      <c r="K3053" t="s">
        <v>10807</v>
      </c>
    </row>
    <row r="3054" spans="1:11" x14ac:dyDescent="0.2">
      <c r="A3054" t="s">
        <v>10808</v>
      </c>
      <c r="B3054" t="s">
        <v>10809</v>
      </c>
      <c r="F3054" s="2">
        <v>525469263</v>
      </c>
      <c r="G3054" s="2">
        <v>134063926</v>
      </c>
      <c r="H3054" t="s">
        <v>28</v>
      </c>
      <c r="I3054" t="s">
        <v>17</v>
      </c>
      <c r="J3054" t="s">
        <v>25</v>
      </c>
    </row>
    <row r="3055" spans="1:11" x14ac:dyDescent="0.2">
      <c r="A3055" t="s">
        <v>10810</v>
      </c>
      <c r="B3055" t="s">
        <v>10811</v>
      </c>
      <c r="E3055" t="s">
        <v>10812</v>
      </c>
      <c r="F3055" s="2">
        <v>525216052</v>
      </c>
      <c r="G3055" s="2">
        <v>131651872</v>
      </c>
      <c r="H3055" t="s">
        <v>34</v>
      </c>
      <c r="I3055" t="s">
        <v>17</v>
      </c>
      <c r="J3055" t="s">
        <v>25</v>
      </c>
    </row>
    <row r="3056" spans="1:11" x14ac:dyDescent="0.2">
      <c r="A3056" t="s">
        <v>10813</v>
      </c>
      <c r="B3056" t="s">
        <v>10814</v>
      </c>
      <c r="F3056" s="2">
        <v>525406012</v>
      </c>
      <c r="G3056" s="2">
        <v>134246424</v>
      </c>
      <c r="H3056" t="s">
        <v>28</v>
      </c>
      <c r="I3056" t="s">
        <v>17</v>
      </c>
      <c r="J3056" t="s">
        <v>25</v>
      </c>
    </row>
    <row r="3057" spans="1:11" x14ac:dyDescent="0.2">
      <c r="A3057" t="s">
        <v>10815</v>
      </c>
      <c r="B3057" t="s">
        <v>10816</v>
      </c>
      <c r="C3057" t="s">
        <v>10817</v>
      </c>
      <c r="E3057" t="s">
        <v>10818</v>
      </c>
      <c r="F3057" s="2">
        <v>525407282</v>
      </c>
      <c r="G3057" s="2">
        <v>134158393</v>
      </c>
      <c r="H3057" t="s">
        <v>38</v>
      </c>
      <c r="I3057" t="s">
        <v>17</v>
      </c>
      <c r="J3057" t="s">
        <v>25</v>
      </c>
    </row>
    <row r="3058" spans="1:11" x14ac:dyDescent="0.2">
      <c r="A3058" t="s">
        <v>10819</v>
      </c>
      <c r="B3058" t="s">
        <v>10820</v>
      </c>
      <c r="F3058" s="2">
        <v>525405859</v>
      </c>
      <c r="G3058" s="2">
        <v>134167305</v>
      </c>
      <c r="H3058" t="s">
        <v>28</v>
      </c>
      <c r="I3058" t="s">
        <v>17</v>
      </c>
      <c r="J3058" t="s">
        <v>25</v>
      </c>
    </row>
    <row r="3059" spans="1:11" x14ac:dyDescent="0.2">
      <c r="A3059" t="s">
        <v>10821</v>
      </c>
      <c r="C3059" t="s">
        <v>10822</v>
      </c>
      <c r="F3059" s="2">
        <v>524964028</v>
      </c>
      <c r="G3059" s="2">
        <v>132957517</v>
      </c>
      <c r="H3059" t="s">
        <v>255</v>
      </c>
      <c r="I3059" t="s">
        <v>17</v>
      </c>
      <c r="J3059" t="s">
        <v>25</v>
      </c>
    </row>
    <row r="3060" spans="1:11" x14ac:dyDescent="0.2">
      <c r="A3060" t="s">
        <v>10823</v>
      </c>
      <c r="B3060" t="s">
        <v>10824</v>
      </c>
      <c r="C3060" t="s">
        <v>10825</v>
      </c>
      <c r="D3060" t="s">
        <v>10826</v>
      </c>
      <c r="E3060" t="s">
        <v>10827</v>
      </c>
      <c r="F3060" s="2">
        <v>52522866</v>
      </c>
      <c r="G3060" s="2">
        <v>134519139</v>
      </c>
      <c r="H3060" t="s">
        <v>304</v>
      </c>
      <c r="I3060" t="s">
        <v>17</v>
      </c>
      <c r="J3060" t="s">
        <v>25</v>
      </c>
      <c r="K3060" t="s">
        <v>10828</v>
      </c>
    </row>
    <row r="3061" spans="1:11" x14ac:dyDescent="0.2">
      <c r="A3061" t="s">
        <v>10829</v>
      </c>
      <c r="B3061" t="s">
        <v>10830</v>
      </c>
      <c r="F3061" s="2">
        <v>525219631</v>
      </c>
      <c r="G3061" s="2">
        <v>134537852</v>
      </c>
      <c r="H3061" t="s">
        <v>28</v>
      </c>
      <c r="I3061" t="s">
        <v>17</v>
      </c>
      <c r="J3061" t="s">
        <v>25</v>
      </c>
    </row>
    <row r="3062" spans="1:11" x14ac:dyDescent="0.2">
      <c r="A3062" t="s">
        <v>10831</v>
      </c>
      <c r="B3062" t="s">
        <v>7575</v>
      </c>
      <c r="E3062" t="s">
        <v>10832</v>
      </c>
      <c r="F3062" s="2">
        <v>525515634</v>
      </c>
      <c r="G3062" s="2">
        <v>131617899</v>
      </c>
      <c r="H3062" t="s">
        <v>34</v>
      </c>
      <c r="I3062" t="s">
        <v>17</v>
      </c>
      <c r="J3062" t="s">
        <v>25</v>
      </c>
    </row>
    <row r="3063" spans="1:11" x14ac:dyDescent="0.2">
      <c r="A3063" t="s">
        <v>10833</v>
      </c>
      <c r="B3063" t="s">
        <v>10834</v>
      </c>
      <c r="F3063" s="2">
        <v>525002371</v>
      </c>
      <c r="G3063" s="2">
        <v>134442637</v>
      </c>
      <c r="H3063" t="s">
        <v>28</v>
      </c>
      <c r="I3063" t="s">
        <v>17</v>
      </c>
      <c r="J3063" t="s">
        <v>25</v>
      </c>
    </row>
    <row r="3064" spans="1:11" x14ac:dyDescent="0.2">
      <c r="A3064" t="s">
        <v>10835</v>
      </c>
      <c r="B3064" t="s">
        <v>10836</v>
      </c>
      <c r="C3064" t="s">
        <v>10837</v>
      </c>
      <c r="D3064" t="s">
        <v>10838</v>
      </c>
      <c r="E3064" t="s">
        <v>10839</v>
      </c>
      <c r="F3064" s="2">
        <v>526166355</v>
      </c>
      <c r="G3064" s="2">
        <v>134860687</v>
      </c>
      <c r="H3064" t="s">
        <v>24</v>
      </c>
      <c r="I3064" t="s">
        <v>17</v>
      </c>
      <c r="J3064" t="s">
        <v>25</v>
      </c>
    </row>
    <row r="3065" spans="1:11" x14ac:dyDescent="0.2">
      <c r="A3065" t="s">
        <v>10840</v>
      </c>
      <c r="B3065" t="s">
        <v>10841</v>
      </c>
      <c r="C3065" t="s">
        <v>10842</v>
      </c>
      <c r="D3065" t="s">
        <v>10843</v>
      </c>
      <c r="E3065" t="s">
        <v>10844</v>
      </c>
      <c r="F3065" s="2">
        <v>525227071</v>
      </c>
      <c r="G3065" s="2">
        <v>131966844</v>
      </c>
      <c r="H3065" t="s">
        <v>24</v>
      </c>
      <c r="I3065" t="s">
        <v>17</v>
      </c>
      <c r="J3065" t="s">
        <v>25</v>
      </c>
    </row>
    <row r="3066" spans="1:11" x14ac:dyDescent="0.2">
      <c r="A3066" t="s">
        <v>10845</v>
      </c>
      <c r="B3066" t="s">
        <v>10846</v>
      </c>
      <c r="C3066" t="s">
        <v>10847</v>
      </c>
      <c r="D3066" t="s">
        <v>10848</v>
      </c>
      <c r="E3066">
        <v>49308536831</v>
      </c>
      <c r="F3066" s="2">
        <v>524783285</v>
      </c>
      <c r="G3066" s="2">
        <v>133289401</v>
      </c>
      <c r="H3066" t="s">
        <v>16</v>
      </c>
      <c r="I3066" t="s">
        <v>17</v>
      </c>
      <c r="J3066" t="s">
        <v>25</v>
      </c>
    </row>
    <row r="3067" spans="1:11" x14ac:dyDescent="0.2">
      <c r="A3067" t="s">
        <v>10849</v>
      </c>
      <c r="B3067" t="s">
        <v>10850</v>
      </c>
      <c r="F3067" s="2">
        <v>525153812</v>
      </c>
      <c r="G3067" s="2">
        <v>131766475</v>
      </c>
      <c r="H3067" t="s">
        <v>28</v>
      </c>
      <c r="I3067" t="s">
        <v>17</v>
      </c>
      <c r="J3067" t="s">
        <v>25</v>
      </c>
    </row>
    <row r="3068" spans="1:11" x14ac:dyDescent="0.2">
      <c r="A3068" t="s">
        <v>10851</v>
      </c>
      <c r="B3068" t="s">
        <v>10852</v>
      </c>
      <c r="C3068" t="s">
        <v>10853</v>
      </c>
      <c r="E3068" t="s">
        <v>10854</v>
      </c>
      <c r="F3068" s="2">
        <v>524732467</v>
      </c>
      <c r="G3068" s="2">
        <v>133173625</v>
      </c>
      <c r="H3068" t="s">
        <v>38</v>
      </c>
      <c r="I3068" t="s">
        <v>17</v>
      </c>
      <c r="J3068" t="s">
        <v>25</v>
      </c>
    </row>
    <row r="3069" spans="1:11" x14ac:dyDescent="0.2">
      <c r="A3069" t="s">
        <v>10855</v>
      </c>
      <c r="B3069" t="s">
        <v>8452</v>
      </c>
      <c r="C3069" t="s">
        <v>10856</v>
      </c>
      <c r="D3069" t="s">
        <v>6824</v>
      </c>
      <c r="E3069" t="s">
        <v>10857</v>
      </c>
      <c r="F3069" s="2">
        <v>524821237</v>
      </c>
      <c r="G3069" s="2">
        <v>133578918</v>
      </c>
      <c r="H3069" t="s">
        <v>51</v>
      </c>
      <c r="I3069" t="s">
        <v>17</v>
      </c>
      <c r="J3069" t="s">
        <v>25</v>
      </c>
      <c r="K3069" t="s">
        <v>6826</v>
      </c>
    </row>
    <row r="3070" spans="1:11" x14ac:dyDescent="0.2">
      <c r="A3070" t="s">
        <v>10858</v>
      </c>
      <c r="B3070" t="s">
        <v>8452</v>
      </c>
      <c r="C3070" t="s">
        <v>10859</v>
      </c>
      <c r="D3070" t="s">
        <v>10860</v>
      </c>
      <c r="E3070" t="s">
        <v>10861</v>
      </c>
      <c r="F3070" s="2">
        <v>52480777</v>
      </c>
      <c r="G3070" s="2">
        <v>133566232</v>
      </c>
      <c r="H3070" t="s">
        <v>51</v>
      </c>
      <c r="I3070" t="s">
        <v>17</v>
      </c>
      <c r="J3070" t="s">
        <v>25</v>
      </c>
      <c r="K3070" t="s">
        <v>6826</v>
      </c>
    </row>
    <row r="3071" spans="1:11" x14ac:dyDescent="0.2">
      <c r="A3071" t="s">
        <v>10862</v>
      </c>
      <c r="B3071" t="s">
        <v>8452</v>
      </c>
      <c r="C3071" t="s">
        <v>10863</v>
      </c>
      <c r="E3071" t="s">
        <v>10864</v>
      </c>
      <c r="F3071" s="2">
        <v>524802421</v>
      </c>
      <c r="G3071" s="2">
        <v>133551382</v>
      </c>
      <c r="H3071" t="s">
        <v>277</v>
      </c>
      <c r="I3071" t="s">
        <v>17</v>
      </c>
      <c r="J3071" t="s">
        <v>25</v>
      </c>
      <c r="K3071" t="s">
        <v>10865</v>
      </c>
    </row>
    <row r="3072" spans="1:11" x14ac:dyDescent="0.2">
      <c r="A3072" t="s">
        <v>10866</v>
      </c>
      <c r="C3072" t="s">
        <v>10867</v>
      </c>
      <c r="E3072" t="s">
        <v>10868</v>
      </c>
      <c r="F3072" s="2">
        <v>524917291</v>
      </c>
      <c r="G3072" s="2">
        <v>134194475</v>
      </c>
      <c r="H3072" t="s">
        <v>38</v>
      </c>
      <c r="I3072" t="s">
        <v>17</v>
      </c>
      <c r="J3072" t="s">
        <v>25</v>
      </c>
    </row>
    <row r="3073" spans="1:11" x14ac:dyDescent="0.2">
      <c r="A3073" t="s">
        <v>10869</v>
      </c>
      <c r="B3073" t="s">
        <v>10870</v>
      </c>
      <c r="C3073" t="s">
        <v>10871</v>
      </c>
      <c r="D3073" t="s">
        <v>10872</v>
      </c>
      <c r="E3073" t="s">
        <v>10873</v>
      </c>
      <c r="F3073" s="2">
        <v>524902801</v>
      </c>
      <c r="G3073" s="2">
        <v>133764935</v>
      </c>
      <c r="H3073" t="s">
        <v>24</v>
      </c>
      <c r="I3073" t="s">
        <v>17</v>
      </c>
      <c r="J3073" t="s">
        <v>25</v>
      </c>
    </row>
    <row r="3074" spans="1:11" x14ac:dyDescent="0.2">
      <c r="A3074" t="s">
        <v>10874</v>
      </c>
      <c r="B3074" t="s">
        <v>10875</v>
      </c>
      <c r="F3074" s="2">
        <v>525522359</v>
      </c>
      <c r="G3074" s="2">
        <v>133484362</v>
      </c>
      <c r="H3074" t="s">
        <v>28</v>
      </c>
      <c r="I3074" t="s">
        <v>17</v>
      </c>
      <c r="J3074" t="s">
        <v>25</v>
      </c>
    </row>
    <row r="3075" spans="1:11" x14ac:dyDescent="0.2">
      <c r="A3075" t="s">
        <v>10876</v>
      </c>
      <c r="B3075" t="s">
        <v>10877</v>
      </c>
      <c r="C3075" t="s">
        <v>10878</v>
      </c>
      <c r="D3075" t="s">
        <v>10879</v>
      </c>
      <c r="E3075" t="s">
        <v>10880</v>
      </c>
      <c r="F3075" s="2">
        <v>524815903</v>
      </c>
      <c r="G3075" s="2">
        <v>135170504</v>
      </c>
      <c r="H3075" t="s">
        <v>51</v>
      </c>
      <c r="I3075" t="s">
        <v>17</v>
      </c>
      <c r="J3075" t="s">
        <v>25</v>
      </c>
      <c r="K3075" t="s">
        <v>640</v>
      </c>
    </row>
    <row r="3076" spans="1:11" x14ac:dyDescent="0.2">
      <c r="A3076" t="s">
        <v>10881</v>
      </c>
      <c r="B3076" t="s">
        <v>10882</v>
      </c>
      <c r="F3076" s="2">
        <v>525555297</v>
      </c>
      <c r="G3076" s="2">
        <v>133425723</v>
      </c>
      <c r="H3076" t="s">
        <v>28</v>
      </c>
      <c r="I3076" t="s">
        <v>17</v>
      </c>
      <c r="J3076" t="s">
        <v>25</v>
      </c>
    </row>
    <row r="3077" spans="1:11" x14ac:dyDescent="0.2">
      <c r="A3077" t="s">
        <v>10883</v>
      </c>
      <c r="B3077" t="s">
        <v>10884</v>
      </c>
      <c r="C3077" t="s">
        <v>10885</v>
      </c>
      <c r="D3077" t="s">
        <v>10886</v>
      </c>
      <c r="F3077" s="2">
        <v>52479132</v>
      </c>
      <c r="G3077" s="2">
        <v>133293563</v>
      </c>
      <c r="H3077" t="s">
        <v>24</v>
      </c>
      <c r="I3077" t="s">
        <v>17</v>
      </c>
      <c r="J3077" t="s">
        <v>25</v>
      </c>
    </row>
    <row r="3078" spans="1:11" x14ac:dyDescent="0.2">
      <c r="A3078" t="s">
        <v>10887</v>
      </c>
      <c r="B3078" t="s">
        <v>10888</v>
      </c>
      <c r="C3078" t="s">
        <v>10889</v>
      </c>
      <c r="D3078" t="s">
        <v>10890</v>
      </c>
      <c r="E3078" t="s">
        <v>10891</v>
      </c>
      <c r="F3078" s="2">
        <v>525414046</v>
      </c>
      <c r="G3078" s="2">
        <v>13409436</v>
      </c>
      <c r="H3078" t="s">
        <v>24</v>
      </c>
      <c r="I3078" t="s">
        <v>17</v>
      </c>
      <c r="J3078" t="s">
        <v>25</v>
      </c>
    </row>
    <row r="3079" spans="1:11" x14ac:dyDescent="0.2">
      <c r="A3079" t="s">
        <v>10892</v>
      </c>
      <c r="B3079" t="s">
        <v>10893</v>
      </c>
      <c r="F3079" s="2">
        <v>524720882</v>
      </c>
      <c r="G3079" s="2">
        <v>133324593</v>
      </c>
      <c r="H3079" t="s">
        <v>28</v>
      </c>
      <c r="I3079" t="s">
        <v>17</v>
      </c>
      <c r="J3079" t="s">
        <v>25</v>
      </c>
    </row>
    <row r="3080" spans="1:11" x14ac:dyDescent="0.2">
      <c r="A3080" t="s">
        <v>10894</v>
      </c>
      <c r="B3080" t="s">
        <v>10895</v>
      </c>
      <c r="F3080" s="2">
        <v>52486634</v>
      </c>
      <c r="G3080" s="2">
        <v>133169825</v>
      </c>
      <c r="H3080" t="s">
        <v>28</v>
      </c>
      <c r="I3080" t="s">
        <v>17</v>
      </c>
      <c r="J3080" t="s">
        <v>25</v>
      </c>
    </row>
    <row r="3081" spans="1:11" x14ac:dyDescent="0.2">
      <c r="A3081" t="s">
        <v>10896</v>
      </c>
      <c r="B3081" t="s">
        <v>10897</v>
      </c>
      <c r="C3081" t="s">
        <v>10898</v>
      </c>
      <c r="E3081" t="s">
        <v>10899</v>
      </c>
      <c r="F3081" s="2">
        <v>524878894</v>
      </c>
      <c r="G3081" s="2">
        <v>133177859</v>
      </c>
      <c r="H3081" t="s">
        <v>38</v>
      </c>
      <c r="I3081" t="s">
        <v>17</v>
      </c>
      <c r="J3081" t="s">
        <v>25</v>
      </c>
    </row>
    <row r="3082" spans="1:11" x14ac:dyDescent="0.2">
      <c r="A3082" t="s">
        <v>10900</v>
      </c>
      <c r="B3082" t="s">
        <v>10901</v>
      </c>
      <c r="F3082" s="2">
        <v>524872521</v>
      </c>
      <c r="G3082" s="2">
        <v>133188865</v>
      </c>
      <c r="H3082" t="s">
        <v>28</v>
      </c>
      <c r="I3082" t="s">
        <v>17</v>
      </c>
      <c r="J3082" t="s">
        <v>25</v>
      </c>
    </row>
    <row r="3083" spans="1:11" x14ac:dyDescent="0.2">
      <c r="A3083" t="s">
        <v>10902</v>
      </c>
      <c r="B3083" t="s">
        <v>10903</v>
      </c>
      <c r="C3083" t="s">
        <v>10904</v>
      </c>
      <c r="D3083" t="s">
        <v>10905</v>
      </c>
      <c r="E3083" t="s">
        <v>10906</v>
      </c>
      <c r="F3083" s="2">
        <v>524431487</v>
      </c>
      <c r="G3083" s="2">
        <v>131770468</v>
      </c>
      <c r="H3083" t="s">
        <v>51</v>
      </c>
      <c r="I3083" t="s">
        <v>17</v>
      </c>
      <c r="J3083" t="s">
        <v>25</v>
      </c>
      <c r="K3083" t="s">
        <v>10907</v>
      </c>
    </row>
    <row r="3084" spans="1:11" x14ac:dyDescent="0.2">
      <c r="A3084" t="s">
        <v>10908</v>
      </c>
      <c r="B3084" t="s">
        <v>10909</v>
      </c>
      <c r="F3084" s="2">
        <v>525488532</v>
      </c>
      <c r="G3084" s="2">
        <v>133563817</v>
      </c>
      <c r="H3084" t="s">
        <v>28</v>
      </c>
      <c r="I3084" t="s">
        <v>17</v>
      </c>
      <c r="J3084" t="s">
        <v>25</v>
      </c>
    </row>
    <row r="3085" spans="1:11" x14ac:dyDescent="0.2">
      <c r="A3085" t="s">
        <v>10910</v>
      </c>
      <c r="F3085" s="2">
        <v>525215538</v>
      </c>
      <c r="G3085" s="2">
        <v>133796538</v>
      </c>
      <c r="H3085" t="s">
        <v>28</v>
      </c>
      <c r="I3085" t="s">
        <v>17</v>
      </c>
      <c r="J3085" t="s">
        <v>25</v>
      </c>
    </row>
    <row r="3086" spans="1:11" x14ac:dyDescent="0.2">
      <c r="A3086" t="s">
        <v>10911</v>
      </c>
      <c r="B3086" t="s">
        <v>10912</v>
      </c>
      <c r="C3086" t="s">
        <v>10913</v>
      </c>
      <c r="D3086" t="s">
        <v>10914</v>
      </c>
      <c r="E3086" t="s">
        <v>10915</v>
      </c>
      <c r="F3086" s="2">
        <v>525017619</v>
      </c>
      <c r="G3086" s="2">
        <v>134403036</v>
      </c>
      <c r="H3086" t="s">
        <v>51</v>
      </c>
      <c r="I3086" t="s">
        <v>17</v>
      </c>
      <c r="J3086" t="s">
        <v>25</v>
      </c>
      <c r="K3086" t="s">
        <v>10916</v>
      </c>
    </row>
    <row r="3087" spans="1:11" x14ac:dyDescent="0.2">
      <c r="A3087" t="s">
        <v>10917</v>
      </c>
      <c r="F3087" s="2">
        <v>525513022</v>
      </c>
      <c r="G3087" s="2">
        <v>131632097</v>
      </c>
      <c r="H3087" t="s">
        <v>28</v>
      </c>
      <c r="I3087" t="s">
        <v>17</v>
      </c>
      <c r="J3087" t="s">
        <v>25</v>
      </c>
    </row>
    <row r="3088" spans="1:11" x14ac:dyDescent="0.2">
      <c r="A3088" t="s">
        <v>10918</v>
      </c>
      <c r="B3088" t="s">
        <v>10919</v>
      </c>
      <c r="C3088" t="s">
        <v>10920</v>
      </c>
      <c r="D3088" t="s">
        <v>10921</v>
      </c>
      <c r="F3088" s="2">
        <v>525368472</v>
      </c>
      <c r="G3088" s="2">
        <v>134175202</v>
      </c>
      <c r="H3088" t="s">
        <v>304</v>
      </c>
      <c r="I3088" t="s">
        <v>17</v>
      </c>
      <c r="J3088" t="s">
        <v>25</v>
      </c>
      <c r="K3088" t="s">
        <v>10922</v>
      </c>
    </row>
    <row r="3089" spans="1:11" x14ac:dyDescent="0.2">
      <c r="A3089" t="s">
        <v>10923</v>
      </c>
      <c r="B3089" t="s">
        <v>10924</v>
      </c>
      <c r="C3089" t="s">
        <v>10925</v>
      </c>
      <c r="D3089" t="s">
        <v>10926</v>
      </c>
      <c r="F3089" s="2">
        <v>524802205</v>
      </c>
      <c r="G3089" s="2">
        <v>134683538</v>
      </c>
      <c r="H3089" t="s">
        <v>16</v>
      </c>
      <c r="I3089" t="s">
        <v>17</v>
      </c>
      <c r="J3089" t="s">
        <v>25</v>
      </c>
    </row>
    <row r="3090" spans="1:11" x14ac:dyDescent="0.2">
      <c r="A3090" t="s">
        <v>10927</v>
      </c>
      <c r="F3090" s="2">
        <v>524977147</v>
      </c>
      <c r="G3090" s="2">
        <v>133240907</v>
      </c>
      <c r="H3090" t="s">
        <v>28</v>
      </c>
      <c r="I3090" t="s">
        <v>17</v>
      </c>
      <c r="J3090" t="s">
        <v>25</v>
      </c>
    </row>
    <row r="3091" spans="1:11" x14ac:dyDescent="0.2">
      <c r="A3091" t="s">
        <v>10928</v>
      </c>
      <c r="B3091" t="s">
        <v>10045</v>
      </c>
      <c r="C3091" t="s">
        <v>10929</v>
      </c>
      <c r="E3091" t="s">
        <v>10930</v>
      </c>
      <c r="F3091" s="2">
        <v>525319673</v>
      </c>
      <c r="G3091" s="2">
        <v>134117758</v>
      </c>
      <c r="H3091" t="s">
        <v>277</v>
      </c>
      <c r="I3091" t="s">
        <v>17</v>
      </c>
      <c r="J3091" t="s">
        <v>25</v>
      </c>
      <c r="K3091" t="s">
        <v>10931</v>
      </c>
    </row>
    <row r="3092" spans="1:11" x14ac:dyDescent="0.2">
      <c r="A3092" t="s">
        <v>10932</v>
      </c>
      <c r="B3092" t="s">
        <v>10933</v>
      </c>
      <c r="C3092" t="s">
        <v>10934</v>
      </c>
      <c r="D3092" t="s">
        <v>10935</v>
      </c>
      <c r="E3092" t="s">
        <v>10936</v>
      </c>
      <c r="F3092" s="2">
        <v>525368312</v>
      </c>
      <c r="G3092" s="2">
        <v>13417735</v>
      </c>
      <c r="H3092" t="s">
        <v>51</v>
      </c>
      <c r="I3092" t="s">
        <v>17</v>
      </c>
      <c r="J3092" t="s">
        <v>25</v>
      </c>
      <c r="K3092" t="s">
        <v>10937</v>
      </c>
    </row>
    <row r="3093" spans="1:11" x14ac:dyDescent="0.2">
      <c r="A3093" t="s">
        <v>10938</v>
      </c>
      <c r="B3093" t="s">
        <v>10939</v>
      </c>
      <c r="F3093" s="2">
        <v>524653905</v>
      </c>
      <c r="G3093" s="2">
        <v>134727652</v>
      </c>
      <c r="H3093" t="s">
        <v>28</v>
      </c>
      <c r="I3093" t="s">
        <v>17</v>
      </c>
      <c r="J3093" t="s">
        <v>25</v>
      </c>
    </row>
    <row r="3094" spans="1:11" x14ac:dyDescent="0.2">
      <c r="A3094" t="s">
        <v>10940</v>
      </c>
      <c r="B3094" t="s">
        <v>10941</v>
      </c>
      <c r="C3094" t="s">
        <v>10942</v>
      </c>
      <c r="E3094" t="s">
        <v>10943</v>
      </c>
      <c r="F3094" s="2">
        <v>525076329</v>
      </c>
      <c r="G3094" s="2">
        <v>132991406</v>
      </c>
      <c r="H3094" t="s">
        <v>277</v>
      </c>
      <c r="I3094" t="s">
        <v>17</v>
      </c>
      <c r="J3094" t="s">
        <v>25</v>
      </c>
      <c r="K3094" t="s">
        <v>10944</v>
      </c>
    </row>
    <row r="3095" spans="1:11" x14ac:dyDescent="0.2">
      <c r="A3095" t="s">
        <v>10945</v>
      </c>
      <c r="B3095" t="s">
        <v>10946</v>
      </c>
      <c r="F3095" s="2">
        <v>52514434</v>
      </c>
      <c r="G3095" s="2">
        <v>134755551</v>
      </c>
      <c r="H3095" t="s">
        <v>28</v>
      </c>
      <c r="I3095" t="s">
        <v>17</v>
      </c>
      <c r="J3095" t="s">
        <v>25</v>
      </c>
    </row>
    <row r="3096" spans="1:11" x14ac:dyDescent="0.2">
      <c r="A3096" t="s">
        <v>10947</v>
      </c>
      <c r="B3096" t="s">
        <v>10948</v>
      </c>
      <c r="F3096" s="2">
        <v>525459386</v>
      </c>
      <c r="G3096" s="2">
        <v>133154852</v>
      </c>
      <c r="H3096" t="s">
        <v>28</v>
      </c>
      <c r="I3096" t="s">
        <v>17</v>
      </c>
      <c r="J3096" t="s">
        <v>25</v>
      </c>
    </row>
    <row r="3097" spans="1:11" x14ac:dyDescent="0.2">
      <c r="A3097" t="s">
        <v>10949</v>
      </c>
      <c r="D3097" t="s">
        <v>10950</v>
      </c>
      <c r="F3097" s="2">
        <v>525638894</v>
      </c>
      <c r="G3097" s="2">
        <v>13430817</v>
      </c>
      <c r="H3097" t="s">
        <v>34</v>
      </c>
      <c r="I3097" t="s">
        <v>17</v>
      </c>
      <c r="J3097" t="s">
        <v>25</v>
      </c>
    </row>
    <row r="3098" spans="1:11" x14ac:dyDescent="0.2">
      <c r="A3098" t="s">
        <v>10951</v>
      </c>
      <c r="B3098" t="s">
        <v>10952</v>
      </c>
      <c r="C3098" t="s">
        <v>10953</v>
      </c>
      <c r="D3098" t="s">
        <v>10954</v>
      </c>
      <c r="F3098" s="2">
        <v>525328607</v>
      </c>
      <c r="G3098" s="2">
        <v>13337053</v>
      </c>
      <c r="H3098" t="s">
        <v>24</v>
      </c>
      <c r="I3098" t="s">
        <v>17</v>
      </c>
      <c r="J3098" t="s">
        <v>25</v>
      </c>
    </row>
    <row r="3099" spans="1:11" x14ac:dyDescent="0.2">
      <c r="A3099" t="s">
        <v>10955</v>
      </c>
      <c r="C3099" t="s">
        <v>10956</v>
      </c>
      <c r="E3099" t="s">
        <v>10957</v>
      </c>
      <c r="F3099" s="2">
        <v>525848674</v>
      </c>
      <c r="G3099" s="2">
        <v>132859841</v>
      </c>
      <c r="H3099" t="s">
        <v>38</v>
      </c>
      <c r="I3099" t="s">
        <v>17</v>
      </c>
      <c r="J3099" t="s">
        <v>25</v>
      </c>
    </row>
    <row r="3100" spans="1:11" x14ac:dyDescent="0.2">
      <c r="A3100" t="s">
        <v>10958</v>
      </c>
      <c r="F3100" s="2">
        <v>525057651</v>
      </c>
      <c r="G3100" s="2">
        <v>133203447</v>
      </c>
      <c r="H3100" t="s">
        <v>28</v>
      </c>
      <c r="I3100" t="s">
        <v>17</v>
      </c>
      <c r="J3100" t="s">
        <v>25</v>
      </c>
    </row>
    <row r="3101" spans="1:11" x14ac:dyDescent="0.2">
      <c r="A3101" t="s">
        <v>10959</v>
      </c>
      <c r="C3101" t="s">
        <v>10960</v>
      </c>
      <c r="D3101" t="s">
        <v>10961</v>
      </c>
      <c r="E3101" t="s">
        <v>10962</v>
      </c>
      <c r="F3101" s="2">
        <v>524717333</v>
      </c>
      <c r="G3101" s="2">
        <v>135723062</v>
      </c>
      <c r="H3101" t="s">
        <v>304</v>
      </c>
      <c r="I3101" t="s">
        <v>17</v>
      </c>
      <c r="J3101" t="s">
        <v>25</v>
      </c>
      <c r="K3101" t="s">
        <v>10963</v>
      </c>
    </row>
    <row r="3102" spans="1:11" x14ac:dyDescent="0.2">
      <c r="A3102" t="s">
        <v>10964</v>
      </c>
      <c r="B3102" t="s">
        <v>10965</v>
      </c>
      <c r="C3102" t="s">
        <v>10966</v>
      </c>
      <c r="E3102" t="s">
        <v>10967</v>
      </c>
      <c r="F3102" s="2">
        <v>525484811</v>
      </c>
      <c r="G3102" s="2">
        <v>133628891</v>
      </c>
      <c r="H3102" t="s">
        <v>38</v>
      </c>
      <c r="I3102" t="s">
        <v>17</v>
      </c>
      <c r="J3102" t="s">
        <v>25</v>
      </c>
    </row>
    <row r="3103" spans="1:11" x14ac:dyDescent="0.2">
      <c r="A3103" t="s">
        <v>10968</v>
      </c>
      <c r="B3103" t="s">
        <v>10969</v>
      </c>
      <c r="C3103" t="s">
        <v>10970</v>
      </c>
      <c r="D3103" t="s">
        <v>10971</v>
      </c>
      <c r="E3103" t="s">
        <v>10972</v>
      </c>
      <c r="F3103" s="2">
        <v>525046596</v>
      </c>
      <c r="G3103" s="2">
        <v>132984434</v>
      </c>
      <c r="H3103" t="s">
        <v>51</v>
      </c>
      <c r="I3103" t="s">
        <v>17</v>
      </c>
      <c r="J3103" t="s">
        <v>25</v>
      </c>
      <c r="K3103" t="s">
        <v>10973</v>
      </c>
    </row>
    <row r="3104" spans="1:11" x14ac:dyDescent="0.2">
      <c r="A3104" t="s">
        <v>10974</v>
      </c>
      <c r="B3104" t="s">
        <v>10975</v>
      </c>
      <c r="F3104" s="2">
        <v>525066365</v>
      </c>
      <c r="G3104" s="2">
        <v>132975476</v>
      </c>
      <c r="H3104" t="s">
        <v>28</v>
      </c>
      <c r="I3104" t="s">
        <v>17</v>
      </c>
      <c r="J3104" t="s">
        <v>25</v>
      </c>
    </row>
    <row r="3105" spans="1:11" x14ac:dyDescent="0.2">
      <c r="A3105" t="s">
        <v>10976</v>
      </c>
      <c r="B3105" t="s">
        <v>10977</v>
      </c>
      <c r="F3105" s="2">
        <v>525473569</v>
      </c>
      <c r="G3105" s="2">
        <v>133584583</v>
      </c>
      <c r="H3105" t="s">
        <v>28</v>
      </c>
      <c r="I3105" t="s">
        <v>17</v>
      </c>
      <c r="J3105" t="s">
        <v>25</v>
      </c>
    </row>
    <row r="3106" spans="1:11" x14ac:dyDescent="0.2">
      <c r="A3106" t="s">
        <v>10978</v>
      </c>
      <c r="B3106" t="s">
        <v>10979</v>
      </c>
      <c r="F3106" s="2">
        <v>524988114</v>
      </c>
      <c r="G3106" s="2">
        <v>134466028</v>
      </c>
      <c r="H3106" t="s">
        <v>28</v>
      </c>
      <c r="I3106" t="s">
        <v>17</v>
      </c>
      <c r="J3106" t="s">
        <v>25</v>
      </c>
    </row>
    <row r="3107" spans="1:11" x14ac:dyDescent="0.2">
      <c r="A3107" t="s">
        <v>10980</v>
      </c>
      <c r="B3107" t="s">
        <v>10981</v>
      </c>
      <c r="C3107" t="s">
        <v>10982</v>
      </c>
      <c r="D3107" t="s">
        <v>10983</v>
      </c>
      <c r="E3107" t="s">
        <v>10984</v>
      </c>
      <c r="F3107" s="2">
        <v>524518058</v>
      </c>
      <c r="G3107" s="2">
        <v>131476213</v>
      </c>
      <c r="H3107" t="s">
        <v>51</v>
      </c>
      <c r="I3107" t="s">
        <v>17</v>
      </c>
      <c r="J3107" t="s">
        <v>25</v>
      </c>
      <c r="K3107" t="s">
        <v>10985</v>
      </c>
    </row>
    <row r="3108" spans="1:11" x14ac:dyDescent="0.2">
      <c r="A3108" t="s">
        <v>10986</v>
      </c>
      <c r="B3108" t="s">
        <v>10987</v>
      </c>
      <c r="C3108" t="s">
        <v>10988</v>
      </c>
      <c r="D3108" t="s">
        <v>10989</v>
      </c>
      <c r="E3108" t="s">
        <v>10990</v>
      </c>
      <c r="F3108" s="2">
        <v>525179403</v>
      </c>
      <c r="G3108" s="2">
        <v>133844268</v>
      </c>
      <c r="H3108" t="s">
        <v>51</v>
      </c>
      <c r="I3108" t="s">
        <v>17</v>
      </c>
      <c r="J3108" t="s">
        <v>25</v>
      </c>
      <c r="K3108" t="s">
        <v>10991</v>
      </c>
    </row>
    <row r="3109" spans="1:11" x14ac:dyDescent="0.2">
      <c r="A3109" t="s">
        <v>10992</v>
      </c>
      <c r="B3109" t="s">
        <v>3505</v>
      </c>
      <c r="C3109" t="s">
        <v>10993</v>
      </c>
      <c r="D3109" t="s">
        <v>10994</v>
      </c>
      <c r="E3109">
        <v>493031518693</v>
      </c>
      <c r="F3109" s="2">
        <v>525085295</v>
      </c>
      <c r="G3109" s="2">
        <v>133230737</v>
      </c>
      <c r="H3109" t="s">
        <v>51</v>
      </c>
      <c r="I3109" t="s">
        <v>17</v>
      </c>
      <c r="J3109" t="s">
        <v>25</v>
      </c>
      <c r="K3109" t="s">
        <v>10995</v>
      </c>
    </row>
    <row r="3110" spans="1:11" x14ac:dyDescent="0.2">
      <c r="A3110" t="s">
        <v>10996</v>
      </c>
      <c r="B3110" t="s">
        <v>10997</v>
      </c>
      <c r="F3110" s="2">
        <v>525504618</v>
      </c>
      <c r="G3110" s="2">
        <v>133845066</v>
      </c>
      <c r="H3110" t="s">
        <v>28</v>
      </c>
      <c r="I3110" t="s">
        <v>17</v>
      </c>
      <c r="J3110" t="s">
        <v>25</v>
      </c>
    </row>
    <row r="3111" spans="1:11" x14ac:dyDescent="0.2">
      <c r="A3111" t="s">
        <v>10998</v>
      </c>
      <c r="B3111" t="s">
        <v>10999</v>
      </c>
      <c r="C3111" t="s">
        <v>11000</v>
      </c>
      <c r="D3111" t="s">
        <v>11001</v>
      </c>
      <c r="E3111" t="s">
        <v>11002</v>
      </c>
      <c r="F3111" s="2">
        <v>52508322</v>
      </c>
      <c r="G3111" s="2">
        <v>133753497</v>
      </c>
      <c r="H3111" t="s">
        <v>24</v>
      </c>
      <c r="I3111" t="s">
        <v>17</v>
      </c>
      <c r="J3111" t="s">
        <v>25</v>
      </c>
    </row>
    <row r="3112" spans="1:11" x14ac:dyDescent="0.2">
      <c r="A3112" t="s">
        <v>11003</v>
      </c>
      <c r="B3112" t="s">
        <v>11004</v>
      </c>
      <c r="C3112" t="s">
        <v>11005</v>
      </c>
      <c r="D3112" t="s">
        <v>11006</v>
      </c>
      <c r="F3112" s="2">
        <v>524857063</v>
      </c>
      <c r="G3112" s="2">
        <v>133519335</v>
      </c>
      <c r="H3112" t="s">
        <v>24</v>
      </c>
      <c r="I3112" t="s">
        <v>17</v>
      </c>
      <c r="J3112" t="s">
        <v>25</v>
      </c>
    </row>
    <row r="3113" spans="1:11" x14ac:dyDescent="0.2">
      <c r="A3113" t="s">
        <v>11007</v>
      </c>
      <c r="B3113" t="s">
        <v>11008</v>
      </c>
      <c r="F3113" s="2">
        <v>524860248</v>
      </c>
      <c r="G3113" s="2">
        <v>133515419</v>
      </c>
      <c r="H3113" t="s">
        <v>28</v>
      </c>
      <c r="I3113" t="s">
        <v>17</v>
      </c>
      <c r="J3113" t="s">
        <v>25</v>
      </c>
    </row>
    <row r="3114" spans="1:11" x14ac:dyDescent="0.2">
      <c r="A3114" t="s">
        <v>11009</v>
      </c>
      <c r="B3114" t="s">
        <v>11010</v>
      </c>
      <c r="F3114" s="2">
        <v>524843048</v>
      </c>
      <c r="G3114" s="2">
        <v>13343107</v>
      </c>
      <c r="H3114" t="s">
        <v>28</v>
      </c>
      <c r="I3114" t="s">
        <v>17</v>
      </c>
      <c r="J3114" t="s">
        <v>25</v>
      </c>
    </row>
    <row r="3115" spans="1:11" x14ac:dyDescent="0.2">
      <c r="A3115" t="s">
        <v>11011</v>
      </c>
      <c r="E3115" t="s">
        <v>11012</v>
      </c>
      <c r="F3115" s="2">
        <v>525645727</v>
      </c>
      <c r="G3115" s="2">
        <v>133267987</v>
      </c>
      <c r="H3115" t="s">
        <v>34</v>
      </c>
      <c r="I3115" t="s">
        <v>17</v>
      </c>
      <c r="J3115" t="s">
        <v>25</v>
      </c>
    </row>
    <row r="3116" spans="1:11" x14ac:dyDescent="0.2">
      <c r="A3116" t="s">
        <v>11013</v>
      </c>
      <c r="B3116" t="s">
        <v>11014</v>
      </c>
      <c r="E3116" t="s">
        <v>11015</v>
      </c>
      <c r="F3116" s="2">
        <v>524996493</v>
      </c>
      <c r="G3116" s="2">
        <v>134171283</v>
      </c>
      <c r="H3116" t="s">
        <v>34</v>
      </c>
      <c r="I3116" t="s">
        <v>17</v>
      </c>
      <c r="J3116" t="s">
        <v>25</v>
      </c>
    </row>
    <row r="3117" spans="1:11" x14ac:dyDescent="0.2">
      <c r="A3117" t="s">
        <v>11016</v>
      </c>
      <c r="B3117" t="s">
        <v>11017</v>
      </c>
      <c r="C3117" t="s">
        <v>11018</v>
      </c>
      <c r="F3117" s="2">
        <v>525199561</v>
      </c>
      <c r="G3117" s="2">
        <v>13414566</v>
      </c>
      <c r="H3117" t="s">
        <v>255</v>
      </c>
      <c r="I3117" t="s">
        <v>17</v>
      </c>
      <c r="J3117" t="s">
        <v>25</v>
      </c>
    </row>
    <row r="3118" spans="1:11" x14ac:dyDescent="0.2">
      <c r="A3118" t="s">
        <v>11019</v>
      </c>
      <c r="B3118" t="s">
        <v>11020</v>
      </c>
      <c r="C3118" t="s">
        <v>11021</v>
      </c>
      <c r="D3118" t="s">
        <v>11022</v>
      </c>
      <c r="E3118" t="s">
        <v>11023</v>
      </c>
      <c r="F3118" s="2">
        <v>524926824</v>
      </c>
      <c r="G3118" s="2">
        <v>134177106</v>
      </c>
      <c r="H3118" t="s">
        <v>51</v>
      </c>
      <c r="I3118" t="s">
        <v>17</v>
      </c>
      <c r="J3118" t="s">
        <v>25</v>
      </c>
      <c r="K3118" t="s">
        <v>11024</v>
      </c>
    </row>
    <row r="3119" spans="1:11" x14ac:dyDescent="0.2">
      <c r="A3119" t="s">
        <v>11025</v>
      </c>
      <c r="B3119" t="s">
        <v>11026</v>
      </c>
      <c r="F3119" s="2">
        <v>525450607</v>
      </c>
      <c r="G3119" s="2">
        <v>134279561</v>
      </c>
      <c r="H3119" t="s">
        <v>28</v>
      </c>
      <c r="I3119" t="s">
        <v>17</v>
      </c>
      <c r="J3119" t="s">
        <v>25</v>
      </c>
    </row>
    <row r="3120" spans="1:11" x14ac:dyDescent="0.2">
      <c r="A3120" t="s">
        <v>11027</v>
      </c>
      <c r="B3120" t="s">
        <v>11028</v>
      </c>
      <c r="F3120" s="2">
        <v>52553746</v>
      </c>
      <c r="G3120" s="2">
        <v>133824284</v>
      </c>
      <c r="H3120" t="s">
        <v>28</v>
      </c>
      <c r="I3120" t="s">
        <v>17</v>
      </c>
      <c r="J3120" t="s">
        <v>25</v>
      </c>
    </row>
    <row r="3121" spans="1:11" x14ac:dyDescent="0.2">
      <c r="A3121" t="s">
        <v>11029</v>
      </c>
      <c r="B3121" t="s">
        <v>11030</v>
      </c>
      <c r="C3121" t="s">
        <v>11031</v>
      </c>
      <c r="F3121" s="2">
        <v>525007708</v>
      </c>
      <c r="G3121" s="2">
        <v>13431578</v>
      </c>
      <c r="H3121" t="s">
        <v>255</v>
      </c>
      <c r="I3121" t="s">
        <v>17</v>
      </c>
      <c r="J3121" t="s">
        <v>25</v>
      </c>
    </row>
    <row r="3122" spans="1:11" x14ac:dyDescent="0.2">
      <c r="A3122" t="s">
        <v>11032</v>
      </c>
      <c r="B3122" t="s">
        <v>11033</v>
      </c>
      <c r="F3122" s="2">
        <v>524813961</v>
      </c>
      <c r="G3122" s="2">
        <v>134380184</v>
      </c>
      <c r="H3122" t="s">
        <v>28</v>
      </c>
      <c r="I3122" t="s">
        <v>17</v>
      </c>
      <c r="J3122" t="s">
        <v>25</v>
      </c>
    </row>
    <row r="3123" spans="1:11" x14ac:dyDescent="0.2">
      <c r="A3123" t="s">
        <v>11034</v>
      </c>
      <c r="F3123" s="2">
        <v>525018737</v>
      </c>
      <c r="G3123" s="2">
        <v>13385995</v>
      </c>
      <c r="H3123" t="s">
        <v>28</v>
      </c>
      <c r="I3123" t="s">
        <v>17</v>
      </c>
      <c r="J3123" t="s">
        <v>25</v>
      </c>
    </row>
    <row r="3124" spans="1:11" x14ac:dyDescent="0.2">
      <c r="A3124" t="s">
        <v>11035</v>
      </c>
      <c r="B3124" t="s">
        <v>11036</v>
      </c>
      <c r="C3124" t="s">
        <v>11037</v>
      </c>
      <c r="E3124" t="s">
        <v>11038</v>
      </c>
      <c r="F3124" s="2">
        <v>524855049</v>
      </c>
      <c r="G3124" s="2">
        <v>133403401</v>
      </c>
      <c r="H3124" t="s">
        <v>38</v>
      </c>
      <c r="I3124" t="s">
        <v>17</v>
      </c>
      <c r="J3124" t="s">
        <v>25</v>
      </c>
    </row>
    <row r="3125" spans="1:11" x14ac:dyDescent="0.2">
      <c r="A3125" t="s">
        <v>11039</v>
      </c>
      <c r="B3125" t="s">
        <v>11040</v>
      </c>
      <c r="C3125" t="s">
        <v>11041</v>
      </c>
      <c r="D3125" t="s">
        <v>11042</v>
      </c>
      <c r="E3125" t="s">
        <v>11043</v>
      </c>
      <c r="F3125" s="2">
        <v>52485921</v>
      </c>
      <c r="G3125" s="2">
        <v>133305666</v>
      </c>
      <c r="H3125" t="s">
        <v>51</v>
      </c>
      <c r="I3125" t="s">
        <v>17</v>
      </c>
      <c r="J3125" t="s">
        <v>25</v>
      </c>
      <c r="K3125" t="s">
        <v>11044</v>
      </c>
    </row>
    <row r="3126" spans="1:11" x14ac:dyDescent="0.2">
      <c r="A3126" t="s">
        <v>11045</v>
      </c>
      <c r="B3126" t="s">
        <v>11046</v>
      </c>
      <c r="C3126" t="s">
        <v>11047</v>
      </c>
      <c r="E3126">
        <v>4915227976868</v>
      </c>
      <c r="F3126" s="2">
        <v>525208349</v>
      </c>
      <c r="G3126" s="2">
        <v>131856808</v>
      </c>
      <c r="H3126" t="s">
        <v>38</v>
      </c>
      <c r="I3126" t="s">
        <v>17</v>
      </c>
      <c r="J3126" t="s">
        <v>25</v>
      </c>
    </row>
    <row r="3127" spans="1:11" x14ac:dyDescent="0.2">
      <c r="A3127" t="s">
        <v>11048</v>
      </c>
      <c r="B3127" t="s">
        <v>11049</v>
      </c>
      <c r="C3127" t="s">
        <v>11050</v>
      </c>
      <c r="F3127" s="2">
        <v>525437309</v>
      </c>
      <c r="G3127" s="2">
        <v>134378087</v>
      </c>
      <c r="H3127" t="s">
        <v>255</v>
      </c>
      <c r="I3127" t="s">
        <v>17</v>
      </c>
      <c r="J3127" t="s">
        <v>25</v>
      </c>
    </row>
    <row r="3128" spans="1:11" x14ac:dyDescent="0.2">
      <c r="A3128" t="s">
        <v>11051</v>
      </c>
      <c r="B3128" t="s">
        <v>7704</v>
      </c>
      <c r="C3128" t="s">
        <v>11052</v>
      </c>
      <c r="D3128" t="s">
        <v>11053</v>
      </c>
      <c r="E3128" t="s">
        <v>11054</v>
      </c>
      <c r="F3128" s="2">
        <v>524670939</v>
      </c>
      <c r="G3128" s="2">
        <v>133078194</v>
      </c>
      <c r="H3128" t="s">
        <v>51</v>
      </c>
      <c r="I3128" t="s">
        <v>17</v>
      </c>
      <c r="J3128" t="s">
        <v>25</v>
      </c>
      <c r="K3128" t="s">
        <v>11055</v>
      </c>
    </row>
    <row r="3129" spans="1:11" x14ac:dyDescent="0.2">
      <c r="A3129" t="s">
        <v>11056</v>
      </c>
      <c r="F3129" s="2">
        <v>523863225</v>
      </c>
      <c r="G3129" s="2">
        <v>134069093</v>
      </c>
      <c r="H3129" t="s">
        <v>28</v>
      </c>
      <c r="I3129" t="s">
        <v>17</v>
      </c>
      <c r="J3129" t="s">
        <v>25</v>
      </c>
    </row>
    <row r="3130" spans="1:11" x14ac:dyDescent="0.2">
      <c r="A3130" t="s">
        <v>11057</v>
      </c>
      <c r="B3130" t="s">
        <v>11058</v>
      </c>
      <c r="C3130" t="s">
        <v>11059</v>
      </c>
      <c r="D3130" t="s">
        <v>11060</v>
      </c>
      <c r="E3130" t="s">
        <v>11061</v>
      </c>
      <c r="F3130" s="2">
        <v>524547295</v>
      </c>
      <c r="G3130" s="2">
        <v>135162537</v>
      </c>
      <c r="H3130" t="s">
        <v>24</v>
      </c>
      <c r="I3130" t="s">
        <v>17</v>
      </c>
      <c r="J3130" t="s">
        <v>25</v>
      </c>
    </row>
    <row r="3131" spans="1:11" x14ac:dyDescent="0.2">
      <c r="A3131" t="s">
        <v>11062</v>
      </c>
      <c r="B3131" t="s">
        <v>11063</v>
      </c>
      <c r="E3131" t="s">
        <v>11064</v>
      </c>
      <c r="F3131" s="2">
        <v>525495884</v>
      </c>
      <c r="G3131" s="2">
        <v>134560716</v>
      </c>
      <c r="H3131" t="s">
        <v>34</v>
      </c>
      <c r="I3131" t="s">
        <v>17</v>
      </c>
      <c r="J3131" t="s">
        <v>25</v>
      </c>
    </row>
    <row r="3132" spans="1:11" x14ac:dyDescent="0.2">
      <c r="A3132" t="s">
        <v>11065</v>
      </c>
      <c r="F3132" s="2">
        <v>524990938</v>
      </c>
      <c r="G3132" s="2">
        <v>133346569</v>
      </c>
      <c r="H3132" t="s">
        <v>28</v>
      </c>
      <c r="I3132" t="s">
        <v>17</v>
      </c>
      <c r="J3132" t="s">
        <v>25</v>
      </c>
    </row>
    <row r="3133" spans="1:11" x14ac:dyDescent="0.2">
      <c r="A3133" t="s">
        <v>11066</v>
      </c>
      <c r="B3133" t="s">
        <v>11067</v>
      </c>
      <c r="C3133" t="s">
        <v>11068</v>
      </c>
      <c r="D3133" t="s">
        <v>11069</v>
      </c>
      <c r="E3133" t="s">
        <v>11070</v>
      </c>
      <c r="F3133" s="2">
        <v>524845757</v>
      </c>
      <c r="G3133" s="2">
        <v>133441511</v>
      </c>
      <c r="H3133" t="s">
        <v>24</v>
      </c>
      <c r="I3133" t="s">
        <v>17</v>
      </c>
      <c r="J3133" t="s">
        <v>25</v>
      </c>
    </row>
    <row r="3134" spans="1:11" x14ac:dyDescent="0.2">
      <c r="A3134" t="s">
        <v>11071</v>
      </c>
      <c r="B3134" t="s">
        <v>11072</v>
      </c>
      <c r="C3134" t="s">
        <v>11073</v>
      </c>
      <c r="D3134" t="s">
        <v>11074</v>
      </c>
      <c r="E3134" t="s">
        <v>11075</v>
      </c>
      <c r="F3134" s="2">
        <v>525118988</v>
      </c>
      <c r="G3134" s="2">
        <v>134665008</v>
      </c>
      <c r="H3134" t="s">
        <v>24</v>
      </c>
      <c r="I3134" t="s">
        <v>17</v>
      </c>
      <c r="J3134" t="s">
        <v>25</v>
      </c>
    </row>
    <row r="3135" spans="1:11" x14ac:dyDescent="0.2">
      <c r="A3135" t="s">
        <v>11076</v>
      </c>
      <c r="B3135" t="s">
        <v>11077</v>
      </c>
      <c r="E3135">
        <v>493064085279</v>
      </c>
      <c r="F3135" s="2">
        <v>524626911</v>
      </c>
      <c r="G3135" s="2">
        <v>133206845</v>
      </c>
      <c r="H3135" t="s">
        <v>34</v>
      </c>
      <c r="I3135" t="s">
        <v>17</v>
      </c>
      <c r="J3135" t="s">
        <v>25</v>
      </c>
    </row>
    <row r="3136" spans="1:11" x14ac:dyDescent="0.2">
      <c r="A3136" t="s">
        <v>11078</v>
      </c>
      <c r="C3136" t="s">
        <v>11079</v>
      </c>
      <c r="E3136">
        <v>493040578818</v>
      </c>
      <c r="F3136" s="2">
        <v>526233712</v>
      </c>
      <c r="G3136" s="2">
        <v>133022293</v>
      </c>
      <c r="H3136" t="s">
        <v>38</v>
      </c>
      <c r="I3136" t="s">
        <v>17</v>
      </c>
      <c r="J3136" t="s">
        <v>25</v>
      </c>
    </row>
    <row r="3137" spans="1:11" x14ac:dyDescent="0.2">
      <c r="A3137" t="s">
        <v>11080</v>
      </c>
      <c r="B3137" t="s">
        <v>11081</v>
      </c>
      <c r="C3137" t="s">
        <v>11082</v>
      </c>
      <c r="D3137" t="s">
        <v>11083</v>
      </c>
      <c r="E3137" t="s">
        <v>11084</v>
      </c>
      <c r="F3137" s="2">
        <v>523688944</v>
      </c>
      <c r="G3137" s="2">
        <v>136510589</v>
      </c>
      <c r="H3137" t="s">
        <v>24</v>
      </c>
      <c r="I3137" t="s">
        <v>17</v>
      </c>
      <c r="J3137" t="s">
        <v>25</v>
      </c>
    </row>
    <row r="3138" spans="1:11" x14ac:dyDescent="0.2">
      <c r="A3138" t="s">
        <v>11085</v>
      </c>
      <c r="B3138" t="s">
        <v>11086</v>
      </c>
      <c r="C3138" t="s">
        <v>11087</v>
      </c>
      <c r="D3138" t="s">
        <v>11088</v>
      </c>
      <c r="F3138" s="2">
        <v>526170486</v>
      </c>
      <c r="G3138" s="2">
        <v>133155409</v>
      </c>
      <c r="H3138" t="s">
        <v>51</v>
      </c>
      <c r="I3138" t="s">
        <v>17</v>
      </c>
      <c r="J3138" t="s">
        <v>25</v>
      </c>
      <c r="K3138" t="s">
        <v>11089</v>
      </c>
    </row>
    <row r="3139" spans="1:11" x14ac:dyDescent="0.2">
      <c r="A3139" t="s">
        <v>11090</v>
      </c>
      <c r="B3139" t="s">
        <v>11091</v>
      </c>
      <c r="F3139" s="2">
        <v>526137233</v>
      </c>
      <c r="G3139" s="2">
        <v>133133035</v>
      </c>
      <c r="H3139" t="s">
        <v>28</v>
      </c>
      <c r="I3139" t="s">
        <v>17</v>
      </c>
      <c r="J3139" t="s">
        <v>25</v>
      </c>
    </row>
    <row r="3140" spans="1:11" x14ac:dyDescent="0.2">
      <c r="A3140" t="s">
        <v>11092</v>
      </c>
      <c r="B3140" t="s">
        <v>11093</v>
      </c>
      <c r="C3140" t="s">
        <v>11094</v>
      </c>
      <c r="F3140" s="2">
        <v>524567476</v>
      </c>
      <c r="G3140" s="2">
        <v>135084137</v>
      </c>
      <c r="H3140" t="s">
        <v>3120</v>
      </c>
      <c r="I3140" t="s">
        <v>17</v>
      </c>
      <c r="J3140" t="s">
        <v>25</v>
      </c>
      <c r="K3140" t="s">
        <v>11095</v>
      </c>
    </row>
    <row r="3141" spans="1:11" x14ac:dyDescent="0.2">
      <c r="A3141" t="s">
        <v>11096</v>
      </c>
      <c r="B3141" t="s">
        <v>11097</v>
      </c>
      <c r="F3141" s="2">
        <v>524881247</v>
      </c>
      <c r="G3141" s="2">
        <v>133375358</v>
      </c>
      <c r="H3141" t="s">
        <v>28</v>
      </c>
      <c r="I3141" t="s">
        <v>17</v>
      </c>
      <c r="J3141" t="s">
        <v>25</v>
      </c>
    </row>
    <row r="3142" spans="1:11" x14ac:dyDescent="0.2">
      <c r="A3142" t="s">
        <v>11098</v>
      </c>
      <c r="B3142" t="s">
        <v>11099</v>
      </c>
      <c r="C3142" t="s">
        <v>11100</v>
      </c>
      <c r="E3142">
        <v>4930200074177</v>
      </c>
      <c r="F3142" s="2">
        <v>524537788</v>
      </c>
      <c r="G3142" s="2">
        <v>131133654</v>
      </c>
      <c r="H3142" t="s">
        <v>277</v>
      </c>
      <c r="I3142" t="s">
        <v>17</v>
      </c>
      <c r="J3142" t="s">
        <v>25</v>
      </c>
      <c r="K3142" t="s">
        <v>3232</v>
      </c>
    </row>
    <row r="3143" spans="1:11" x14ac:dyDescent="0.2">
      <c r="A3143" t="s">
        <v>11101</v>
      </c>
      <c r="B3143" t="s">
        <v>11102</v>
      </c>
      <c r="C3143" t="s">
        <v>11103</v>
      </c>
      <c r="D3143" t="s">
        <v>11104</v>
      </c>
      <c r="E3143" t="s">
        <v>11105</v>
      </c>
      <c r="F3143" s="2">
        <v>525270965</v>
      </c>
      <c r="G3143" s="2">
        <v>134780992</v>
      </c>
      <c r="H3143" t="s">
        <v>304</v>
      </c>
      <c r="I3143" t="s">
        <v>17</v>
      </c>
      <c r="J3143" t="s">
        <v>25</v>
      </c>
      <c r="K3143" t="s">
        <v>11106</v>
      </c>
    </row>
    <row r="3144" spans="1:11" x14ac:dyDescent="0.2">
      <c r="A3144" t="s">
        <v>11107</v>
      </c>
      <c r="B3144" t="s">
        <v>11108</v>
      </c>
      <c r="F3144" s="2">
        <v>52569872</v>
      </c>
      <c r="G3144" s="2">
        <v>134951956</v>
      </c>
      <c r="H3144" t="s">
        <v>28</v>
      </c>
      <c r="I3144" t="s">
        <v>17</v>
      </c>
      <c r="J3144" t="s">
        <v>25</v>
      </c>
    </row>
    <row r="3145" spans="1:11" x14ac:dyDescent="0.2">
      <c r="A3145" t="s">
        <v>11109</v>
      </c>
      <c r="B3145" t="s">
        <v>11110</v>
      </c>
      <c r="C3145" t="s">
        <v>11111</v>
      </c>
      <c r="E3145" t="s">
        <v>11112</v>
      </c>
      <c r="F3145" s="2">
        <v>52531306</v>
      </c>
      <c r="G3145" s="2">
        <v>134116711</v>
      </c>
      <c r="H3145" t="s">
        <v>277</v>
      </c>
      <c r="I3145" t="s">
        <v>17</v>
      </c>
      <c r="J3145" t="s">
        <v>25</v>
      </c>
      <c r="K3145" t="s">
        <v>11113</v>
      </c>
    </row>
    <row r="3146" spans="1:11" x14ac:dyDescent="0.2">
      <c r="A3146" t="s">
        <v>11114</v>
      </c>
      <c r="B3146" t="s">
        <v>6479</v>
      </c>
      <c r="C3146" t="s">
        <v>11115</v>
      </c>
      <c r="D3146" t="s">
        <v>11116</v>
      </c>
      <c r="E3146" t="s">
        <v>11117</v>
      </c>
      <c r="F3146" s="2">
        <v>525275218</v>
      </c>
      <c r="G3146" s="2">
        <v>133382148</v>
      </c>
      <c r="H3146" t="s">
        <v>51</v>
      </c>
      <c r="I3146" t="s">
        <v>17</v>
      </c>
      <c r="J3146" t="s">
        <v>25</v>
      </c>
      <c r="K3146" t="s">
        <v>11118</v>
      </c>
    </row>
    <row r="3147" spans="1:11" x14ac:dyDescent="0.2">
      <c r="A3147" t="s">
        <v>11119</v>
      </c>
      <c r="B3147" t="s">
        <v>11120</v>
      </c>
      <c r="C3147" t="s">
        <v>11121</v>
      </c>
      <c r="E3147">
        <v>493096600965</v>
      </c>
      <c r="F3147" s="2">
        <v>525061444</v>
      </c>
      <c r="G3147" s="2">
        <v>133196314</v>
      </c>
      <c r="H3147" t="s">
        <v>277</v>
      </c>
      <c r="I3147" t="s">
        <v>17</v>
      </c>
      <c r="J3147" t="s">
        <v>25</v>
      </c>
      <c r="K3147" t="s">
        <v>11122</v>
      </c>
    </row>
    <row r="3148" spans="1:11" x14ac:dyDescent="0.2">
      <c r="A3148" t="s">
        <v>11123</v>
      </c>
      <c r="B3148" t="s">
        <v>11124</v>
      </c>
      <c r="F3148" s="2">
        <v>525376289</v>
      </c>
      <c r="G3148" s="2">
        <v>134788443</v>
      </c>
      <c r="H3148" t="s">
        <v>28</v>
      </c>
      <c r="I3148" t="s">
        <v>17</v>
      </c>
      <c r="J3148" t="s">
        <v>25</v>
      </c>
    </row>
    <row r="3149" spans="1:11" x14ac:dyDescent="0.2">
      <c r="A3149" t="s">
        <v>11125</v>
      </c>
      <c r="C3149" t="s">
        <v>11126</v>
      </c>
      <c r="F3149" s="2">
        <v>525121691</v>
      </c>
      <c r="G3149" s="2">
        <v>134534724</v>
      </c>
      <c r="H3149" t="s">
        <v>255</v>
      </c>
      <c r="I3149" t="s">
        <v>17</v>
      </c>
      <c r="J3149" t="s">
        <v>25</v>
      </c>
    </row>
    <row r="3150" spans="1:11" x14ac:dyDescent="0.2">
      <c r="A3150" t="s">
        <v>11127</v>
      </c>
      <c r="B3150" t="s">
        <v>11128</v>
      </c>
      <c r="C3150" t="s">
        <v>11129</v>
      </c>
      <c r="E3150">
        <v>4917659990860</v>
      </c>
      <c r="F3150" s="2">
        <v>525531601</v>
      </c>
      <c r="G3150" s="2">
        <v>134767547</v>
      </c>
      <c r="H3150" t="s">
        <v>277</v>
      </c>
      <c r="I3150" t="s">
        <v>17</v>
      </c>
      <c r="J3150" t="s">
        <v>25</v>
      </c>
      <c r="K3150" t="s">
        <v>3997</v>
      </c>
    </row>
    <row r="3151" spans="1:11" x14ac:dyDescent="0.2">
      <c r="A3151" t="s">
        <v>11130</v>
      </c>
      <c r="B3151" t="s">
        <v>11131</v>
      </c>
      <c r="C3151" t="s">
        <v>11132</v>
      </c>
      <c r="D3151" t="s">
        <v>11133</v>
      </c>
      <c r="E3151" t="s">
        <v>11134</v>
      </c>
      <c r="F3151" s="2">
        <v>526067406</v>
      </c>
      <c r="G3151" s="2">
        <v>133194646</v>
      </c>
      <c r="H3151" t="s">
        <v>51</v>
      </c>
      <c r="I3151" t="s">
        <v>17</v>
      </c>
      <c r="J3151" t="s">
        <v>25</v>
      </c>
      <c r="K3151" t="s">
        <v>11135</v>
      </c>
    </row>
    <row r="3152" spans="1:11" x14ac:dyDescent="0.2">
      <c r="A3152" t="s">
        <v>11136</v>
      </c>
      <c r="B3152" t="s">
        <v>11137</v>
      </c>
      <c r="C3152" t="s">
        <v>11138</v>
      </c>
      <c r="E3152" t="s">
        <v>11139</v>
      </c>
      <c r="F3152" s="2">
        <v>525286838</v>
      </c>
      <c r="G3152" s="2">
        <v>131947751</v>
      </c>
      <c r="H3152" t="s">
        <v>38</v>
      </c>
      <c r="I3152" t="s">
        <v>17</v>
      </c>
      <c r="J3152" t="s">
        <v>25</v>
      </c>
    </row>
    <row r="3153" spans="1:11" x14ac:dyDescent="0.2">
      <c r="A3153" t="s">
        <v>11140</v>
      </c>
      <c r="B3153" t="s">
        <v>11141</v>
      </c>
      <c r="C3153" t="s">
        <v>11142</v>
      </c>
      <c r="D3153" t="s">
        <v>11143</v>
      </c>
      <c r="F3153" s="2">
        <v>524835639</v>
      </c>
      <c r="G3153" s="2">
        <v>132899974</v>
      </c>
      <c r="H3153" t="s">
        <v>24</v>
      </c>
      <c r="I3153" t="s">
        <v>17</v>
      </c>
      <c r="J3153" t="s">
        <v>25</v>
      </c>
    </row>
    <row r="3154" spans="1:11" x14ac:dyDescent="0.2">
      <c r="A3154" t="s">
        <v>11144</v>
      </c>
      <c r="F3154" s="2">
        <v>524217805</v>
      </c>
      <c r="G3154" s="2">
        <v>134873207</v>
      </c>
      <c r="H3154" t="s">
        <v>28</v>
      </c>
      <c r="I3154" t="s">
        <v>17</v>
      </c>
      <c r="J3154" t="s">
        <v>25</v>
      </c>
    </row>
    <row r="3155" spans="1:11" x14ac:dyDescent="0.2">
      <c r="A3155" t="s">
        <v>11145</v>
      </c>
      <c r="B3155" t="s">
        <v>11146</v>
      </c>
      <c r="C3155" t="s">
        <v>11147</v>
      </c>
      <c r="E3155" t="s">
        <v>11148</v>
      </c>
      <c r="F3155" s="2">
        <v>524501052</v>
      </c>
      <c r="G3155" s="2">
        <v>132533022</v>
      </c>
      <c r="H3155" t="s">
        <v>277</v>
      </c>
      <c r="I3155" t="s">
        <v>17</v>
      </c>
      <c r="J3155" t="s">
        <v>25</v>
      </c>
      <c r="K3155" t="s">
        <v>11149</v>
      </c>
    </row>
    <row r="3156" spans="1:11" x14ac:dyDescent="0.2">
      <c r="A3156" t="s">
        <v>11150</v>
      </c>
      <c r="B3156" t="s">
        <v>11151</v>
      </c>
      <c r="C3156" t="s">
        <v>11152</v>
      </c>
      <c r="D3156" t="s">
        <v>11153</v>
      </c>
      <c r="E3156" t="s">
        <v>11154</v>
      </c>
      <c r="F3156" s="2">
        <v>524501342</v>
      </c>
      <c r="G3156" s="2">
        <v>132534054</v>
      </c>
      <c r="H3156" t="s">
        <v>51</v>
      </c>
      <c r="I3156" t="s">
        <v>17</v>
      </c>
      <c r="J3156" t="s">
        <v>25</v>
      </c>
      <c r="K3156" t="s">
        <v>11155</v>
      </c>
    </row>
    <row r="3157" spans="1:11" x14ac:dyDescent="0.2">
      <c r="A3157" t="s">
        <v>11156</v>
      </c>
      <c r="B3157" t="s">
        <v>11157</v>
      </c>
      <c r="E3157" t="s">
        <v>11158</v>
      </c>
      <c r="F3157" s="2">
        <v>525148106</v>
      </c>
      <c r="G3157" s="2">
        <v>132943931</v>
      </c>
      <c r="H3157" t="s">
        <v>34</v>
      </c>
      <c r="I3157" t="s">
        <v>17</v>
      </c>
      <c r="J3157" t="s">
        <v>25</v>
      </c>
    </row>
    <row r="3158" spans="1:11" x14ac:dyDescent="0.2">
      <c r="A3158" t="s">
        <v>11159</v>
      </c>
      <c r="F3158" s="2">
        <v>525130959</v>
      </c>
      <c r="G3158" s="2">
        <v>132910068</v>
      </c>
      <c r="H3158" t="s">
        <v>28</v>
      </c>
      <c r="I3158" t="s">
        <v>17</v>
      </c>
      <c r="J3158" t="s">
        <v>25</v>
      </c>
    </row>
    <row r="3159" spans="1:11" x14ac:dyDescent="0.2">
      <c r="A3159" t="s">
        <v>11160</v>
      </c>
      <c r="F3159" s="2">
        <v>524967858</v>
      </c>
      <c r="G3159" s="2">
        <v>13307776</v>
      </c>
      <c r="H3159" t="s">
        <v>28</v>
      </c>
      <c r="I3159" t="s">
        <v>17</v>
      </c>
      <c r="J3159" t="s">
        <v>25</v>
      </c>
    </row>
    <row r="3160" spans="1:11" x14ac:dyDescent="0.2">
      <c r="A3160" t="s">
        <v>11161</v>
      </c>
      <c r="B3160" t="s">
        <v>11162</v>
      </c>
      <c r="C3160" t="s">
        <v>11163</v>
      </c>
      <c r="D3160" t="s">
        <v>11164</v>
      </c>
      <c r="F3160" s="2">
        <v>525073372</v>
      </c>
      <c r="G3160" s="2">
        <v>134674427</v>
      </c>
      <c r="H3160" t="s">
        <v>277</v>
      </c>
      <c r="I3160" t="s">
        <v>17</v>
      </c>
      <c r="J3160" t="s">
        <v>25</v>
      </c>
      <c r="K3160" t="s">
        <v>11165</v>
      </c>
    </row>
    <row r="3161" spans="1:11" x14ac:dyDescent="0.2">
      <c r="A3161" t="s">
        <v>11166</v>
      </c>
      <c r="B3161" t="s">
        <v>11167</v>
      </c>
      <c r="C3161" t="s">
        <v>11168</v>
      </c>
      <c r="D3161" t="s">
        <v>11169</v>
      </c>
      <c r="F3161" s="2">
        <v>524938662</v>
      </c>
      <c r="G3161" s="2">
        <v>135070638</v>
      </c>
      <c r="H3161" t="s">
        <v>24</v>
      </c>
      <c r="I3161" t="s">
        <v>17</v>
      </c>
      <c r="J3161" t="s">
        <v>25</v>
      </c>
    </row>
    <row r="3162" spans="1:11" x14ac:dyDescent="0.2">
      <c r="A3162" t="s">
        <v>11170</v>
      </c>
      <c r="B3162" t="s">
        <v>11171</v>
      </c>
      <c r="E3162" t="s">
        <v>11172</v>
      </c>
      <c r="F3162" s="2">
        <v>524805949</v>
      </c>
      <c r="G3162" s="2">
        <v>134393796</v>
      </c>
      <c r="H3162" t="s">
        <v>34</v>
      </c>
      <c r="I3162" t="s">
        <v>17</v>
      </c>
      <c r="J3162" t="s">
        <v>25</v>
      </c>
    </row>
    <row r="3163" spans="1:11" x14ac:dyDescent="0.2">
      <c r="A3163" t="s">
        <v>11173</v>
      </c>
      <c r="F3163" s="2">
        <v>525008655</v>
      </c>
      <c r="G3163" s="2">
        <v>133417703</v>
      </c>
      <c r="H3163" t="s">
        <v>28</v>
      </c>
      <c r="I3163" t="s">
        <v>17</v>
      </c>
      <c r="J3163" t="s">
        <v>25</v>
      </c>
    </row>
    <row r="3164" spans="1:11" x14ac:dyDescent="0.2">
      <c r="A3164" t="s">
        <v>11174</v>
      </c>
      <c r="B3164" t="s">
        <v>11175</v>
      </c>
      <c r="E3164" t="s">
        <v>11176</v>
      </c>
      <c r="F3164" s="2">
        <v>52447397</v>
      </c>
      <c r="G3164" s="2">
        <v>135920791</v>
      </c>
      <c r="H3164" t="s">
        <v>34</v>
      </c>
      <c r="I3164" t="s">
        <v>17</v>
      </c>
      <c r="J3164" t="s">
        <v>25</v>
      </c>
    </row>
    <row r="3165" spans="1:11" x14ac:dyDescent="0.2">
      <c r="A3165" t="s">
        <v>11177</v>
      </c>
      <c r="B3165" t="s">
        <v>11178</v>
      </c>
      <c r="C3165" t="s">
        <v>11179</v>
      </c>
      <c r="F3165" s="2">
        <v>525476464</v>
      </c>
      <c r="G3165" s="2">
        <v>134011426</v>
      </c>
      <c r="H3165" t="s">
        <v>277</v>
      </c>
      <c r="I3165" t="s">
        <v>17</v>
      </c>
      <c r="J3165" t="s">
        <v>25</v>
      </c>
      <c r="K3165" t="s">
        <v>11180</v>
      </c>
    </row>
    <row r="3166" spans="1:11" x14ac:dyDescent="0.2">
      <c r="A3166" t="s">
        <v>11181</v>
      </c>
      <c r="B3166" t="s">
        <v>11182</v>
      </c>
      <c r="C3166" t="s">
        <v>11183</v>
      </c>
      <c r="D3166" t="s">
        <v>11184</v>
      </c>
      <c r="E3166" t="s">
        <v>11185</v>
      </c>
      <c r="F3166" s="2">
        <v>525112355</v>
      </c>
      <c r="G3166" s="2">
        <v>134381946</v>
      </c>
      <c r="H3166" t="s">
        <v>24</v>
      </c>
      <c r="I3166" t="s">
        <v>17</v>
      </c>
      <c r="J3166" t="s">
        <v>25</v>
      </c>
    </row>
    <row r="3167" spans="1:11" x14ac:dyDescent="0.2">
      <c r="A3167" t="s">
        <v>11186</v>
      </c>
      <c r="F3167" s="2">
        <v>525314552</v>
      </c>
      <c r="G3167" s="2">
        <v>133622283</v>
      </c>
      <c r="H3167" t="s">
        <v>28</v>
      </c>
      <c r="I3167" t="s">
        <v>17</v>
      </c>
      <c r="J3167" t="s">
        <v>25</v>
      </c>
    </row>
    <row r="3168" spans="1:11" x14ac:dyDescent="0.2">
      <c r="A3168" t="s">
        <v>11187</v>
      </c>
      <c r="B3168" t="s">
        <v>11188</v>
      </c>
      <c r="C3168" t="s">
        <v>11189</v>
      </c>
      <c r="D3168" t="s">
        <v>11190</v>
      </c>
      <c r="E3168" t="s">
        <v>11191</v>
      </c>
      <c r="F3168" s="2">
        <v>524970161</v>
      </c>
      <c r="G3168" s="2">
        <v>13423409</v>
      </c>
      <c r="H3168" t="s">
        <v>51</v>
      </c>
      <c r="I3168" t="s">
        <v>17</v>
      </c>
      <c r="J3168" t="s">
        <v>25</v>
      </c>
      <c r="K3168" t="s">
        <v>11192</v>
      </c>
    </row>
    <row r="3169" spans="1:11" x14ac:dyDescent="0.2">
      <c r="A3169" t="s">
        <v>11193</v>
      </c>
      <c r="B3169" t="s">
        <v>11194</v>
      </c>
      <c r="C3169" t="s">
        <v>11195</v>
      </c>
      <c r="D3169" t="s">
        <v>11196</v>
      </c>
      <c r="F3169" s="2">
        <v>524985688</v>
      </c>
      <c r="G3169" s="2">
        <v>134347309</v>
      </c>
      <c r="H3169" t="s">
        <v>304</v>
      </c>
      <c r="I3169" t="s">
        <v>17</v>
      </c>
      <c r="J3169" t="s">
        <v>25</v>
      </c>
      <c r="K3169" t="s">
        <v>11197</v>
      </c>
    </row>
    <row r="3170" spans="1:11" x14ac:dyDescent="0.2">
      <c r="A3170" t="s">
        <v>11198</v>
      </c>
      <c r="B3170" t="s">
        <v>11199</v>
      </c>
      <c r="C3170" t="s">
        <v>11200</v>
      </c>
      <c r="F3170" s="2">
        <v>525150576</v>
      </c>
      <c r="G3170" s="2">
        <v>134675406</v>
      </c>
      <c r="H3170" t="s">
        <v>3120</v>
      </c>
      <c r="I3170" t="s">
        <v>17</v>
      </c>
      <c r="J3170" t="s">
        <v>25</v>
      </c>
      <c r="K3170" t="s">
        <v>11201</v>
      </c>
    </row>
    <row r="3171" spans="1:11" x14ac:dyDescent="0.2">
      <c r="A3171" t="s">
        <v>11202</v>
      </c>
      <c r="F3171" s="2">
        <v>525810101</v>
      </c>
      <c r="G3171" s="2">
        <v>133448907</v>
      </c>
      <c r="H3171" t="s">
        <v>28</v>
      </c>
      <c r="I3171" t="s">
        <v>17</v>
      </c>
      <c r="J3171" t="s">
        <v>25</v>
      </c>
    </row>
    <row r="3172" spans="1:11" x14ac:dyDescent="0.2">
      <c r="A3172" t="s">
        <v>11203</v>
      </c>
      <c r="B3172" t="s">
        <v>11204</v>
      </c>
      <c r="C3172" t="s">
        <v>11205</v>
      </c>
      <c r="E3172">
        <v>493060033040</v>
      </c>
      <c r="F3172" s="2">
        <v>524180949</v>
      </c>
      <c r="G3172" s="2">
        <v>133247772</v>
      </c>
      <c r="H3172" t="s">
        <v>38</v>
      </c>
      <c r="I3172" t="s">
        <v>17</v>
      </c>
      <c r="J3172" t="s">
        <v>25</v>
      </c>
    </row>
    <row r="3173" spans="1:11" x14ac:dyDescent="0.2">
      <c r="A3173" t="s">
        <v>11206</v>
      </c>
      <c r="B3173" t="s">
        <v>11207</v>
      </c>
      <c r="C3173" t="s">
        <v>11208</v>
      </c>
      <c r="E3173" t="s">
        <v>11209</v>
      </c>
      <c r="F3173" s="2">
        <v>525217638</v>
      </c>
      <c r="G3173" s="2">
        <v>133250823</v>
      </c>
      <c r="H3173" t="s">
        <v>38</v>
      </c>
      <c r="I3173" t="s">
        <v>17</v>
      </c>
      <c r="J3173" t="s">
        <v>25</v>
      </c>
    </row>
    <row r="3174" spans="1:11" x14ac:dyDescent="0.2">
      <c r="A3174" t="s">
        <v>11210</v>
      </c>
      <c r="B3174" t="s">
        <v>11211</v>
      </c>
      <c r="C3174" t="s">
        <v>11212</v>
      </c>
      <c r="E3174">
        <v>4915753746580</v>
      </c>
      <c r="F3174" s="2">
        <v>525116518</v>
      </c>
      <c r="G3174" s="2">
        <v>134166642</v>
      </c>
      <c r="H3174" t="s">
        <v>277</v>
      </c>
      <c r="I3174" t="s">
        <v>17</v>
      </c>
      <c r="J3174" t="s">
        <v>25</v>
      </c>
      <c r="K3174" t="s">
        <v>11213</v>
      </c>
    </row>
    <row r="3175" spans="1:11" x14ac:dyDescent="0.2">
      <c r="A3175" t="s">
        <v>11214</v>
      </c>
      <c r="B3175" t="s">
        <v>11215</v>
      </c>
      <c r="C3175" t="s">
        <v>11216</v>
      </c>
      <c r="E3175" t="s">
        <v>11217</v>
      </c>
      <c r="F3175" s="2">
        <v>525137498</v>
      </c>
      <c r="G3175" s="2">
        <v>134553445</v>
      </c>
      <c r="H3175" t="s">
        <v>38</v>
      </c>
      <c r="I3175" t="s">
        <v>17</v>
      </c>
      <c r="J3175" t="s">
        <v>25</v>
      </c>
    </row>
    <row r="3176" spans="1:11" x14ac:dyDescent="0.2">
      <c r="A3176" t="s">
        <v>11218</v>
      </c>
      <c r="F3176" s="2">
        <v>525547729</v>
      </c>
      <c r="G3176" s="2">
        <v>134412702</v>
      </c>
      <c r="H3176" t="s">
        <v>28</v>
      </c>
      <c r="I3176" t="s">
        <v>17</v>
      </c>
      <c r="J3176" t="s">
        <v>25</v>
      </c>
    </row>
    <row r="3177" spans="1:11" x14ac:dyDescent="0.2">
      <c r="A3177" t="s">
        <v>11219</v>
      </c>
      <c r="B3177" t="s">
        <v>11220</v>
      </c>
      <c r="C3177" t="s">
        <v>11221</v>
      </c>
      <c r="D3177" t="s">
        <v>4433</v>
      </c>
      <c r="F3177" s="2">
        <v>525193463</v>
      </c>
      <c r="G3177" s="2">
        <v>135266075</v>
      </c>
      <c r="H3177" t="s">
        <v>51</v>
      </c>
      <c r="I3177" t="s">
        <v>17</v>
      </c>
      <c r="J3177" t="s">
        <v>25</v>
      </c>
      <c r="K3177" t="s">
        <v>4434</v>
      </c>
    </row>
    <row r="3178" spans="1:11" x14ac:dyDescent="0.2">
      <c r="A3178" t="s">
        <v>11222</v>
      </c>
      <c r="E3178" t="s">
        <v>11223</v>
      </c>
      <c r="F3178" s="2">
        <v>524952896</v>
      </c>
      <c r="G3178" s="2">
        <v>134192857</v>
      </c>
      <c r="H3178" t="s">
        <v>34</v>
      </c>
      <c r="I3178" t="s">
        <v>17</v>
      </c>
      <c r="J3178" t="s">
        <v>25</v>
      </c>
    </row>
    <row r="3179" spans="1:11" x14ac:dyDescent="0.2">
      <c r="A3179" t="s">
        <v>11224</v>
      </c>
      <c r="F3179" s="2">
        <v>524995173</v>
      </c>
      <c r="G3179" s="2">
        <v>134399754</v>
      </c>
      <c r="H3179" t="s">
        <v>28</v>
      </c>
      <c r="I3179" t="s">
        <v>17</v>
      </c>
      <c r="J3179" t="s">
        <v>25</v>
      </c>
    </row>
    <row r="3180" spans="1:11" x14ac:dyDescent="0.2">
      <c r="A3180" t="s">
        <v>11225</v>
      </c>
      <c r="C3180" t="s">
        <v>11226</v>
      </c>
      <c r="E3180">
        <v>49306758530</v>
      </c>
      <c r="F3180" s="2">
        <v>523873544</v>
      </c>
      <c r="G3180" s="2">
        <v>136405</v>
      </c>
      <c r="H3180" t="s">
        <v>38</v>
      </c>
      <c r="I3180" t="s">
        <v>17</v>
      </c>
      <c r="J3180" t="s">
        <v>25</v>
      </c>
    </row>
    <row r="3181" spans="1:11" x14ac:dyDescent="0.2">
      <c r="A3181" t="s">
        <v>11227</v>
      </c>
      <c r="F3181" s="2">
        <v>525017624</v>
      </c>
      <c r="G3181" s="2">
        <v>133172838</v>
      </c>
      <c r="H3181" t="s">
        <v>28</v>
      </c>
      <c r="I3181" t="s">
        <v>17</v>
      </c>
      <c r="J3181" t="s">
        <v>25</v>
      </c>
    </row>
    <row r="3182" spans="1:11" x14ac:dyDescent="0.2">
      <c r="A3182" t="s">
        <v>11228</v>
      </c>
      <c r="B3182" t="s">
        <v>11229</v>
      </c>
      <c r="C3182" t="s">
        <v>11230</v>
      </c>
      <c r="D3182" t="s">
        <v>11231</v>
      </c>
      <c r="F3182" s="2">
        <v>525173981</v>
      </c>
      <c r="G3182" s="2">
        <v>134015454</v>
      </c>
      <c r="H3182" t="s">
        <v>51</v>
      </c>
      <c r="I3182" t="s">
        <v>17</v>
      </c>
      <c r="J3182" t="s">
        <v>25</v>
      </c>
      <c r="K3182" t="s">
        <v>11232</v>
      </c>
    </row>
    <row r="3183" spans="1:11" x14ac:dyDescent="0.2">
      <c r="A3183" t="s">
        <v>11233</v>
      </c>
      <c r="B3183" t="s">
        <v>11234</v>
      </c>
      <c r="C3183" t="s">
        <v>11235</v>
      </c>
      <c r="E3183" t="s">
        <v>11236</v>
      </c>
      <c r="F3183" s="2">
        <v>525250717</v>
      </c>
      <c r="G3183" s="2">
        <v>134212449</v>
      </c>
      <c r="H3183" t="s">
        <v>38</v>
      </c>
      <c r="I3183" t="s">
        <v>17</v>
      </c>
      <c r="J3183" t="s">
        <v>25</v>
      </c>
    </row>
    <row r="3184" spans="1:11" x14ac:dyDescent="0.2">
      <c r="A3184" t="s">
        <v>11237</v>
      </c>
      <c r="B3184" t="s">
        <v>11238</v>
      </c>
      <c r="C3184" t="s">
        <v>11239</v>
      </c>
      <c r="D3184" t="s">
        <v>11240</v>
      </c>
      <c r="E3184" t="s">
        <v>11241</v>
      </c>
      <c r="F3184" s="2">
        <v>525509868</v>
      </c>
      <c r="G3184" s="2">
        <v>133835947</v>
      </c>
      <c r="H3184" t="s">
        <v>24</v>
      </c>
      <c r="I3184" t="s">
        <v>17</v>
      </c>
      <c r="J3184" t="s">
        <v>25</v>
      </c>
    </row>
    <row r="3185" spans="1:11" x14ac:dyDescent="0.2">
      <c r="A3185" t="s">
        <v>11242</v>
      </c>
      <c r="B3185" t="s">
        <v>11243</v>
      </c>
      <c r="F3185" s="2">
        <v>525078171</v>
      </c>
      <c r="G3185" s="2">
        <v>133039379</v>
      </c>
      <c r="H3185" t="s">
        <v>28</v>
      </c>
      <c r="I3185" t="s">
        <v>17</v>
      </c>
      <c r="J3185" t="s">
        <v>25</v>
      </c>
    </row>
    <row r="3186" spans="1:11" x14ac:dyDescent="0.2">
      <c r="A3186" t="s">
        <v>11244</v>
      </c>
      <c r="B3186" t="s">
        <v>6920</v>
      </c>
      <c r="C3186" t="s">
        <v>11245</v>
      </c>
      <c r="D3186" t="s">
        <v>11246</v>
      </c>
      <c r="E3186">
        <v>493058739462</v>
      </c>
      <c r="F3186" s="2">
        <v>525062955</v>
      </c>
      <c r="G3186" s="2">
        <v>134653663</v>
      </c>
      <c r="H3186" t="s">
        <v>24</v>
      </c>
      <c r="I3186" t="s">
        <v>17</v>
      </c>
      <c r="J3186" t="s">
        <v>25</v>
      </c>
    </row>
    <row r="3187" spans="1:11" x14ac:dyDescent="0.2">
      <c r="A3187" t="s">
        <v>11247</v>
      </c>
      <c r="B3187" t="s">
        <v>11248</v>
      </c>
      <c r="C3187" t="s">
        <v>11249</v>
      </c>
      <c r="E3187" t="s">
        <v>11250</v>
      </c>
      <c r="F3187" s="2">
        <v>524930054</v>
      </c>
      <c r="G3187" s="2">
        <v>133324062</v>
      </c>
      <c r="H3187" t="s">
        <v>38</v>
      </c>
      <c r="I3187" t="s">
        <v>17</v>
      </c>
      <c r="J3187" t="s">
        <v>25</v>
      </c>
    </row>
    <row r="3188" spans="1:11" x14ac:dyDescent="0.2">
      <c r="A3188" t="s">
        <v>11251</v>
      </c>
      <c r="B3188" t="s">
        <v>11252</v>
      </c>
      <c r="E3188" t="s">
        <v>11253</v>
      </c>
      <c r="F3188" s="2">
        <v>525010071</v>
      </c>
      <c r="G3188" s="2">
        <v>134171057</v>
      </c>
      <c r="H3188" t="s">
        <v>34</v>
      </c>
      <c r="I3188" t="s">
        <v>17</v>
      </c>
      <c r="J3188" t="s">
        <v>25</v>
      </c>
    </row>
    <row r="3189" spans="1:11" x14ac:dyDescent="0.2">
      <c r="A3189" t="s">
        <v>11254</v>
      </c>
      <c r="B3189" t="s">
        <v>11255</v>
      </c>
      <c r="C3189" t="s">
        <v>11256</v>
      </c>
      <c r="D3189" t="s">
        <v>11257</v>
      </c>
      <c r="E3189" t="s">
        <v>11258</v>
      </c>
      <c r="F3189" s="2">
        <v>525317933</v>
      </c>
      <c r="G3189" s="2">
        <v>133831649</v>
      </c>
      <c r="H3189" t="s">
        <v>24</v>
      </c>
      <c r="I3189" t="s">
        <v>17</v>
      </c>
      <c r="J3189" t="s">
        <v>25</v>
      </c>
    </row>
    <row r="3190" spans="1:11" x14ac:dyDescent="0.2">
      <c r="A3190" t="s">
        <v>11259</v>
      </c>
      <c r="F3190" s="2">
        <v>524513308</v>
      </c>
      <c r="G3190" s="2">
        <v>134185753</v>
      </c>
      <c r="H3190" t="s">
        <v>28</v>
      </c>
      <c r="I3190" t="s">
        <v>17</v>
      </c>
      <c r="J3190" t="s">
        <v>25</v>
      </c>
    </row>
    <row r="3191" spans="1:11" x14ac:dyDescent="0.2">
      <c r="A3191" t="s">
        <v>11260</v>
      </c>
      <c r="B3191" t="s">
        <v>11261</v>
      </c>
      <c r="C3191" t="s">
        <v>11262</v>
      </c>
      <c r="F3191" s="2">
        <v>525049501</v>
      </c>
      <c r="G3191" s="2">
        <v>13294358</v>
      </c>
      <c r="H3191" t="s">
        <v>255</v>
      </c>
      <c r="I3191" t="s">
        <v>17</v>
      </c>
      <c r="J3191" t="s">
        <v>25</v>
      </c>
    </row>
    <row r="3192" spans="1:11" x14ac:dyDescent="0.2">
      <c r="A3192" t="s">
        <v>11263</v>
      </c>
      <c r="B3192" t="s">
        <v>11264</v>
      </c>
      <c r="C3192" t="s">
        <v>11265</v>
      </c>
      <c r="E3192" t="s">
        <v>11266</v>
      </c>
      <c r="F3192" s="2">
        <v>525214216</v>
      </c>
      <c r="G3192" s="2">
        <v>133848158</v>
      </c>
      <c r="H3192" t="s">
        <v>277</v>
      </c>
      <c r="I3192" t="s">
        <v>17</v>
      </c>
      <c r="J3192" t="s">
        <v>25</v>
      </c>
      <c r="K3192" t="s">
        <v>11267</v>
      </c>
    </row>
    <row r="3193" spans="1:11" x14ac:dyDescent="0.2">
      <c r="A3193" t="s">
        <v>11268</v>
      </c>
      <c r="B3193" t="s">
        <v>11269</v>
      </c>
      <c r="C3193" t="s">
        <v>11270</v>
      </c>
      <c r="E3193" t="s">
        <v>11271</v>
      </c>
      <c r="F3193" s="2">
        <v>524083706</v>
      </c>
      <c r="G3193" s="2">
        <v>133590954</v>
      </c>
      <c r="H3193" t="s">
        <v>38</v>
      </c>
      <c r="I3193" t="s">
        <v>17</v>
      </c>
      <c r="J3193" t="s">
        <v>25</v>
      </c>
    </row>
    <row r="3194" spans="1:11" x14ac:dyDescent="0.2">
      <c r="A3194" t="s">
        <v>11272</v>
      </c>
      <c r="F3194" s="2">
        <v>525322819</v>
      </c>
      <c r="G3194" s="2">
        <v>1334208</v>
      </c>
      <c r="H3194" t="s">
        <v>28</v>
      </c>
      <c r="I3194" t="s">
        <v>17</v>
      </c>
      <c r="J3194" t="s">
        <v>25</v>
      </c>
    </row>
    <row r="3195" spans="1:11" x14ac:dyDescent="0.2">
      <c r="A3195" t="s">
        <v>11273</v>
      </c>
      <c r="B3195" t="s">
        <v>11274</v>
      </c>
      <c r="C3195" t="s">
        <v>11275</v>
      </c>
      <c r="D3195" t="s">
        <v>11276</v>
      </c>
      <c r="F3195" s="2">
        <v>525249244</v>
      </c>
      <c r="G3195" s="2">
        <v>133452608</v>
      </c>
      <c r="H3195" t="s">
        <v>51</v>
      </c>
      <c r="I3195" t="s">
        <v>17</v>
      </c>
      <c r="J3195" t="s">
        <v>25</v>
      </c>
      <c r="K3195" t="s">
        <v>11277</v>
      </c>
    </row>
    <row r="3196" spans="1:11" x14ac:dyDescent="0.2">
      <c r="A3196" t="s">
        <v>11278</v>
      </c>
      <c r="B3196" t="s">
        <v>11279</v>
      </c>
      <c r="E3196">
        <v>49304112017</v>
      </c>
      <c r="F3196" s="2">
        <v>526065151</v>
      </c>
      <c r="G3196" s="2">
        <v>133193181</v>
      </c>
      <c r="H3196" t="s">
        <v>34</v>
      </c>
      <c r="I3196" t="s">
        <v>17</v>
      </c>
      <c r="J3196" t="s">
        <v>25</v>
      </c>
    </row>
    <row r="3197" spans="1:11" x14ac:dyDescent="0.2">
      <c r="A3197" t="s">
        <v>11280</v>
      </c>
      <c r="F3197" s="2">
        <v>524270769</v>
      </c>
      <c r="G3197" s="2">
        <v>132042622</v>
      </c>
      <c r="H3197" t="s">
        <v>28</v>
      </c>
      <c r="I3197" t="s">
        <v>17</v>
      </c>
      <c r="J3197" t="s">
        <v>25</v>
      </c>
    </row>
    <row r="3198" spans="1:11" x14ac:dyDescent="0.2">
      <c r="A3198" t="s">
        <v>11281</v>
      </c>
      <c r="B3198" t="s">
        <v>11282</v>
      </c>
      <c r="F3198" s="2">
        <v>524894488</v>
      </c>
      <c r="G3198" s="2">
        <v>133225643</v>
      </c>
      <c r="H3198" t="s">
        <v>28</v>
      </c>
      <c r="I3198" t="s">
        <v>17</v>
      </c>
      <c r="J3198" t="s">
        <v>25</v>
      </c>
    </row>
    <row r="3199" spans="1:11" x14ac:dyDescent="0.2">
      <c r="A3199" t="s">
        <v>11283</v>
      </c>
      <c r="B3199" t="s">
        <v>11284</v>
      </c>
      <c r="E3199" t="s">
        <v>11285</v>
      </c>
      <c r="F3199" s="2">
        <v>524703239</v>
      </c>
      <c r="G3199" s="2">
        <v>134321601</v>
      </c>
      <c r="H3199" t="s">
        <v>34</v>
      </c>
      <c r="I3199" t="s">
        <v>17</v>
      </c>
      <c r="J3199" t="s">
        <v>25</v>
      </c>
    </row>
    <row r="3200" spans="1:11" x14ac:dyDescent="0.2">
      <c r="A3200" t="s">
        <v>11286</v>
      </c>
      <c r="B3200" t="s">
        <v>11287</v>
      </c>
      <c r="C3200" t="s">
        <v>11288</v>
      </c>
      <c r="E3200" t="s">
        <v>11289</v>
      </c>
      <c r="F3200" s="2">
        <v>525487194</v>
      </c>
      <c r="G3200" s="2">
        <v>134498853</v>
      </c>
      <c r="H3200" t="s">
        <v>38</v>
      </c>
      <c r="I3200" t="s">
        <v>17</v>
      </c>
      <c r="J3200" t="s">
        <v>25</v>
      </c>
    </row>
    <row r="3201" spans="1:11" x14ac:dyDescent="0.2">
      <c r="A3201" t="s">
        <v>11290</v>
      </c>
      <c r="B3201" t="s">
        <v>11291</v>
      </c>
      <c r="C3201" t="s">
        <v>11292</v>
      </c>
      <c r="D3201" t="s">
        <v>11293</v>
      </c>
      <c r="E3201" t="s">
        <v>11294</v>
      </c>
      <c r="F3201" s="2">
        <v>525487421</v>
      </c>
      <c r="G3201" s="2">
        <v>134521619</v>
      </c>
      <c r="H3201" t="s">
        <v>16</v>
      </c>
      <c r="I3201" t="s">
        <v>17</v>
      </c>
      <c r="J3201" t="s">
        <v>25</v>
      </c>
    </row>
    <row r="3202" spans="1:11" x14ac:dyDescent="0.2">
      <c r="A3202" t="s">
        <v>11295</v>
      </c>
      <c r="B3202" t="s">
        <v>11296</v>
      </c>
      <c r="E3202" t="s">
        <v>11297</v>
      </c>
      <c r="F3202" s="2">
        <v>525488294</v>
      </c>
      <c r="G3202" s="2">
        <v>134525802</v>
      </c>
      <c r="H3202" t="s">
        <v>34</v>
      </c>
      <c r="I3202" t="s">
        <v>17</v>
      </c>
      <c r="J3202" t="s">
        <v>25</v>
      </c>
    </row>
    <row r="3203" spans="1:11" x14ac:dyDescent="0.2">
      <c r="A3203" t="s">
        <v>11298</v>
      </c>
      <c r="B3203" t="s">
        <v>11299</v>
      </c>
      <c r="F3203" s="2">
        <v>525499215</v>
      </c>
      <c r="G3203" s="2">
        <v>134576039</v>
      </c>
      <c r="H3203" t="s">
        <v>28</v>
      </c>
      <c r="I3203" t="s">
        <v>17</v>
      </c>
      <c r="J3203" t="s">
        <v>25</v>
      </c>
    </row>
    <row r="3204" spans="1:11" x14ac:dyDescent="0.2">
      <c r="A3204" t="s">
        <v>11300</v>
      </c>
      <c r="B3204" t="s">
        <v>11301</v>
      </c>
      <c r="C3204" t="s">
        <v>11302</v>
      </c>
      <c r="D3204" t="s">
        <v>11303</v>
      </c>
      <c r="E3204" t="s">
        <v>11304</v>
      </c>
      <c r="F3204" s="2">
        <v>525435243</v>
      </c>
      <c r="G3204" s="2">
        <v>134170996</v>
      </c>
      <c r="H3204" t="s">
        <v>51</v>
      </c>
      <c r="I3204" t="s">
        <v>17</v>
      </c>
      <c r="J3204" t="s">
        <v>25</v>
      </c>
      <c r="K3204" t="s">
        <v>11305</v>
      </c>
    </row>
    <row r="3205" spans="1:11" x14ac:dyDescent="0.2">
      <c r="A3205" t="s">
        <v>11306</v>
      </c>
      <c r="B3205" t="s">
        <v>11307</v>
      </c>
      <c r="C3205" t="s">
        <v>11308</v>
      </c>
      <c r="E3205" t="s">
        <v>11309</v>
      </c>
      <c r="F3205" s="2">
        <v>525424405</v>
      </c>
      <c r="G3205" s="2">
        <v>134209472</v>
      </c>
      <c r="H3205" t="s">
        <v>277</v>
      </c>
      <c r="I3205" t="s">
        <v>17</v>
      </c>
      <c r="J3205" t="s">
        <v>25</v>
      </c>
      <c r="K3205" t="s">
        <v>11310</v>
      </c>
    </row>
    <row r="3206" spans="1:11" x14ac:dyDescent="0.2">
      <c r="A3206" t="s">
        <v>11311</v>
      </c>
      <c r="B3206" t="s">
        <v>1662</v>
      </c>
      <c r="C3206" t="s">
        <v>11312</v>
      </c>
      <c r="F3206" s="2">
        <v>524655516</v>
      </c>
      <c r="G3206" s="2">
        <v>134326465</v>
      </c>
      <c r="H3206" t="s">
        <v>255</v>
      </c>
      <c r="I3206" t="s">
        <v>17</v>
      </c>
      <c r="J3206" t="s">
        <v>25</v>
      </c>
    </row>
    <row r="3207" spans="1:11" x14ac:dyDescent="0.2">
      <c r="A3207" t="s">
        <v>11313</v>
      </c>
      <c r="B3207" t="s">
        <v>11314</v>
      </c>
      <c r="F3207" s="2">
        <v>525264758</v>
      </c>
      <c r="G3207" s="2">
        <v>134881707</v>
      </c>
      <c r="H3207" t="s">
        <v>28</v>
      </c>
      <c r="I3207" t="s">
        <v>17</v>
      </c>
      <c r="J3207" t="s">
        <v>25</v>
      </c>
    </row>
    <row r="3208" spans="1:11" x14ac:dyDescent="0.2">
      <c r="A3208" t="s">
        <v>11315</v>
      </c>
      <c r="B3208" t="s">
        <v>11316</v>
      </c>
      <c r="C3208" t="s">
        <v>11317</v>
      </c>
      <c r="E3208" t="s">
        <v>11318</v>
      </c>
      <c r="F3208" s="2">
        <v>525009371</v>
      </c>
      <c r="G3208" s="2">
        <v>134591822</v>
      </c>
      <c r="H3208" t="s">
        <v>38</v>
      </c>
      <c r="I3208" t="s">
        <v>17</v>
      </c>
      <c r="J3208" t="s">
        <v>25</v>
      </c>
    </row>
    <row r="3209" spans="1:11" x14ac:dyDescent="0.2">
      <c r="A3209" t="s">
        <v>11319</v>
      </c>
      <c r="B3209" t="s">
        <v>11320</v>
      </c>
      <c r="F3209" s="2">
        <v>524665887</v>
      </c>
      <c r="G3209" s="2">
        <v>134316075</v>
      </c>
      <c r="H3209" t="s">
        <v>28</v>
      </c>
      <c r="I3209" t="s">
        <v>17</v>
      </c>
      <c r="J3209" t="s">
        <v>25</v>
      </c>
    </row>
    <row r="3210" spans="1:11" x14ac:dyDescent="0.2">
      <c r="A3210" t="s">
        <v>11321</v>
      </c>
      <c r="B3210" t="s">
        <v>11322</v>
      </c>
      <c r="E3210" t="s">
        <v>11323</v>
      </c>
      <c r="F3210" s="2">
        <v>525435452</v>
      </c>
      <c r="G3210" s="2">
        <v>134163824</v>
      </c>
      <c r="H3210" t="s">
        <v>34</v>
      </c>
      <c r="I3210" t="s">
        <v>17</v>
      </c>
      <c r="J3210" t="s">
        <v>25</v>
      </c>
    </row>
    <row r="3211" spans="1:11" x14ac:dyDescent="0.2">
      <c r="A3211" t="s">
        <v>11324</v>
      </c>
      <c r="F3211" s="2">
        <v>525505462</v>
      </c>
      <c r="G3211" s="2">
        <v>133631262</v>
      </c>
      <c r="H3211" t="s">
        <v>28</v>
      </c>
      <c r="I3211" t="s">
        <v>17</v>
      </c>
      <c r="J3211" t="s">
        <v>25</v>
      </c>
    </row>
    <row r="3212" spans="1:11" x14ac:dyDescent="0.2">
      <c r="A3212" t="s">
        <v>11325</v>
      </c>
      <c r="E3212" t="s">
        <v>11326</v>
      </c>
      <c r="F3212" s="2">
        <v>525583957</v>
      </c>
      <c r="G3212" s="2">
        <v>133743713</v>
      </c>
      <c r="H3212" t="s">
        <v>34</v>
      </c>
      <c r="I3212" t="s">
        <v>17</v>
      </c>
      <c r="J3212" t="s">
        <v>25</v>
      </c>
    </row>
    <row r="3213" spans="1:11" x14ac:dyDescent="0.2">
      <c r="A3213" t="s">
        <v>11327</v>
      </c>
      <c r="B3213" t="s">
        <v>11328</v>
      </c>
      <c r="F3213" s="2">
        <v>525263227</v>
      </c>
      <c r="G3213" s="2">
        <v>135328906</v>
      </c>
      <c r="H3213" t="s">
        <v>28</v>
      </c>
      <c r="I3213" t="s">
        <v>17</v>
      </c>
      <c r="J3213" t="s">
        <v>25</v>
      </c>
    </row>
    <row r="3214" spans="1:11" x14ac:dyDescent="0.2">
      <c r="A3214" t="s">
        <v>11329</v>
      </c>
      <c r="F3214" s="2">
        <v>526010534</v>
      </c>
      <c r="G3214" s="2">
        <v>133388827</v>
      </c>
      <c r="H3214" t="s">
        <v>28</v>
      </c>
      <c r="I3214" t="s">
        <v>17</v>
      </c>
      <c r="J3214" t="s">
        <v>25</v>
      </c>
    </row>
    <row r="3215" spans="1:11" x14ac:dyDescent="0.2">
      <c r="A3215" t="s">
        <v>11330</v>
      </c>
      <c r="B3215" t="s">
        <v>11331</v>
      </c>
      <c r="C3215" t="s">
        <v>11332</v>
      </c>
      <c r="E3215" t="s">
        <v>11333</v>
      </c>
      <c r="F3215" s="2">
        <v>525187276</v>
      </c>
      <c r="G3215" s="2">
        <v>133306677</v>
      </c>
      <c r="H3215" t="s">
        <v>38</v>
      </c>
      <c r="I3215" t="s">
        <v>17</v>
      </c>
      <c r="J3215" t="s">
        <v>25</v>
      </c>
    </row>
    <row r="3216" spans="1:11" x14ac:dyDescent="0.2">
      <c r="A3216" t="s">
        <v>11334</v>
      </c>
      <c r="B3216" t="s">
        <v>11335</v>
      </c>
      <c r="F3216" s="2">
        <v>524907894</v>
      </c>
      <c r="G3216" s="2">
        <v>133352256</v>
      </c>
      <c r="H3216" t="s">
        <v>28</v>
      </c>
      <c r="I3216" t="s">
        <v>17</v>
      </c>
      <c r="J3216" t="s">
        <v>25</v>
      </c>
    </row>
    <row r="3217" spans="1:11" x14ac:dyDescent="0.2">
      <c r="A3217" t="s">
        <v>11336</v>
      </c>
      <c r="B3217" t="s">
        <v>11337</v>
      </c>
      <c r="C3217" t="s">
        <v>11338</v>
      </c>
      <c r="E3217" t="s">
        <v>11339</v>
      </c>
      <c r="F3217" s="2">
        <v>525373506</v>
      </c>
      <c r="G3217" s="2">
        <v>132857731</v>
      </c>
      <c r="H3217" t="s">
        <v>38</v>
      </c>
      <c r="I3217" t="s">
        <v>17</v>
      </c>
      <c r="J3217" t="s">
        <v>25</v>
      </c>
    </row>
    <row r="3218" spans="1:11" x14ac:dyDescent="0.2">
      <c r="A3218" t="s">
        <v>11340</v>
      </c>
      <c r="E3218" t="s">
        <v>11341</v>
      </c>
      <c r="F3218" s="2">
        <v>524496682</v>
      </c>
      <c r="G3218" s="2">
        <v>133166647</v>
      </c>
      <c r="H3218" t="s">
        <v>34</v>
      </c>
      <c r="I3218" t="s">
        <v>17</v>
      </c>
      <c r="J3218" t="s">
        <v>25</v>
      </c>
    </row>
    <row r="3219" spans="1:11" x14ac:dyDescent="0.2">
      <c r="A3219" t="s">
        <v>11342</v>
      </c>
      <c r="B3219" t="s">
        <v>11343</v>
      </c>
      <c r="C3219" t="s">
        <v>11344</v>
      </c>
      <c r="D3219" t="s">
        <v>11345</v>
      </c>
      <c r="E3219" t="s">
        <v>11346</v>
      </c>
      <c r="F3219" s="2">
        <v>525568365</v>
      </c>
      <c r="G3219" s="2">
        <v>133852411</v>
      </c>
      <c r="H3219" t="s">
        <v>51</v>
      </c>
      <c r="I3219" t="s">
        <v>17</v>
      </c>
      <c r="J3219" t="s">
        <v>25</v>
      </c>
      <c r="K3219" t="s">
        <v>11347</v>
      </c>
    </row>
    <row r="3220" spans="1:11" x14ac:dyDescent="0.2">
      <c r="A3220" t="s">
        <v>11348</v>
      </c>
      <c r="B3220" t="s">
        <v>11349</v>
      </c>
      <c r="C3220" t="s">
        <v>11350</v>
      </c>
      <c r="E3220" t="s">
        <v>11351</v>
      </c>
      <c r="F3220" s="2">
        <v>524991462</v>
      </c>
      <c r="G3220" s="2">
        <v>133569355</v>
      </c>
      <c r="H3220" t="s">
        <v>277</v>
      </c>
      <c r="I3220" t="s">
        <v>17</v>
      </c>
      <c r="J3220" t="s">
        <v>25</v>
      </c>
      <c r="K3220" t="s">
        <v>11352</v>
      </c>
    </row>
    <row r="3221" spans="1:11" x14ac:dyDescent="0.2">
      <c r="A3221" t="s">
        <v>11353</v>
      </c>
      <c r="B3221" t="s">
        <v>6479</v>
      </c>
      <c r="C3221" t="s">
        <v>11354</v>
      </c>
      <c r="E3221">
        <v>4915770885967</v>
      </c>
      <c r="F3221" s="2">
        <v>525278595</v>
      </c>
      <c r="G3221" s="2">
        <v>133389601</v>
      </c>
      <c r="H3221" t="s">
        <v>277</v>
      </c>
      <c r="I3221" t="s">
        <v>17</v>
      </c>
      <c r="J3221" t="s">
        <v>25</v>
      </c>
      <c r="K3221" t="s">
        <v>11355</v>
      </c>
    </row>
    <row r="3222" spans="1:11" x14ac:dyDescent="0.2">
      <c r="A3222" t="s">
        <v>11356</v>
      </c>
      <c r="B3222" t="s">
        <v>11357</v>
      </c>
      <c r="C3222" t="s">
        <v>11358</v>
      </c>
      <c r="D3222" t="s">
        <v>11359</v>
      </c>
      <c r="F3222" s="2">
        <v>526149802</v>
      </c>
      <c r="G3222" s="2">
        <v>132994312</v>
      </c>
      <c r="H3222" t="s">
        <v>51</v>
      </c>
      <c r="I3222" t="s">
        <v>17</v>
      </c>
      <c r="J3222" t="s">
        <v>25</v>
      </c>
      <c r="K3222" t="s">
        <v>11360</v>
      </c>
    </row>
    <row r="3223" spans="1:11" x14ac:dyDescent="0.2">
      <c r="A3223" t="s">
        <v>11361</v>
      </c>
      <c r="B3223" t="s">
        <v>11362</v>
      </c>
      <c r="C3223" t="s">
        <v>11363</v>
      </c>
      <c r="D3223" t="s">
        <v>11364</v>
      </c>
      <c r="E3223" t="s">
        <v>11365</v>
      </c>
      <c r="F3223" s="2">
        <v>525082893</v>
      </c>
      <c r="G3223" s="2">
        <v>134635149</v>
      </c>
      <c r="H3223" t="s">
        <v>51</v>
      </c>
      <c r="I3223" t="s">
        <v>17</v>
      </c>
      <c r="J3223" t="s">
        <v>25</v>
      </c>
      <c r="K3223" t="s">
        <v>11366</v>
      </c>
    </row>
    <row r="3224" spans="1:11" x14ac:dyDescent="0.2">
      <c r="A3224" t="s">
        <v>11367</v>
      </c>
      <c r="B3224" t="s">
        <v>10507</v>
      </c>
      <c r="C3224" t="s">
        <v>11368</v>
      </c>
      <c r="D3224" t="s">
        <v>11369</v>
      </c>
      <c r="E3224" t="s">
        <v>11370</v>
      </c>
      <c r="F3224" s="2">
        <v>52509905</v>
      </c>
      <c r="G3224" s="2">
        <v>133232984</v>
      </c>
      <c r="H3224" t="s">
        <v>24</v>
      </c>
      <c r="I3224" t="s">
        <v>17</v>
      </c>
      <c r="J3224" t="s">
        <v>25</v>
      </c>
    </row>
    <row r="3225" spans="1:11" x14ac:dyDescent="0.2">
      <c r="A3225" t="s">
        <v>11371</v>
      </c>
      <c r="B3225" t="s">
        <v>11372</v>
      </c>
      <c r="F3225" s="2">
        <v>525930941</v>
      </c>
      <c r="G3225" s="2">
        <v>133238118</v>
      </c>
      <c r="H3225" t="s">
        <v>28</v>
      </c>
      <c r="I3225" t="s">
        <v>17</v>
      </c>
      <c r="J3225" t="s">
        <v>25</v>
      </c>
    </row>
    <row r="3226" spans="1:11" x14ac:dyDescent="0.2">
      <c r="A3226" t="s">
        <v>11373</v>
      </c>
      <c r="F3226" s="2">
        <v>524759866</v>
      </c>
      <c r="G3226" s="2">
        <v>133559242</v>
      </c>
      <c r="H3226" t="s">
        <v>28</v>
      </c>
      <c r="I3226" t="s">
        <v>17</v>
      </c>
      <c r="J3226" t="s">
        <v>25</v>
      </c>
    </row>
    <row r="3227" spans="1:11" x14ac:dyDescent="0.2">
      <c r="A3227" t="s">
        <v>11374</v>
      </c>
      <c r="B3227" t="s">
        <v>11375</v>
      </c>
      <c r="C3227" t="s">
        <v>11376</v>
      </c>
      <c r="D3227" t="s">
        <v>11377</v>
      </c>
      <c r="E3227" t="s">
        <v>11378</v>
      </c>
      <c r="F3227" s="2">
        <v>52589609</v>
      </c>
      <c r="G3227" s="2">
        <v>132818363</v>
      </c>
      <c r="H3227" t="s">
        <v>24</v>
      </c>
      <c r="I3227" t="s">
        <v>17</v>
      </c>
      <c r="J3227" t="s">
        <v>25</v>
      </c>
    </row>
    <row r="3228" spans="1:11" x14ac:dyDescent="0.2">
      <c r="A3228" t="s">
        <v>11379</v>
      </c>
      <c r="F3228" s="2">
        <v>524916771</v>
      </c>
      <c r="G3228" s="2">
        <v>134584673</v>
      </c>
      <c r="H3228" t="s">
        <v>28</v>
      </c>
      <c r="I3228" t="s">
        <v>17</v>
      </c>
      <c r="J3228" t="s">
        <v>25</v>
      </c>
    </row>
    <row r="3229" spans="1:11" x14ac:dyDescent="0.2">
      <c r="A3229" t="s">
        <v>11380</v>
      </c>
      <c r="B3229" t="s">
        <v>11381</v>
      </c>
      <c r="F3229" s="2">
        <v>525112684</v>
      </c>
      <c r="G3229" s="2">
        <v>13380657</v>
      </c>
      <c r="H3229" t="s">
        <v>28</v>
      </c>
      <c r="I3229" t="s">
        <v>17</v>
      </c>
      <c r="J3229" t="s">
        <v>25</v>
      </c>
    </row>
    <row r="3230" spans="1:11" x14ac:dyDescent="0.2">
      <c r="A3230" t="s">
        <v>11382</v>
      </c>
      <c r="B3230" t="s">
        <v>11383</v>
      </c>
      <c r="F3230" s="2">
        <v>524361726</v>
      </c>
      <c r="G3230" s="2">
        <v>133892108</v>
      </c>
      <c r="H3230" t="s">
        <v>28</v>
      </c>
      <c r="I3230" t="s">
        <v>17</v>
      </c>
      <c r="J3230" t="s">
        <v>25</v>
      </c>
    </row>
    <row r="3231" spans="1:11" x14ac:dyDescent="0.2">
      <c r="A3231" t="s">
        <v>11384</v>
      </c>
      <c r="B3231" t="s">
        <v>11385</v>
      </c>
      <c r="F3231" s="2">
        <v>525004245</v>
      </c>
      <c r="G3231" s="2">
        <v>132638997</v>
      </c>
      <c r="H3231" t="s">
        <v>28</v>
      </c>
      <c r="I3231" t="s">
        <v>17</v>
      </c>
      <c r="J3231" t="s">
        <v>25</v>
      </c>
    </row>
    <row r="3232" spans="1:11" x14ac:dyDescent="0.2">
      <c r="A3232" t="s">
        <v>11386</v>
      </c>
      <c r="F3232" s="2">
        <v>525010382</v>
      </c>
      <c r="G3232" s="2">
        <v>13317784</v>
      </c>
      <c r="H3232" t="s">
        <v>28</v>
      </c>
      <c r="I3232" t="s">
        <v>17</v>
      </c>
      <c r="J3232" t="s">
        <v>25</v>
      </c>
    </row>
    <row r="3233" spans="1:11" x14ac:dyDescent="0.2">
      <c r="A3233" t="s">
        <v>11387</v>
      </c>
      <c r="B3233" t="s">
        <v>11388</v>
      </c>
      <c r="F3233" s="2">
        <v>524547883</v>
      </c>
      <c r="G3233" s="2">
        <v>133838093</v>
      </c>
      <c r="H3233" t="s">
        <v>28</v>
      </c>
      <c r="I3233" t="s">
        <v>17</v>
      </c>
      <c r="J3233" t="s">
        <v>25</v>
      </c>
    </row>
    <row r="3234" spans="1:11" x14ac:dyDescent="0.2">
      <c r="A3234" t="s">
        <v>11389</v>
      </c>
      <c r="F3234" s="2">
        <v>524885917</v>
      </c>
      <c r="G3234" s="2">
        <v>134299807</v>
      </c>
      <c r="H3234" t="s">
        <v>28</v>
      </c>
      <c r="I3234" t="s">
        <v>17</v>
      </c>
      <c r="J3234" t="s">
        <v>25</v>
      </c>
    </row>
    <row r="3235" spans="1:11" x14ac:dyDescent="0.2">
      <c r="A3235" t="s">
        <v>11390</v>
      </c>
      <c r="B3235" t="s">
        <v>11391</v>
      </c>
      <c r="C3235" t="s">
        <v>11392</v>
      </c>
      <c r="D3235" t="s">
        <v>11393</v>
      </c>
      <c r="E3235" t="s">
        <v>11394</v>
      </c>
      <c r="F3235" s="2">
        <v>525124319</v>
      </c>
      <c r="G3235" s="2">
        <v>133967248</v>
      </c>
      <c r="H3235" t="s">
        <v>51</v>
      </c>
      <c r="I3235" t="s">
        <v>17</v>
      </c>
      <c r="J3235" t="s">
        <v>25</v>
      </c>
      <c r="K3235" t="s">
        <v>11395</v>
      </c>
    </row>
    <row r="3236" spans="1:11" x14ac:dyDescent="0.2">
      <c r="A3236" t="s">
        <v>11396</v>
      </c>
      <c r="B3236" t="s">
        <v>11397</v>
      </c>
      <c r="F3236" s="2">
        <v>525158147</v>
      </c>
      <c r="G3236" s="2">
        <v>133939157</v>
      </c>
      <c r="H3236" t="s">
        <v>28</v>
      </c>
      <c r="I3236" t="s">
        <v>17</v>
      </c>
      <c r="J3236" t="s">
        <v>25</v>
      </c>
    </row>
    <row r="3237" spans="1:11" x14ac:dyDescent="0.2">
      <c r="A3237" t="s">
        <v>11398</v>
      </c>
      <c r="B3237" t="s">
        <v>11399</v>
      </c>
      <c r="F3237" s="2">
        <v>524921859</v>
      </c>
      <c r="G3237" s="2">
        <v>135264968</v>
      </c>
      <c r="H3237" t="s">
        <v>28</v>
      </c>
      <c r="I3237" t="s">
        <v>17</v>
      </c>
      <c r="J3237" t="s">
        <v>25</v>
      </c>
    </row>
    <row r="3238" spans="1:11" x14ac:dyDescent="0.2">
      <c r="A3238" t="s">
        <v>11400</v>
      </c>
      <c r="F3238" s="2">
        <v>525471126</v>
      </c>
      <c r="G3238" s="2">
        <v>13465486</v>
      </c>
      <c r="H3238" t="s">
        <v>28</v>
      </c>
      <c r="I3238" t="s">
        <v>17</v>
      </c>
      <c r="J3238" t="s">
        <v>25</v>
      </c>
    </row>
    <row r="3239" spans="1:11" x14ac:dyDescent="0.2">
      <c r="A3239" t="s">
        <v>11401</v>
      </c>
      <c r="C3239" t="s">
        <v>11402</v>
      </c>
      <c r="D3239" t="s">
        <v>11403</v>
      </c>
      <c r="E3239" t="s">
        <v>11404</v>
      </c>
      <c r="F3239" s="2">
        <v>525419211</v>
      </c>
      <c r="G3239" s="2">
        <v>133549453</v>
      </c>
      <c r="H3239" t="s">
        <v>51</v>
      </c>
      <c r="I3239" t="s">
        <v>17</v>
      </c>
      <c r="J3239" t="s">
        <v>25</v>
      </c>
      <c r="K3239" t="s">
        <v>11405</v>
      </c>
    </row>
    <row r="3240" spans="1:11" x14ac:dyDescent="0.2">
      <c r="A3240" t="s">
        <v>11406</v>
      </c>
      <c r="B3240" t="s">
        <v>11407</v>
      </c>
      <c r="F3240" s="2">
        <v>524876792</v>
      </c>
      <c r="G3240" s="2">
        <v>133492507</v>
      </c>
      <c r="H3240" t="s">
        <v>28</v>
      </c>
      <c r="I3240" t="s">
        <v>17</v>
      </c>
      <c r="J3240" t="s">
        <v>25</v>
      </c>
    </row>
    <row r="3241" spans="1:11" x14ac:dyDescent="0.2">
      <c r="A3241" t="s">
        <v>11408</v>
      </c>
      <c r="B3241" t="s">
        <v>11409</v>
      </c>
      <c r="C3241" t="s">
        <v>11410</v>
      </c>
      <c r="E3241" t="s">
        <v>11411</v>
      </c>
      <c r="F3241" s="2">
        <v>525487133</v>
      </c>
      <c r="G3241" s="2">
        <v>134536952</v>
      </c>
      <c r="H3241" t="s">
        <v>38</v>
      </c>
      <c r="I3241" t="s">
        <v>17</v>
      </c>
      <c r="J3241" t="s">
        <v>25</v>
      </c>
    </row>
    <row r="3242" spans="1:11" x14ac:dyDescent="0.2">
      <c r="A3242" t="s">
        <v>11412</v>
      </c>
      <c r="B3242" t="s">
        <v>11413</v>
      </c>
      <c r="E3242" t="s">
        <v>11414</v>
      </c>
      <c r="F3242" s="2">
        <v>525430701</v>
      </c>
      <c r="G3242" s="2">
        <v>132411415</v>
      </c>
      <c r="H3242" t="s">
        <v>34</v>
      </c>
      <c r="I3242" t="s">
        <v>17</v>
      </c>
      <c r="J3242" t="s">
        <v>25</v>
      </c>
    </row>
    <row r="3243" spans="1:11" x14ac:dyDescent="0.2">
      <c r="A3243" t="s">
        <v>11415</v>
      </c>
      <c r="F3243" s="2">
        <v>525674352</v>
      </c>
      <c r="G3243" s="2">
        <v>133640278</v>
      </c>
      <c r="H3243" t="s">
        <v>28</v>
      </c>
      <c r="I3243" t="s">
        <v>17</v>
      </c>
      <c r="J3243" t="s">
        <v>25</v>
      </c>
    </row>
    <row r="3244" spans="1:11" x14ac:dyDescent="0.2">
      <c r="A3244" t="s">
        <v>11416</v>
      </c>
      <c r="B3244" t="s">
        <v>11417</v>
      </c>
      <c r="F3244" s="2">
        <v>52554859</v>
      </c>
      <c r="G3244" s="2">
        <v>134371192</v>
      </c>
      <c r="H3244" t="s">
        <v>28</v>
      </c>
      <c r="I3244" t="s">
        <v>17</v>
      </c>
      <c r="J3244" t="s">
        <v>25</v>
      </c>
    </row>
    <row r="3245" spans="1:11" x14ac:dyDescent="0.2">
      <c r="A3245" t="s">
        <v>11418</v>
      </c>
      <c r="B3245" t="s">
        <v>11419</v>
      </c>
      <c r="F3245" s="2">
        <v>524806364</v>
      </c>
      <c r="G3245" s="2">
        <v>134280834</v>
      </c>
      <c r="H3245" t="s">
        <v>28</v>
      </c>
      <c r="I3245" t="s">
        <v>17</v>
      </c>
      <c r="J3245" t="s">
        <v>25</v>
      </c>
    </row>
    <row r="3246" spans="1:11" x14ac:dyDescent="0.2">
      <c r="A3246" t="s">
        <v>11420</v>
      </c>
      <c r="F3246" s="2">
        <v>525291101</v>
      </c>
      <c r="G3246" s="2">
        <v>135908403</v>
      </c>
      <c r="H3246" t="s">
        <v>28</v>
      </c>
      <c r="I3246" t="s">
        <v>17</v>
      </c>
      <c r="J3246" t="s">
        <v>25</v>
      </c>
    </row>
    <row r="3247" spans="1:11" x14ac:dyDescent="0.2">
      <c r="A3247" t="s">
        <v>11421</v>
      </c>
      <c r="F3247" s="2">
        <v>524978833</v>
      </c>
      <c r="G3247" s="2">
        <v>133121911</v>
      </c>
      <c r="H3247" t="s">
        <v>28</v>
      </c>
      <c r="I3247" t="s">
        <v>17</v>
      </c>
      <c r="J3247" t="s">
        <v>25</v>
      </c>
    </row>
    <row r="3248" spans="1:11" x14ac:dyDescent="0.2">
      <c r="A3248" t="s">
        <v>11422</v>
      </c>
      <c r="B3248" t="s">
        <v>11423</v>
      </c>
      <c r="C3248" t="s">
        <v>11424</v>
      </c>
      <c r="D3248" t="s">
        <v>11425</v>
      </c>
      <c r="E3248">
        <v>491606522662</v>
      </c>
      <c r="F3248" s="2">
        <v>525132584</v>
      </c>
      <c r="G3248" s="2">
        <v>134627205</v>
      </c>
      <c r="H3248" t="s">
        <v>24</v>
      </c>
      <c r="I3248" t="s">
        <v>17</v>
      </c>
      <c r="J3248" t="s">
        <v>25</v>
      </c>
    </row>
    <row r="3249" spans="1:11" x14ac:dyDescent="0.2">
      <c r="A3249" t="s">
        <v>11426</v>
      </c>
      <c r="F3249" s="2">
        <v>524973155</v>
      </c>
      <c r="G3249" s="2">
        <v>133199583</v>
      </c>
      <c r="H3249" t="s">
        <v>28</v>
      </c>
      <c r="I3249" t="s">
        <v>17</v>
      </c>
      <c r="J3249" t="s">
        <v>25</v>
      </c>
    </row>
    <row r="3250" spans="1:11" x14ac:dyDescent="0.2">
      <c r="A3250" t="s">
        <v>11427</v>
      </c>
      <c r="B3250" t="s">
        <v>11428</v>
      </c>
      <c r="E3250" t="s">
        <v>11429</v>
      </c>
      <c r="F3250" s="2">
        <v>524961385</v>
      </c>
      <c r="G3250" s="2">
        <v>132860068</v>
      </c>
      <c r="H3250" t="s">
        <v>34</v>
      </c>
      <c r="I3250" t="s">
        <v>17</v>
      </c>
      <c r="J3250" t="s">
        <v>25</v>
      </c>
    </row>
    <row r="3251" spans="1:11" x14ac:dyDescent="0.2">
      <c r="A3251" t="s">
        <v>11430</v>
      </c>
      <c r="B3251" t="s">
        <v>11431</v>
      </c>
      <c r="E3251">
        <v>493021967090</v>
      </c>
      <c r="F3251" s="2">
        <v>525435404</v>
      </c>
      <c r="G3251" s="2">
        <v>134919558</v>
      </c>
      <c r="H3251" t="s">
        <v>34</v>
      </c>
      <c r="I3251" t="s">
        <v>17</v>
      </c>
      <c r="J3251" t="s">
        <v>25</v>
      </c>
    </row>
    <row r="3252" spans="1:11" x14ac:dyDescent="0.2">
      <c r="A3252" t="s">
        <v>11432</v>
      </c>
      <c r="F3252" s="2">
        <v>524990406</v>
      </c>
      <c r="G3252" s="2">
        <v>133110122</v>
      </c>
      <c r="H3252" t="s">
        <v>28</v>
      </c>
      <c r="I3252" t="s">
        <v>17</v>
      </c>
      <c r="J3252" t="s">
        <v>25</v>
      </c>
    </row>
    <row r="3253" spans="1:11" x14ac:dyDescent="0.2">
      <c r="A3253" t="s">
        <v>11433</v>
      </c>
      <c r="F3253" s="2">
        <v>525102198</v>
      </c>
      <c r="G3253" s="2">
        <v>132680697</v>
      </c>
      <c r="H3253" t="s">
        <v>28</v>
      </c>
      <c r="I3253" t="s">
        <v>17</v>
      </c>
      <c r="J3253" t="s">
        <v>25</v>
      </c>
    </row>
    <row r="3254" spans="1:11" x14ac:dyDescent="0.2">
      <c r="A3254" t="s">
        <v>11434</v>
      </c>
      <c r="F3254" s="2">
        <v>525847657</v>
      </c>
      <c r="G3254" s="2">
        <v>133578435</v>
      </c>
      <c r="H3254" t="s">
        <v>28</v>
      </c>
      <c r="I3254" t="s">
        <v>17</v>
      </c>
      <c r="J3254" t="s">
        <v>25</v>
      </c>
    </row>
    <row r="3255" spans="1:11" x14ac:dyDescent="0.2">
      <c r="A3255" t="s">
        <v>11435</v>
      </c>
      <c r="B3255" t="s">
        <v>11436</v>
      </c>
      <c r="F3255" s="2">
        <v>525359901</v>
      </c>
      <c r="G3255" s="2">
        <v>134227512</v>
      </c>
      <c r="H3255" t="s">
        <v>28</v>
      </c>
      <c r="I3255" t="s">
        <v>17</v>
      </c>
      <c r="J3255" t="s">
        <v>25</v>
      </c>
    </row>
    <row r="3256" spans="1:11" x14ac:dyDescent="0.2">
      <c r="A3256" t="s">
        <v>11437</v>
      </c>
      <c r="F3256" s="2">
        <v>524952282</v>
      </c>
      <c r="G3256" s="2">
        <v>13304781</v>
      </c>
      <c r="H3256" t="s">
        <v>28</v>
      </c>
      <c r="I3256" t="s">
        <v>17</v>
      </c>
      <c r="J3256" t="s">
        <v>25</v>
      </c>
    </row>
    <row r="3257" spans="1:11" x14ac:dyDescent="0.2">
      <c r="A3257" t="s">
        <v>11438</v>
      </c>
      <c r="B3257" t="s">
        <v>11439</v>
      </c>
      <c r="C3257" t="s">
        <v>11440</v>
      </c>
      <c r="D3257" t="s">
        <v>11441</v>
      </c>
      <c r="F3257" s="2">
        <v>524748899</v>
      </c>
      <c r="G3257" s="2">
        <v>134447604</v>
      </c>
      <c r="H3257" t="s">
        <v>24</v>
      </c>
      <c r="I3257" t="s">
        <v>17</v>
      </c>
      <c r="J3257" t="s">
        <v>25</v>
      </c>
    </row>
    <row r="3258" spans="1:11" x14ac:dyDescent="0.2">
      <c r="A3258" t="s">
        <v>11442</v>
      </c>
      <c r="B3258" t="s">
        <v>11443</v>
      </c>
      <c r="C3258" t="s">
        <v>11444</v>
      </c>
      <c r="D3258" t="s">
        <v>11445</v>
      </c>
      <c r="E3258" t="s">
        <v>11446</v>
      </c>
      <c r="F3258" s="2">
        <v>525072719</v>
      </c>
      <c r="G3258" s="2">
        <v>132790331</v>
      </c>
      <c r="H3258" t="s">
        <v>51</v>
      </c>
      <c r="I3258" t="s">
        <v>17</v>
      </c>
      <c r="J3258" t="s">
        <v>25</v>
      </c>
      <c r="K3258" t="s">
        <v>11447</v>
      </c>
    </row>
    <row r="3259" spans="1:11" x14ac:dyDescent="0.2">
      <c r="A3259" t="s">
        <v>11448</v>
      </c>
      <c r="B3259" t="s">
        <v>11449</v>
      </c>
      <c r="C3259" t="s">
        <v>11450</v>
      </c>
      <c r="F3259" s="2">
        <v>525420685</v>
      </c>
      <c r="G3259" s="2">
        <v>134568975</v>
      </c>
      <c r="H3259" t="s">
        <v>255</v>
      </c>
      <c r="I3259" t="s">
        <v>17</v>
      </c>
      <c r="J3259" t="s">
        <v>25</v>
      </c>
    </row>
    <row r="3260" spans="1:11" x14ac:dyDescent="0.2">
      <c r="A3260" t="s">
        <v>11451</v>
      </c>
      <c r="B3260" t="s">
        <v>11452</v>
      </c>
      <c r="F3260" s="2">
        <v>525538052</v>
      </c>
      <c r="G3260" s="2">
        <v>134354698</v>
      </c>
      <c r="H3260" t="s">
        <v>28</v>
      </c>
      <c r="I3260" t="s">
        <v>17</v>
      </c>
      <c r="J3260" t="s">
        <v>25</v>
      </c>
    </row>
    <row r="3261" spans="1:11" x14ac:dyDescent="0.2">
      <c r="A3261" t="s">
        <v>11453</v>
      </c>
      <c r="B3261" t="s">
        <v>11454</v>
      </c>
      <c r="C3261" t="s">
        <v>11455</v>
      </c>
      <c r="F3261" s="2">
        <v>525419017</v>
      </c>
      <c r="G3261" s="2">
        <v>133504847</v>
      </c>
      <c r="H3261" t="s">
        <v>255</v>
      </c>
      <c r="I3261" t="s">
        <v>17</v>
      </c>
      <c r="J3261" t="s">
        <v>25</v>
      </c>
    </row>
    <row r="3262" spans="1:11" x14ac:dyDescent="0.2">
      <c r="A3262" t="s">
        <v>11456</v>
      </c>
      <c r="B3262" t="s">
        <v>11457</v>
      </c>
      <c r="E3262" t="s">
        <v>11458</v>
      </c>
      <c r="F3262" s="2">
        <v>526221178</v>
      </c>
      <c r="G3262" s="2">
        <v>132244125</v>
      </c>
      <c r="H3262" t="s">
        <v>34</v>
      </c>
      <c r="I3262" t="s">
        <v>17</v>
      </c>
      <c r="J3262" t="s">
        <v>25</v>
      </c>
    </row>
    <row r="3263" spans="1:11" x14ac:dyDescent="0.2">
      <c r="A3263" t="s">
        <v>11459</v>
      </c>
      <c r="B3263" t="s">
        <v>11460</v>
      </c>
      <c r="E3263">
        <v>493040399252</v>
      </c>
      <c r="F3263" s="2">
        <v>526178381</v>
      </c>
      <c r="G3263" s="2">
        <v>133526824</v>
      </c>
      <c r="H3263" t="s">
        <v>34</v>
      </c>
      <c r="I3263" t="s">
        <v>17</v>
      </c>
      <c r="J3263" t="s">
        <v>25</v>
      </c>
    </row>
    <row r="3264" spans="1:11" x14ac:dyDescent="0.2">
      <c r="A3264" t="s">
        <v>11461</v>
      </c>
      <c r="B3264">
        <v>10245</v>
      </c>
      <c r="C3264" t="s">
        <v>11462</v>
      </c>
      <c r="F3264" s="2">
        <v>525098706</v>
      </c>
      <c r="G3264" s="2">
        <v>134559403</v>
      </c>
      <c r="H3264" t="s">
        <v>277</v>
      </c>
      <c r="I3264" t="s">
        <v>17</v>
      </c>
      <c r="J3264" t="s">
        <v>25</v>
      </c>
      <c r="K3264" t="s">
        <v>4091</v>
      </c>
    </row>
    <row r="3265" spans="1:11" x14ac:dyDescent="0.2">
      <c r="A3265" t="s">
        <v>11463</v>
      </c>
      <c r="B3265" t="s">
        <v>11464</v>
      </c>
      <c r="C3265" t="s">
        <v>11465</v>
      </c>
      <c r="D3265" t="s">
        <v>11466</v>
      </c>
      <c r="F3265" s="2">
        <v>525174248</v>
      </c>
      <c r="G3265" s="2">
        <v>134008935</v>
      </c>
      <c r="H3265" t="s">
        <v>51</v>
      </c>
      <c r="I3265" t="s">
        <v>17</v>
      </c>
      <c r="J3265" t="s">
        <v>25</v>
      </c>
      <c r="K3265" t="s">
        <v>11467</v>
      </c>
    </row>
    <row r="3266" spans="1:11" x14ac:dyDescent="0.2">
      <c r="A3266" t="s">
        <v>11468</v>
      </c>
      <c r="B3266" t="s">
        <v>8894</v>
      </c>
      <c r="C3266" t="s">
        <v>11469</v>
      </c>
      <c r="D3266" t="s">
        <v>11470</v>
      </c>
      <c r="E3266" t="s">
        <v>11471</v>
      </c>
      <c r="F3266" s="2">
        <v>524761555</v>
      </c>
      <c r="G3266" s="2">
        <v>134263761</v>
      </c>
      <c r="H3266" t="s">
        <v>16</v>
      </c>
      <c r="I3266" t="s">
        <v>17</v>
      </c>
      <c r="J3266" t="s">
        <v>25</v>
      </c>
    </row>
    <row r="3267" spans="1:11" x14ac:dyDescent="0.2">
      <c r="A3267" t="s">
        <v>11472</v>
      </c>
      <c r="B3267" t="s">
        <v>11473</v>
      </c>
      <c r="C3267" t="s">
        <v>11474</v>
      </c>
      <c r="D3267" t="s">
        <v>11475</v>
      </c>
      <c r="E3267" t="s">
        <v>11476</v>
      </c>
      <c r="F3267" s="2">
        <v>525506545</v>
      </c>
      <c r="G3267" s="2">
        <v>133629002</v>
      </c>
      <c r="H3267" t="s">
        <v>24</v>
      </c>
      <c r="I3267" t="s">
        <v>17</v>
      </c>
      <c r="J3267" t="s">
        <v>25</v>
      </c>
    </row>
    <row r="3268" spans="1:11" x14ac:dyDescent="0.2">
      <c r="A3268" t="s">
        <v>11477</v>
      </c>
      <c r="B3268" t="s">
        <v>11478</v>
      </c>
      <c r="C3268" t="s">
        <v>11479</v>
      </c>
      <c r="D3268" t="s">
        <v>11480</v>
      </c>
      <c r="E3268" t="s">
        <v>11481</v>
      </c>
      <c r="F3268" s="2">
        <v>525128446</v>
      </c>
      <c r="G3268" s="2">
        <v>135896281</v>
      </c>
      <c r="H3268" t="s">
        <v>24</v>
      </c>
      <c r="I3268" t="s">
        <v>17</v>
      </c>
      <c r="J3268" t="s">
        <v>25</v>
      </c>
    </row>
    <row r="3269" spans="1:11" x14ac:dyDescent="0.2">
      <c r="A3269" t="s">
        <v>11482</v>
      </c>
      <c r="B3269" t="s">
        <v>11483</v>
      </c>
      <c r="C3269" t="s">
        <v>11484</v>
      </c>
      <c r="E3269" t="s">
        <v>11485</v>
      </c>
      <c r="F3269" s="2">
        <v>524476967</v>
      </c>
      <c r="G3269" s="2">
        <v>133412721</v>
      </c>
      <c r="H3269" t="s">
        <v>38</v>
      </c>
      <c r="I3269" t="s">
        <v>17</v>
      </c>
      <c r="J3269" t="s">
        <v>25</v>
      </c>
    </row>
    <row r="3270" spans="1:11" x14ac:dyDescent="0.2">
      <c r="A3270" t="s">
        <v>11486</v>
      </c>
      <c r="B3270" t="s">
        <v>11487</v>
      </c>
      <c r="C3270" t="s">
        <v>11488</v>
      </c>
      <c r="D3270" t="s">
        <v>11489</v>
      </c>
      <c r="F3270" s="2">
        <v>525066992</v>
      </c>
      <c r="G3270" s="2">
        <v>133816381</v>
      </c>
      <c r="H3270" t="s">
        <v>51</v>
      </c>
      <c r="I3270" t="s">
        <v>17</v>
      </c>
      <c r="J3270" t="s">
        <v>25</v>
      </c>
      <c r="K3270" t="s">
        <v>11490</v>
      </c>
    </row>
    <row r="3271" spans="1:11" x14ac:dyDescent="0.2">
      <c r="A3271" t="s">
        <v>11491</v>
      </c>
      <c r="B3271" t="s">
        <v>11492</v>
      </c>
      <c r="E3271" t="s">
        <v>11493</v>
      </c>
      <c r="F3271" s="2">
        <v>525413117</v>
      </c>
      <c r="G3271" s="2">
        <v>134106429</v>
      </c>
      <c r="H3271" t="s">
        <v>34</v>
      </c>
      <c r="I3271" t="s">
        <v>17</v>
      </c>
      <c r="J3271" t="s">
        <v>25</v>
      </c>
    </row>
    <row r="3272" spans="1:11" x14ac:dyDescent="0.2">
      <c r="A3272" t="s">
        <v>11494</v>
      </c>
      <c r="F3272" s="2">
        <v>524772313</v>
      </c>
      <c r="G3272" s="2">
        <v>134701389</v>
      </c>
      <c r="H3272" t="s">
        <v>28</v>
      </c>
      <c r="I3272" t="s">
        <v>17</v>
      </c>
      <c r="J3272" t="s">
        <v>25</v>
      </c>
    </row>
    <row r="3273" spans="1:11" x14ac:dyDescent="0.2">
      <c r="A3273" t="s">
        <v>11495</v>
      </c>
      <c r="B3273" t="s">
        <v>11496</v>
      </c>
      <c r="C3273" t="s">
        <v>11497</v>
      </c>
      <c r="D3273" t="s">
        <v>11060</v>
      </c>
      <c r="E3273">
        <v>493075774770</v>
      </c>
      <c r="F3273" s="2">
        <v>524515786</v>
      </c>
      <c r="G3273" s="2">
        <v>134383905</v>
      </c>
      <c r="H3273" t="s">
        <v>24</v>
      </c>
      <c r="I3273" t="s">
        <v>17</v>
      </c>
      <c r="J3273" t="s">
        <v>25</v>
      </c>
    </row>
    <row r="3274" spans="1:11" x14ac:dyDescent="0.2">
      <c r="A3274" t="s">
        <v>11498</v>
      </c>
      <c r="B3274" t="s">
        <v>11499</v>
      </c>
      <c r="C3274" t="s">
        <v>11500</v>
      </c>
      <c r="D3274" t="s">
        <v>11501</v>
      </c>
      <c r="E3274" t="s">
        <v>11502</v>
      </c>
      <c r="F3274" s="2">
        <v>52500233</v>
      </c>
      <c r="G3274" s="2">
        <v>134415453</v>
      </c>
      <c r="H3274" t="s">
        <v>304</v>
      </c>
      <c r="I3274" t="s">
        <v>17</v>
      </c>
      <c r="J3274" t="s">
        <v>25</v>
      </c>
      <c r="K3274" t="s">
        <v>11503</v>
      </c>
    </row>
    <row r="3275" spans="1:11" x14ac:dyDescent="0.2">
      <c r="A3275" t="s">
        <v>11504</v>
      </c>
      <c r="F3275" s="2">
        <v>525111917</v>
      </c>
      <c r="G3275" s="2">
        <v>134654088</v>
      </c>
      <c r="H3275" t="s">
        <v>28</v>
      </c>
      <c r="I3275" t="s">
        <v>17</v>
      </c>
      <c r="J3275" t="s">
        <v>25</v>
      </c>
    </row>
    <row r="3276" spans="1:11" x14ac:dyDescent="0.2">
      <c r="A3276" t="s">
        <v>11505</v>
      </c>
      <c r="F3276" s="2">
        <v>416291035</v>
      </c>
      <c r="G3276" s="2">
        <v>-727462556</v>
      </c>
      <c r="H3276" t="s">
        <v>28</v>
      </c>
      <c r="I3276" t="s">
        <v>17</v>
      </c>
      <c r="J3276" t="s">
        <v>25</v>
      </c>
    </row>
    <row r="3277" spans="1:11" x14ac:dyDescent="0.2">
      <c r="A3277" t="s">
        <v>11506</v>
      </c>
      <c r="F3277" s="2">
        <v>416255743</v>
      </c>
      <c r="G3277" s="2">
        <v>-727490339</v>
      </c>
      <c r="H3277" t="s">
        <v>28</v>
      </c>
      <c r="I3277" t="s">
        <v>17</v>
      </c>
      <c r="J3277" t="s">
        <v>25</v>
      </c>
    </row>
    <row r="3278" spans="1:11" x14ac:dyDescent="0.2">
      <c r="A3278" t="s">
        <v>11507</v>
      </c>
      <c r="B3278" t="s">
        <v>11508</v>
      </c>
      <c r="C3278" t="s">
        <v>11509</v>
      </c>
      <c r="D3278" t="s">
        <v>11510</v>
      </c>
      <c r="E3278">
        <f>1-860-943-1991</f>
        <v>-3793</v>
      </c>
      <c r="F3278" s="2">
        <v>416273972</v>
      </c>
      <c r="G3278" s="2">
        <v>-727548891</v>
      </c>
      <c r="H3278" t="s">
        <v>304</v>
      </c>
      <c r="I3278" t="s">
        <v>17</v>
      </c>
      <c r="J3278" t="s">
        <v>25</v>
      </c>
      <c r="K3278" t="s">
        <v>11511</v>
      </c>
    </row>
    <row r="3279" spans="1:11" x14ac:dyDescent="0.2">
      <c r="A3279" t="s">
        <v>11512</v>
      </c>
      <c r="F3279" s="2">
        <v>416283134</v>
      </c>
      <c r="G3279" s="2">
        <v>-727553505</v>
      </c>
      <c r="H3279" t="s">
        <v>28</v>
      </c>
      <c r="I3279" t="s">
        <v>17</v>
      </c>
      <c r="J3279" t="s">
        <v>25</v>
      </c>
    </row>
    <row r="3280" spans="1:11" x14ac:dyDescent="0.2">
      <c r="A3280" t="s">
        <v>11513</v>
      </c>
      <c r="B3280" t="s">
        <v>11514</v>
      </c>
      <c r="C3280" t="s">
        <v>11515</v>
      </c>
      <c r="E3280">
        <f>1-860-979-6282</f>
        <v>-8120</v>
      </c>
      <c r="F3280" s="2">
        <v>416289218</v>
      </c>
      <c r="G3280" s="2">
        <v>-727561165</v>
      </c>
      <c r="H3280" t="s">
        <v>38</v>
      </c>
      <c r="I3280" t="s">
        <v>17</v>
      </c>
      <c r="J3280" t="s">
        <v>25</v>
      </c>
    </row>
    <row r="3281" spans="1:11" x14ac:dyDescent="0.2">
      <c r="A3281" t="s">
        <v>11516</v>
      </c>
      <c r="B3281" t="s">
        <v>11517</v>
      </c>
      <c r="C3281" t="s">
        <v>11518</v>
      </c>
      <c r="D3281" t="s">
        <v>11519</v>
      </c>
      <c r="E3281">
        <f>1-860-828-949</f>
        <v>-2636</v>
      </c>
      <c r="F3281" s="2">
        <v>416342654</v>
      </c>
      <c r="G3281" s="2">
        <v>-727675397</v>
      </c>
      <c r="H3281" t="s">
        <v>304</v>
      </c>
      <c r="I3281" t="s">
        <v>17</v>
      </c>
      <c r="J3281" t="s">
        <v>25</v>
      </c>
      <c r="K3281" t="s">
        <v>11520</v>
      </c>
    </row>
    <row r="3282" spans="1:11" x14ac:dyDescent="0.2">
      <c r="A3282" t="s">
        <v>11521</v>
      </c>
      <c r="F3282" s="2">
        <v>416416378</v>
      </c>
      <c r="G3282" s="2">
        <v>-727695923</v>
      </c>
      <c r="H3282" t="s">
        <v>28</v>
      </c>
      <c r="I3282" t="s">
        <v>17</v>
      </c>
      <c r="J3282" t="s">
        <v>25</v>
      </c>
    </row>
    <row r="3283" spans="1:11" x14ac:dyDescent="0.2">
      <c r="A3283" t="s">
        <v>11522</v>
      </c>
      <c r="B3283" t="s">
        <v>11523</v>
      </c>
      <c r="C3283" t="s">
        <v>11524</v>
      </c>
      <c r="E3283" t="s">
        <v>11525</v>
      </c>
      <c r="F3283" s="2">
        <v>416431853</v>
      </c>
      <c r="G3283" s="2">
        <v>-727706105</v>
      </c>
      <c r="H3283" t="s">
        <v>38</v>
      </c>
      <c r="I3283" t="s">
        <v>17</v>
      </c>
      <c r="J3283" t="s">
        <v>25</v>
      </c>
    </row>
    <row r="3284" spans="1:11" x14ac:dyDescent="0.2">
      <c r="A3284" t="s">
        <v>11526</v>
      </c>
      <c r="F3284" s="2">
        <v>525106386</v>
      </c>
      <c r="G3284" s="2">
        <v>132880368</v>
      </c>
      <c r="H3284" t="s">
        <v>28</v>
      </c>
      <c r="I3284" t="s">
        <v>17</v>
      </c>
      <c r="J3284" t="s">
        <v>25</v>
      </c>
    </row>
    <row r="3285" spans="1:11" x14ac:dyDescent="0.2">
      <c r="A3285" t="s">
        <v>11527</v>
      </c>
      <c r="E3285" t="s">
        <v>11528</v>
      </c>
      <c r="F3285" s="2">
        <v>524466854</v>
      </c>
      <c r="G3285" s="2">
        <v>135750138</v>
      </c>
      <c r="H3285" t="s">
        <v>34</v>
      </c>
      <c r="I3285" t="s">
        <v>17</v>
      </c>
      <c r="J3285" t="s">
        <v>25</v>
      </c>
    </row>
    <row r="3286" spans="1:11" x14ac:dyDescent="0.2">
      <c r="A3286" t="s">
        <v>11529</v>
      </c>
      <c r="B3286" t="s">
        <v>11530</v>
      </c>
      <c r="C3286" t="s">
        <v>11531</v>
      </c>
      <c r="D3286" t="s">
        <v>11532</v>
      </c>
      <c r="E3286" t="s">
        <v>11533</v>
      </c>
      <c r="F3286" s="2">
        <v>524459645</v>
      </c>
      <c r="G3286" s="2">
        <v>135745351</v>
      </c>
      <c r="H3286" t="s">
        <v>304</v>
      </c>
      <c r="I3286" t="s">
        <v>17</v>
      </c>
      <c r="J3286" t="s">
        <v>25</v>
      </c>
      <c r="K3286" t="s">
        <v>11534</v>
      </c>
    </row>
    <row r="3287" spans="1:11" x14ac:dyDescent="0.2">
      <c r="A3287" t="s">
        <v>11535</v>
      </c>
      <c r="B3287" t="s">
        <v>8339</v>
      </c>
      <c r="C3287" t="s">
        <v>11536</v>
      </c>
      <c r="F3287" s="2">
        <v>525264918</v>
      </c>
      <c r="G3287" s="2">
        <v>133946036</v>
      </c>
      <c r="H3287" t="s">
        <v>255</v>
      </c>
      <c r="I3287" t="s">
        <v>17</v>
      </c>
      <c r="J3287" t="s">
        <v>25</v>
      </c>
    </row>
    <row r="3288" spans="1:11" x14ac:dyDescent="0.2">
      <c r="A3288" t="s">
        <v>11537</v>
      </c>
      <c r="B3288" t="s">
        <v>11538</v>
      </c>
      <c r="F3288" s="2">
        <v>524896568</v>
      </c>
      <c r="G3288" s="2">
        <v>133599067</v>
      </c>
      <c r="H3288" t="s">
        <v>28</v>
      </c>
      <c r="I3288" t="s">
        <v>17</v>
      </c>
      <c r="J3288" t="s">
        <v>25</v>
      </c>
    </row>
    <row r="3289" spans="1:11" x14ac:dyDescent="0.2">
      <c r="A3289" t="s">
        <v>11539</v>
      </c>
      <c r="F3289" s="2">
        <v>525396884</v>
      </c>
      <c r="G3289" s="2">
        <v>134139424</v>
      </c>
      <c r="H3289" t="s">
        <v>28</v>
      </c>
      <c r="I3289" t="s">
        <v>17</v>
      </c>
      <c r="J3289" t="s">
        <v>25</v>
      </c>
    </row>
    <row r="3290" spans="1:11" x14ac:dyDescent="0.2">
      <c r="A3290" t="s">
        <v>11540</v>
      </c>
      <c r="B3290" t="s">
        <v>11541</v>
      </c>
      <c r="F3290" s="2">
        <v>524024631</v>
      </c>
      <c r="G3290" s="2">
        <v>135258121</v>
      </c>
      <c r="H3290" t="s">
        <v>28</v>
      </c>
      <c r="I3290" t="s">
        <v>17</v>
      </c>
      <c r="J3290" t="s">
        <v>25</v>
      </c>
    </row>
    <row r="3291" spans="1:11" x14ac:dyDescent="0.2">
      <c r="A3291" t="s">
        <v>11542</v>
      </c>
      <c r="B3291" t="s">
        <v>11543</v>
      </c>
      <c r="F3291" s="2">
        <v>525922254</v>
      </c>
      <c r="G3291" s="2">
        <v>133493445</v>
      </c>
      <c r="H3291" t="s">
        <v>28</v>
      </c>
      <c r="I3291" t="s">
        <v>17</v>
      </c>
      <c r="J3291" t="s">
        <v>25</v>
      </c>
    </row>
    <row r="3292" spans="1:11" x14ac:dyDescent="0.2">
      <c r="A3292" t="s">
        <v>11544</v>
      </c>
      <c r="B3292" t="s">
        <v>7636</v>
      </c>
      <c r="C3292" t="s">
        <v>11545</v>
      </c>
      <c r="E3292" t="s">
        <v>11546</v>
      </c>
      <c r="F3292" s="2">
        <v>525058312</v>
      </c>
      <c r="G3292" s="2">
        <v>133188004</v>
      </c>
      <c r="H3292" t="s">
        <v>277</v>
      </c>
      <c r="I3292" t="s">
        <v>17</v>
      </c>
      <c r="J3292" t="s">
        <v>25</v>
      </c>
      <c r="K3292" t="s">
        <v>640</v>
      </c>
    </row>
    <row r="3293" spans="1:11" x14ac:dyDescent="0.2">
      <c r="A3293" t="s">
        <v>11547</v>
      </c>
      <c r="B3293" t="s">
        <v>11548</v>
      </c>
      <c r="C3293" t="s">
        <v>11549</v>
      </c>
      <c r="E3293" t="s">
        <v>11550</v>
      </c>
      <c r="F3293" s="2">
        <v>525361162</v>
      </c>
      <c r="G3293" s="2">
        <v>134181346</v>
      </c>
      <c r="H3293" t="s">
        <v>277</v>
      </c>
      <c r="I3293" t="s">
        <v>17</v>
      </c>
      <c r="J3293" t="s">
        <v>25</v>
      </c>
      <c r="K3293" t="s">
        <v>11551</v>
      </c>
    </row>
    <row r="3294" spans="1:11" x14ac:dyDescent="0.2">
      <c r="A3294" t="s">
        <v>11552</v>
      </c>
      <c r="B3294" t="s">
        <v>11553</v>
      </c>
      <c r="F3294" s="2">
        <v>52542477</v>
      </c>
      <c r="G3294" s="2">
        <v>135458443</v>
      </c>
      <c r="H3294" t="s">
        <v>28</v>
      </c>
      <c r="I3294" t="s">
        <v>17</v>
      </c>
      <c r="J3294" t="s">
        <v>25</v>
      </c>
    </row>
    <row r="3295" spans="1:11" x14ac:dyDescent="0.2">
      <c r="A3295" t="s">
        <v>11554</v>
      </c>
      <c r="B3295" t="s">
        <v>11555</v>
      </c>
      <c r="F3295" s="2">
        <v>525455984</v>
      </c>
      <c r="G3295" s="2">
        <v>135533474</v>
      </c>
      <c r="H3295" t="s">
        <v>28</v>
      </c>
      <c r="I3295" t="s">
        <v>17</v>
      </c>
      <c r="J3295" t="s">
        <v>25</v>
      </c>
    </row>
    <row r="3296" spans="1:11" x14ac:dyDescent="0.2">
      <c r="A3296" t="s">
        <v>11556</v>
      </c>
      <c r="B3296" t="s">
        <v>11557</v>
      </c>
      <c r="F3296" s="2">
        <v>525083501</v>
      </c>
      <c r="G3296" s="2">
        <v>13389846</v>
      </c>
      <c r="H3296" t="s">
        <v>28</v>
      </c>
      <c r="I3296" t="s">
        <v>17</v>
      </c>
      <c r="J3296" t="s">
        <v>25</v>
      </c>
    </row>
    <row r="3297" spans="1:11" x14ac:dyDescent="0.2">
      <c r="A3297" t="s">
        <v>11558</v>
      </c>
      <c r="B3297" t="s">
        <v>11559</v>
      </c>
      <c r="C3297" t="s">
        <v>11560</v>
      </c>
      <c r="D3297" t="s">
        <v>11561</v>
      </c>
      <c r="F3297" s="2">
        <v>525259609</v>
      </c>
      <c r="G3297" s="2">
        <v>134473568</v>
      </c>
      <c r="H3297" t="s">
        <v>51</v>
      </c>
      <c r="I3297" t="s">
        <v>17</v>
      </c>
      <c r="J3297" t="s">
        <v>25</v>
      </c>
      <c r="K3297" t="s">
        <v>11562</v>
      </c>
    </row>
    <row r="3298" spans="1:11" x14ac:dyDescent="0.2">
      <c r="A3298" t="s">
        <v>11563</v>
      </c>
      <c r="B3298" t="s">
        <v>11564</v>
      </c>
      <c r="C3298" t="s">
        <v>11565</v>
      </c>
      <c r="D3298" t="s">
        <v>11566</v>
      </c>
      <c r="E3298" t="s">
        <v>11567</v>
      </c>
      <c r="F3298" s="2">
        <v>524951987</v>
      </c>
      <c r="G3298" s="2">
        <v>13611128</v>
      </c>
      <c r="H3298" t="s">
        <v>51</v>
      </c>
      <c r="I3298" t="s">
        <v>17</v>
      </c>
      <c r="J3298" t="s">
        <v>25</v>
      </c>
      <c r="K3298" t="s">
        <v>11568</v>
      </c>
    </row>
    <row r="3299" spans="1:11" x14ac:dyDescent="0.2">
      <c r="A3299" t="s">
        <v>11569</v>
      </c>
      <c r="F3299" s="2">
        <v>525535021</v>
      </c>
      <c r="G3299" s="2">
        <v>134128051</v>
      </c>
      <c r="H3299" t="s">
        <v>28</v>
      </c>
      <c r="I3299" t="s">
        <v>17</v>
      </c>
      <c r="J3299" t="s">
        <v>25</v>
      </c>
    </row>
    <row r="3300" spans="1:11" x14ac:dyDescent="0.2">
      <c r="A3300" t="s">
        <v>11570</v>
      </c>
      <c r="B3300">
        <v>14169</v>
      </c>
      <c r="C3300" t="s">
        <v>11571</v>
      </c>
      <c r="D3300" t="s">
        <v>11572</v>
      </c>
      <c r="F3300" s="2">
        <v>524478489</v>
      </c>
      <c r="G3300" s="2">
        <v>132518953</v>
      </c>
      <c r="H3300" t="s">
        <v>51</v>
      </c>
      <c r="I3300" t="s">
        <v>17</v>
      </c>
      <c r="J3300" t="s">
        <v>25</v>
      </c>
      <c r="K3300" t="s">
        <v>11573</v>
      </c>
    </row>
    <row r="3301" spans="1:11" x14ac:dyDescent="0.2">
      <c r="A3301" t="s">
        <v>11574</v>
      </c>
      <c r="B3301" t="s">
        <v>11575</v>
      </c>
      <c r="C3301" t="s">
        <v>11576</v>
      </c>
      <c r="D3301" t="s">
        <v>11577</v>
      </c>
      <c r="E3301">
        <v>493028406949</v>
      </c>
      <c r="F3301" s="2">
        <v>525301302</v>
      </c>
      <c r="G3301" s="2">
        <v>13383297</v>
      </c>
      <c r="H3301" t="s">
        <v>51</v>
      </c>
      <c r="I3301" t="s">
        <v>17</v>
      </c>
      <c r="J3301" t="s">
        <v>25</v>
      </c>
      <c r="K3301" t="s">
        <v>640</v>
      </c>
    </row>
    <row r="3302" spans="1:11" x14ac:dyDescent="0.2">
      <c r="A3302" t="s">
        <v>11578</v>
      </c>
      <c r="C3302" t="s">
        <v>11579</v>
      </c>
      <c r="F3302" s="2">
        <v>524478626</v>
      </c>
      <c r="G3302" s="2">
        <v>13456623</v>
      </c>
      <c r="H3302" t="s">
        <v>255</v>
      </c>
      <c r="I3302" t="s">
        <v>17</v>
      </c>
      <c r="J3302" t="s">
        <v>25</v>
      </c>
    </row>
    <row r="3303" spans="1:11" x14ac:dyDescent="0.2">
      <c r="A3303" t="s">
        <v>11580</v>
      </c>
      <c r="B3303" t="s">
        <v>11581</v>
      </c>
      <c r="C3303" t="s">
        <v>11582</v>
      </c>
      <c r="D3303" t="s">
        <v>11583</v>
      </c>
      <c r="F3303" s="2">
        <v>524700083</v>
      </c>
      <c r="G3303" s="2">
        <v>134321969</v>
      </c>
      <c r="H3303" t="s">
        <v>51</v>
      </c>
      <c r="I3303" t="s">
        <v>17</v>
      </c>
      <c r="J3303" t="s">
        <v>25</v>
      </c>
      <c r="K3303" t="s">
        <v>11584</v>
      </c>
    </row>
    <row r="3304" spans="1:11" x14ac:dyDescent="0.2">
      <c r="A3304" t="s">
        <v>11585</v>
      </c>
      <c r="C3304" t="s">
        <v>11586</v>
      </c>
      <c r="F3304" s="2">
        <v>525526055</v>
      </c>
      <c r="G3304" s="2">
        <v>133603282</v>
      </c>
      <c r="H3304" t="s">
        <v>3120</v>
      </c>
      <c r="I3304" t="s">
        <v>17</v>
      </c>
      <c r="J3304" t="s">
        <v>25</v>
      </c>
      <c r="K3304" t="s">
        <v>11587</v>
      </c>
    </row>
    <row r="3305" spans="1:11" x14ac:dyDescent="0.2">
      <c r="A3305" t="s">
        <v>11588</v>
      </c>
      <c r="B3305" t="s">
        <v>11589</v>
      </c>
      <c r="E3305">
        <v>493047476652</v>
      </c>
      <c r="F3305" s="2">
        <v>524766846</v>
      </c>
      <c r="G3305" s="2">
        <v>136000106</v>
      </c>
      <c r="H3305" t="s">
        <v>34</v>
      </c>
      <c r="I3305" t="s">
        <v>17</v>
      </c>
      <c r="J3305" t="s">
        <v>25</v>
      </c>
    </row>
    <row r="3306" spans="1:11" x14ac:dyDescent="0.2">
      <c r="A3306" t="s">
        <v>11590</v>
      </c>
      <c r="B3306">
        <v>10963</v>
      </c>
      <c r="E3306">
        <v>493024035315</v>
      </c>
      <c r="F3306" s="2">
        <v>524953023</v>
      </c>
      <c r="G3306" s="2">
        <v>133843029</v>
      </c>
      <c r="H3306" t="s">
        <v>34</v>
      </c>
      <c r="I3306" t="s">
        <v>17</v>
      </c>
      <c r="J3306" t="s">
        <v>25</v>
      </c>
    </row>
    <row r="3307" spans="1:11" x14ac:dyDescent="0.2">
      <c r="A3307" t="s">
        <v>11591</v>
      </c>
      <c r="B3307" t="s">
        <v>11592</v>
      </c>
      <c r="C3307" t="s">
        <v>11593</v>
      </c>
      <c r="D3307" t="s">
        <v>11594</v>
      </c>
      <c r="E3307" t="s">
        <v>11595</v>
      </c>
      <c r="F3307" s="2">
        <v>525025625</v>
      </c>
      <c r="G3307" s="2">
        <v>133362921</v>
      </c>
      <c r="H3307" t="s">
        <v>304</v>
      </c>
      <c r="I3307" t="s">
        <v>17</v>
      </c>
      <c r="J3307" t="s">
        <v>25</v>
      </c>
      <c r="K3307" t="s">
        <v>11596</v>
      </c>
    </row>
    <row r="3308" spans="1:11" x14ac:dyDescent="0.2">
      <c r="A3308" t="s">
        <v>11597</v>
      </c>
      <c r="B3308" t="s">
        <v>11598</v>
      </c>
      <c r="E3308">
        <v>493030104704</v>
      </c>
      <c r="F3308" s="2">
        <v>52496426</v>
      </c>
      <c r="G3308" s="2">
        <v>133485248</v>
      </c>
      <c r="H3308" t="s">
        <v>34</v>
      </c>
      <c r="I3308" t="s">
        <v>17</v>
      </c>
      <c r="J3308" t="s">
        <v>25</v>
      </c>
    </row>
    <row r="3309" spans="1:11" x14ac:dyDescent="0.2">
      <c r="A3309" t="s">
        <v>11599</v>
      </c>
      <c r="F3309" s="2">
        <v>525297572</v>
      </c>
      <c r="G3309" s="2">
        <v>136431831</v>
      </c>
      <c r="H3309" t="s">
        <v>28</v>
      </c>
      <c r="I3309" t="s">
        <v>17</v>
      </c>
      <c r="J3309" t="s">
        <v>25</v>
      </c>
    </row>
    <row r="3310" spans="1:11" x14ac:dyDescent="0.2">
      <c r="A3310" t="s">
        <v>11600</v>
      </c>
      <c r="B3310" t="s">
        <v>11601</v>
      </c>
      <c r="F3310" s="2">
        <v>525232592</v>
      </c>
      <c r="G3310" s="2">
        <v>133844742</v>
      </c>
      <c r="H3310" t="s">
        <v>28</v>
      </c>
      <c r="I3310" t="s">
        <v>17</v>
      </c>
      <c r="J3310" t="s">
        <v>25</v>
      </c>
    </row>
    <row r="3311" spans="1:11" x14ac:dyDescent="0.2">
      <c r="A3311" t="s">
        <v>11602</v>
      </c>
      <c r="B3311" t="s">
        <v>11603</v>
      </c>
      <c r="D3311" t="s">
        <v>11604</v>
      </c>
      <c r="F3311" s="2">
        <v>525551232</v>
      </c>
      <c r="G3311" s="2">
        <v>133759946</v>
      </c>
      <c r="H3311" t="s">
        <v>34</v>
      </c>
      <c r="I3311" t="s">
        <v>17</v>
      </c>
      <c r="J3311" t="s">
        <v>25</v>
      </c>
    </row>
    <row r="3312" spans="1:11" x14ac:dyDescent="0.2">
      <c r="A3312" t="s">
        <v>11605</v>
      </c>
      <c r="B3312" t="s">
        <v>11606</v>
      </c>
      <c r="C3312" t="s">
        <v>11607</v>
      </c>
      <c r="F3312" s="2">
        <v>52532349</v>
      </c>
      <c r="G3312" s="2">
        <v>134016277</v>
      </c>
      <c r="H3312" t="s">
        <v>3120</v>
      </c>
      <c r="I3312" t="s">
        <v>17</v>
      </c>
      <c r="J3312" t="s">
        <v>25</v>
      </c>
      <c r="K3312" t="s">
        <v>11608</v>
      </c>
    </row>
    <row r="3313" spans="1:11" x14ac:dyDescent="0.2">
      <c r="A3313" t="s">
        <v>11609</v>
      </c>
      <c r="B3313" t="s">
        <v>11610</v>
      </c>
      <c r="C3313" t="s">
        <v>11611</v>
      </c>
      <c r="F3313" s="2">
        <v>52498461</v>
      </c>
      <c r="G3313" s="2">
        <v>134180012</v>
      </c>
      <c r="H3313" t="s">
        <v>255</v>
      </c>
      <c r="I3313" t="s">
        <v>17</v>
      </c>
      <c r="J3313" t="s">
        <v>25</v>
      </c>
    </row>
    <row r="3314" spans="1:11" x14ac:dyDescent="0.2">
      <c r="A3314" t="s">
        <v>11612</v>
      </c>
      <c r="B3314" t="s">
        <v>11613</v>
      </c>
      <c r="F3314" s="2">
        <v>524982977</v>
      </c>
      <c r="G3314" s="2">
        <v>134190165</v>
      </c>
      <c r="H3314" t="s">
        <v>28</v>
      </c>
      <c r="I3314" t="s">
        <v>17</v>
      </c>
      <c r="J3314" t="s">
        <v>25</v>
      </c>
    </row>
    <row r="3315" spans="1:11" x14ac:dyDescent="0.2">
      <c r="A3315" t="s">
        <v>11614</v>
      </c>
      <c r="B3315" t="s">
        <v>11615</v>
      </c>
      <c r="C3315" t="s">
        <v>11616</v>
      </c>
      <c r="D3315" t="s">
        <v>11617</v>
      </c>
      <c r="E3315" t="s">
        <v>11618</v>
      </c>
      <c r="F3315" s="2">
        <v>525212666</v>
      </c>
      <c r="G3315" s="2">
        <v>133374304</v>
      </c>
      <c r="H3315" t="s">
        <v>24</v>
      </c>
      <c r="I3315" t="s">
        <v>17</v>
      </c>
      <c r="J3315" t="s">
        <v>25</v>
      </c>
    </row>
    <row r="3316" spans="1:11" x14ac:dyDescent="0.2">
      <c r="A3316" t="s">
        <v>11619</v>
      </c>
      <c r="B3316" t="s">
        <v>11620</v>
      </c>
      <c r="C3316" t="s">
        <v>11621</v>
      </c>
      <c r="D3316" t="s">
        <v>11622</v>
      </c>
      <c r="E3316">
        <v>4917661722602</v>
      </c>
      <c r="F3316" s="2">
        <v>524946083</v>
      </c>
      <c r="G3316" s="2">
        <v>133537347</v>
      </c>
      <c r="H3316" t="s">
        <v>51</v>
      </c>
      <c r="I3316" t="s">
        <v>17</v>
      </c>
      <c r="J3316" t="s">
        <v>25</v>
      </c>
      <c r="K3316" t="s">
        <v>11623</v>
      </c>
    </row>
    <row r="3317" spans="1:11" x14ac:dyDescent="0.2">
      <c r="A3317" t="s">
        <v>11624</v>
      </c>
      <c r="B3317" t="s">
        <v>11625</v>
      </c>
      <c r="E3317">
        <v>4917657685885</v>
      </c>
      <c r="F3317" s="2">
        <v>525348533</v>
      </c>
      <c r="G3317" s="2">
        <v>134187439</v>
      </c>
      <c r="H3317" t="s">
        <v>34</v>
      </c>
      <c r="I3317" t="s">
        <v>17</v>
      </c>
      <c r="J3317" t="s">
        <v>25</v>
      </c>
    </row>
    <row r="3318" spans="1:11" x14ac:dyDescent="0.2">
      <c r="A3318" t="s">
        <v>11626</v>
      </c>
      <c r="B3318" t="s">
        <v>11627</v>
      </c>
      <c r="C3318" t="s">
        <v>11628</v>
      </c>
      <c r="E3318" t="s">
        <v>11629</v>
      </c>
      <c r="F3318" s="2">
        <v>52498717</v>
      </c>
      <c r="G3318" s="2">
        <v>133930573</v>
      </c>
      <c r="H3318" t="s">
        <v>277</v>
      </c>
      <c r="I3318" t="s">
        <v>17</v>
      </c>
      <c r="J3318" t="s">
        <v>25</v>
      </c>
      <c r="K3318" t="s">
        <v>11630</v>
      </c>
    </row>
    <row r="3319" spans="1:11" x14ac:dyDescent="0.2">
      <c r="A3319" t="s">
        <v>11631</v>
      </c>
      <c r="B3319" t="s">
        <v>11632</v>
      </c>
      <c r="C3319" t="s">
        <v>11633</v>
      </c>
      <c r="D3319" t="s">
        <v>11634</v>
      </c>
      <c r="F3319" s="2">
        <v>525721236</v>
      </c>
      <c r="G3319" s="2">
        <v>132275945</v>
      </c>
      <c r="H3319" t="s">
        <v>24</v>
      </c>
      <c r="I3319" t="s">
        <v>17</v>
      </c>
      <c r="J3319" t="s">
        <v>25</v>
      </c>
    </row>
    <row r="3320" spans="1:11" x14ac:dyDescent="0.2">
      <c r="A3320" t="s">
        <v>11635</v>
      </c>
      <c r="F3320" s="2">
        <v>524930653</v>
      </c>
      <c r="G3320" s="2">
        <v>133537762</v>
      </c>
      <c r="H3320" t="s">
        <v>28</v>
      </c>
      <c r="I3320" t="s">
        <v>17</v>
      </c>
      <c r="J3320" t="s">
        <v>25</v>
      </c>
    </row>
    <row r="3321" spans="1:11" x14ac:dyDescent="0.2">
      <c r="A3321" t="s">
        <v>11636</v>
      </c>
      <c r="B3321">
        <v>10719</v>
      </c>
      <c r="E3321">
        <v>493028660771</v>
      </c>
      <c r="F3321" s="2">
        <v>525045261</v>
      </c>
      <c r="G3321" s="2">
        <v>13330089</v>
      </c>
      <c r="H3321" t="s">
        <v>34</v>
      </c>
      <c r="I3321" t="s">
        <v>17</v>
      </c>
      <c r="J3321" t="s">
        <v>25</v>
      </c>
    </row>
    <row r="3322" spans="1:11" x14ac:dyDescent="0.2">
      <c r="A3322" t="s">
        <v>11637</v>
      </c>
      <c r="B3322" t="s">
        <v>11638</v>
      </c>
      <c r="E3322" t="s">
        <v>11639</v>
      </c>
      <c r="F3322" s="2">
        <v>524435887</v>
      </c>
      <c r="G3322" s="2">
        <v>133858271</v>
      </c>
      <c r="H3322" t="s">
        <v>34</v>
      </c>
      <c r="I3322" t="s">
        <v>17</v>
      </c>
      <c r="J3322" t="s">
        <v>25</v>
      </c>
    </row>
    <row r="3323" spans="1:11" x14ac:dyDescent="0.2">
      <c r="A3323" t="s">
        <v>11640</v>
      </c>
      <c r="F3323" s="2">
        <v>525041511</v>
      </c>
      <c r="G3323" s="2">
        <v>133294444</v>
      </c>
      <c r="H3323" t="s">
        <v>28</v>
      </c>
      <c r="I3323" t="s">
        <v>17</v>
      </c>
      <c r="J3323" t="s">
        <v>25</v>
      </c>
    </row>
    <row r="3324" spans="1:11" x14ac:dyDescent="0.2">
      <c r="A3324" t="s">
        <v>11641</v>
      </c>
      <c r="B3324" t="s">
        <v>11642</v>
      </c>
      <c r="F3324" s="2">
        <v>525015062</v>
      </c>
      <c r="G3324" s="2">
        <v>134188436</v>
      </c>
      <c r="H3324" t="s">
        <v>28</v>
      </c>
      <c r="I3324" t="s">
        <v>17</v>
      </c>
      <c r="J3324" t="s">
        <v>25</v>
      </c>
    </row>
    <row r="3325" spans="1:11" x14ac:dyDescent="0.2">
      <c r="A3325" t="s">
        <v>11643</v>
      </c>
      <c r="B3325" t="s">
        <v>11644</v>
      </c>
      <c r="C3325" t="s">
        <v>11645</v>
      </c>
      <c r="E3325" t="s">
        <v>11646</v>
      </c>
      <c r="F3325" s="2">
        <v>524246618</v>
      </c>
      <c r="G3325" s="2">
        <v>13328967</v>
      </c>
      <c r="H3325" t="s">
        <v>38</v>
      </c>
      <c r="I3325" t="s">
        <v>17</v>
      </c>
      <c r="J3325" t="s">
        <v>25</v>
      </c>
    </row>
    <row r="3326" spans="1:11" x14ac:dyDescent="0.2">
      <c r="A3326" t="s">
        <v>11647</v>
      </c>
      <c r="C3326" t="s">
        <v>11648</v>
      </c>
      <c r="E3326" t="s">
        <v>11649</v>
      </c>
      <c r="F3326" s="2">
        <v>525168772</v>
      </c>
      <c r="G3326" s="2">
        <v>135274958</v>
      </c>
      <c r="H3326" t="s">
        <v>38</v>
      </c>
      <c r="I3326" t="s">
        <v>17</v>
      </c>
      <c r="J3326" t="s">
        <v>25</v>
      </c>
    </row>
    <row r="3327" spans="1:11" x14ac:dyDescent="0.2">
      <c r="A3327" t="s">
        <v>11650</v>
      </c>
      <c r="B3327" t="s">
        <v>11651</v>
      </c>
      <c r="E3327" t="s">
        <v>11652</v>
      </c>
      <c r="F3327" s="2">
        <v>52546128</v>
      </c>
      <c r="G3327" s="2">
        <v>134275324</v>
      </c>
      <c r="H3327" t="s">
        <v>34</v>
      </c>
      <c r="I3327" t="s">
        <v>17</v>
      </c>
      <c r="J3327" t="s">
        <v>25</v>
      </c>
    </row>
    <row r="3328" spans="1:11" x14ac:dyDescent="0.2">
      <c r="A3328" t="s">
        <v>11653</v>
      </c>
      <c r="B3328" t="s">
        <v>11654</v>
      </c>
      <c r="F3328" s="2">
        <v>525383866</v>
      </c>
      <c r="G3328" s="2">
        <v>134206475</v>
      </c>
      <c r="H3328" t="s">
        <v>28</v>
      </c>
      <c r="I3328" t="s">
        <v>17</v>
      </c>
      <c r="J3328" t="s">
        <v>25</v>
      </c>
    </row>
    <row r="3329" spans="1:11" x14ac:dyDescent="0.2">
      <c r="A3329" t="s">
        <v>11655</v>
      </c>
      <c r="B3329" t="s">
        <v>11656</v>
      </c>
      <c r="F3329" s="2">
        <v>525245711</v>
      </c>
      <c r="G3329" s="2">
        <v>133482043</v>
      </c>
      <c r="H3329" t="s">
        <v>28</v>
      </c>
      <c r="I3329" t="s">
        <v>17</v>
      </c>
      <c r="J3329" t="s">
        <v>25</v>
      </c>
    </row>
    <row r="3330" spans="1:11" x14ac:dyDescent="0.2">
      <c r="A3330" t="s">
        <v>11657</v>
      </c>
      <c r="B3330" t="s">
        <v>11658</v>
      </c>
      <c r="C3330" t="s">
        <v>11659</v>
      </c>
      <c r="F3330" s="2">
        <v>524807132</v>
      </c>
      <c r="G3330" s="2">
        <v>13433191</v>
      </c>
      <c r="H3330" t="s">
        <v>255</v>
      </c>
      <c r="I3330" t="s">
        <v>17</v>
      </c>
      <c r="J3330" t="s">
        <v>25</v>
      </c>
    </row>
    <row r="3331" spans="1:11" x14ac:dyDescent="0.2">
      <c r="A3331" t="s">
        <v>11660</v>
      </c>
      <c r="B3331" t="s">
        <v>11661</v>
      </c>
      <c r="F3331" s="2">
        <v>525276285</v>
      </c>
      <c r="G3331" s="2">
        <v>133303554</v>
      </c>
      <c r="H3331" t="s">
        <v>28</v>
      </c>
      <c r="I3331" t="s">
        <v>17</v>
      </c>
      <c r="J3331" t="s">
        <v>25</v>
      </c>
    </row>
    <row r="3332" spans="1:11" x14ac:dyDescent="0.2">
      <c r="A3332" t="s">
        <v>11662</v>
      </c>
      <c r="B3332" t="s">
        <v>11663</v>
      </c>
      <c r="F3332" s="2">
        <v>525140845</v>
      </c>
      <c r="G3332" s="2">
        <v>134686948</v>
      </c>
      <c r="H3332" t="s">
        <v>28</v>
      </c>
      <c r="I3332" t="s">
        <v>17</v>
      </c>
      <c r="J3332" t="s">
        <v>25</v>
      </c>
    </row>
    <row r="3333" spans="1:11" x14ac:dyDescent="0.2">
      <c r="A3333" t="s">
        <v>11664</v>
      </c>
      <c r="B3333" t="s">
        <v>11665</v>
      </c>
      <c r="F3333" s="2">
        <v>525442518</v>
      </c>
      <c r="G3333" s="2">
        <v>133594251</v>
      </c>
      <c r="H3333" t="s">
        <v>28</v>
      </c>
      <c r="I3333" t="s">
        <v>17</v>
      </c>
      <c r="J3333" t="s">
        <v>25</v>
      </c>
    </row>
    <row r="3334" spans="1:11" x14ac:dyDescent="0.2">
      <c r="A3334" t="s">
        <v>11666</v>
      </c>
      <c r="B3334" t="s">
        <v>11667</v>
      </c>
      <c r="C3334" t="s">
        <v>11668</v>
      </c>
      <c r="D3334" t="s">
        <v>11669</v>
      </c>
      <c r="E3334" t="s">
        <v>11670</v>
      </c>
      <c r="F3334" s="2">
        <v>524863684</v>
      </c>
      <c r="G3334" s="2">
        <v>134299998</v>
      </c>
      <c r="H3334" t="s">
        <v>51</v>
      </c>
      <c r="I3334" t="s">
        <v>17</v>
      </c>
      <c r="J3334" t="s">
        <v>25</v>
      </c>
      <c r="K3334" t="s">
        <v>11671</v>
      </c>
    </row>
    <row r="3335" spans="1:11" x14ac:dyDescent="0.2">
      <c r="A3335" t="s">
        <v>11672</v>
      </c>
      <c r="B3335" t="s">
        <v>11673</v>
      </c>
      <c r="C3335" t="s">
        <v>11674</v>
      </c>
      <c r="E3335" t="s">
        <v>11675</v>
      </c>
      <c r="F3335" s="2">
        <v>524897591</v>
      </c>
      <c r="G3335" s="2">
        <v>133600199</v>
      </c>
      <c r="H3335" t="s">
        <v>38</v>
      </c>
      <c r="I3335" t="s">
        <v>17</v>
      </c>
      <c r="J3335" t="s">
        <v>25</v>
      </c>
    </row>
    <row r="3336" spans="1:11" x14ac:dyDescent="0.2">
      <c r="A3336" t="s">
        <v>11676</v>
      </c>
      <c r="B3336" t="s">
        <v>11677</v>
      </c>
      <c r="C3336" t="s">
        <v>11678</v>
      </c>
      <c r="F3336" s="2">
        <v>525277637</v>
      </c>
      <c r="G3336" s="2">
        <v>13413011</v>
      </c>
      <c r="H3336" t="s">
        <v>255</v>
      </c>
      <c r="I3336" t="s">
        <v>17</v>
      </c>
      <c r="J3336" t="s">
        <v>25</v>
      </c>
    </row>
    <row r="3337" spans="1:11" x14ac:dyDescent="0.2">
      <c r="A3337" t="s">
        <v>11679</v>
      </c>
      <c r="B3337" t="s">
        <v>11680</v>
      </c>
      <c r="F3337" s="2">
        <v>525340921</v>
      </c>
      <c r="G3337" s="2">
        <v>134216285</v>
      </c>
      <c r="H3337" t="s">
        <v>28</v>
      </c>
      <c r="I3337" t="s">
        <v>17</v>
      </c>
      <c r="J3337" t="s">
        <v>25</v>
      </c>
    </row>
    <row r="3338" spans="1:11" x14ac:dyDescent="0.2">
      <c r="A3338" t="s">
        <v>11681</v>
      </c>
      <c r="F3338" s="2">
        <v>524851011</v>
      </c>
      <c r="G3338" s="2">
        <v>134275411</v>
      </c>
      <c r="H3338" t="s">
        <v>28</v>
      </c>
      <c r="I3338" t="s">
        <v>17</v>
      </c>
      <c r="J3338" t="s">
        <v>25</v>
      </c>
    </row>
    <row r="3339" spans="1:11" x14ac:dyDescent="0.2">
      <c r="A3339" t="s">
        <v>11682</v>
      </c>
      <c r="B3339" t="s">
        <v>11683</v>
      </c>
      <c r="F3339" s="2">
        <v>524918685</v>
      </c>
      <c r="G3339" s="2">
        <v>134224911</v>
      </c>
      <c r="H3339" t="s">
        <v>28</v>
      </c>
      <c r="I3339" t="s">
        <v>17</v>
      </c>
      <c r="J3339" t="s">
        <v>25</v>
      </c>
    </row>
    <row r="3340" spans="1:11" x14ac:dyDescent="0.2">
      <c r="A3340" t="s">
        <v>11684</v>
      </c>
      <c r="B3340" t="s">
        <v>11685</v>
      </c>
      <c r="C3340" t="s">
        <v>11686</v>
      </c>
      <c r="D3340" t="s">
        <v>11687</v>
      </c>
      <c r="E3340">
        <v>4915777660084</v>
      </c>
      <c r="F3340" s="2">
        <v>525010862</v>
      </c>
      <c r="G3340" s="2">
        <v>134119264</v>
      </c>
      <c r="H3340" t="s">
        <v>51</v>
      </c>
      <c r="I3340" t="s">
        <v>17</v>
      </c>
      <c r="J3340" t="s">
        <v>25</v>
      </c>
      <c r="K3340" t="s">
        <v>11688</v>
      </c>
    </row>
    <row r="3341" spans="1:11" x14ac:dyDescent="0.2">
      <c r="A3341" t="s">
        <v>11689</v>
      </c>
      <c r="B3341" t="s">
        <v>11690</v>
      </c>
      <c r="C3341" t="s">
        <v>11691</v>
      </c>
      <c r="E3341" t="s">
        <v>11692</v>
      </c>
      <c r="F3341" s="2">
        <v>525697475</v>
      </c>
      <c r="G3341" s="2">
        <v>133124438</v>
      </c>
      <c r="H3341" t="s">
        <v>38</v>
      </c>
      <c r="I3341" t="s">
        <v>17</v>
      </c>
      <c r="J3341" t="s">
        <v>25</v>
      </c>
    </row>
    <row r="3342" spans="1:11" x14ac:dyDescent="0.2">
      <c r="A3342" t="s">
        <v>11693</v>
      </c>
      <c r="B3342" t="s">
        <v>5225</v>
      </c>
      <c r="F3342" s="2">
        <v>525386127</v>
      </c>
      <c r="G3342" s="2">
        <v>134202321</v>
      </c>
      <c r="H3342" t="s">
        <v>28</v>
      </c>
      <c r="I3342" t="s">
        <v>17</v>
      </c>
      <c r="J3342" t="s">
        <v>25</v>
      </c>
    </row>
    <row r="3343" spans="1:11" x14ac:dyDescent="0.2">
      <c r="A3343" t="s">
        <v>11694</v>
      </c>
      <c r="B3343" t="s">
        <v>11695</v>
      </c>
      <c r="C3343" t="s">
        <v>11696</v>
      </c>
      <c r="D3343" t="s">
        <v>11697</v>
      </c>
      <c r="E3343" t="s">
        <v>11698</v>
      </c>
      <c r="F3343" s="2">
        <v>525111836</v>
      </c>
      <c r="G3343" s="2">
        <v>134032313</v>
      </c>
      <c r="H3343" t="s">
        <v>304</v>
      </c>
      <c r="I3343" t="s">
        <v>17</v>
      </c>
      <c r="J3343" t="s">
        <v>25</v>
      </c>
      <c r="K3343" t="s">
        <v>11699</v>
      </c>
    </row>
    <row r="3344" spans="1:11" x14ac:dyDescent="0.2">
      <c r="A3344" t="s">
        <v>11700</v>
      </c>
      <c r="F3344" s="2">
        <v>525114215</v>
      </c>
      <c r="G3344" s="2">
        <v>132694648</v>
      </c>
      <c r="H3344" t="s">
        <v>28</v>
      </c>
      <c r="I3344" t="s">
        <v>17</v>
      </c>
      <c r="J3344" t="s">
        <v>25</v>
      </c>
    </row>
    <row r="3345" spans="1:11" x14ac:dyDescent="0.2">
      <c r="A3345" t="s">
        <v>11701</v>
      </c>
      <c r="F3345" s="2">
        <v>525497671</v>
      </c>
      <c r="G3345" s="2">
        <v>133877813</v>
      </c>
      <c r="H3345" t="s">
        <v>28</v>
      </c>
      <c r="I3345" t="s">
        <v>17</v>
      </c>
      <c r="J3345" t="s">
        <v>25</v>
      </c>
    </row>
    <row r="3346" spans="1:11" x14ac:dyDescent="0.2">
      <c r="A3346" t="s">
        <v>11702</v>
      </c>
      <c r="C3346" t="s">
        <v>11703</v>
      </c>
      <c r="D3346" t="s">
        <v>11704</v>
      </c>
      <c r="F3346" s="2">
        <v>525517815</v>
      </c>
      <c r="G3346" s="2">
        <v>133750795</v>
      </c>
      <c r="H3346" t="s">
        <v>16</v>
      </c>
      <c r="I3346" t="s">
        <v>17</v>
      </c>
      <c r="J3346" t="s">
        <v>25</v>
      </c>
    </row>
    <row r="3347" spans="1:11" x14ac:dyDescent="0.2">
      <c r="A3347" t="s">
        <v>11705</v>
      </c>
      <c r="B3347" t="s">
        <v>11706</v>
      </c>
      <c r="F3347" s="2">
        <v>525334492</v>
      </c>
      <c r="G3347" s="2">
        <v>134251508</v>
      </c>
      <c r="H3347" t="s">
        <v>28</v>
      </c>
      <c r="I3347" t="s">
        <v>17</v>
      </c>
      <c r="J3347" t="s">
        <v>25</v>
      </c>
    </row>
    <row r="3348" spans="1:11" x14ac:dyDescent="0.2">
      <c r="A3348" t="s">
        <v>11707</v>
      </c>
      <c r="B3348" t="s">
        <v>11708</v>
      </c>
      <c r="F3348" s="2">
        <v>525434414</v>
      </c>
      <c r="G3348" s="2">
        <v>134127197</v>
      </c>
      <c r="H3348" t="s">
        <v>28</v>
      </c>
      <c r="I3348" t="s">
        <v>17</v>
      </c>
      <c r="J3348" t="s">
        <v>25</v>
      </c>
    </row>
    <row r="3349" spans="1:11" x14ac:dyDescent="0.2">
      <c r="A3349" t="s">
        <v>11709</v>
      </c>
      <c r="B3349" t="s">
        <v>11710</v>
      </c>
      <c r="E3349" t="s">
        <v>11711</v>
      </c>
      <c r="F3349" s="2">
        <v>525318138</v>
      </c>
      <c r="G3349" s="2">
        <v>134274958</v>
      </c>
      <c r="H3349" t="s">
        <v>34</v>
      </c>
      <c r="I3349" t="s">
        <v>17</v>
      </c>
      <c r="J3349" t="s">
        <v>25</v>
      </c>
    </row>
    <row r="3350" spans="1:11" x14ac:dyDescent="0.2">
      <c r="A3350" t="s">
        <v>11712</v>
      </c>
      <c r="B3350" t="s">
        <v>11713</v>
      </c>
      <c r="C3350" t="s">
        <v>11714</v>
      </c>
      <c r="E3350" t="s">
        <v>11715</v>
      </c>
      <c r="F3350" s="2">
        <v>525291809</v>
      </c>
      <c r="G3350" s="2">
        <v>131961806</v>
      </c>
      <c r="H3350" t="s">
        <v>38</v>
      </c>
      <c r="I3350" t="s">
        <v>17</v>
      </c>
      <c r="J3350" t="s">
        <v>25</v>
      </c>
    </row>
    <row r="3351" spans="1:11" x14ac:dyDescent="0.2">
      <c r="A3351" t="s">
        <v>11716</v>
      </c>
      <c r="B3351" t="s">
        <v>11717</v>
      </c>
      <c r="F3351" s="2">
        <v>525301827</v>
      </c>
      <c r="G3351" s="2">
        <v>133682213</v>
      </c>
      <c r="H3351" t="s">
        <v>28</v>
      </c>
      <c r="I3351" t="s">
        <v>17</v>
      </c>
      <c r="J3351" t="s">
        <v>25</v>
      </c>
    </row>
    <row r="3352" spans="1:11" x14ac:dyDescent="0.2">
      <c r="A3352" t="s">
        <v>11718</v>
      </c>
      <c r="B3352" t="s">
        <v>11719</v>
      </c>
      <c r="C3352" t="s">
        <v>11720</v>
      </c>
      <c r="D3352" t="s">
        <v>11721</v>
      </c>
      <c r="F3352" s="2">
        <v>525284996</v>
      </c>
      <c r="G3352" s="2">
        <v>134119861</v>
      </c>
      <c r="H3352" t="s">
        <v>277</v>
      </c>
      <c r="I3352" t="s">
        <v>17</v>
      </c>
      <c r="J3352" t="s">
        <v>25</v>
      </c>
      <c r="K3352" t="s">
        <v>11722</v>
      </c>
    </row>
    <row r="3353" spans="1:11" x14ac:dyDescent="0.2">
      <c r="A3353" t="s">
        <v>11723</v>
      </c>
      <c r="B3353" t="s">
        <v>10706</v>
      </c>
      <c r="F3353" s="2">
        <v>525332779</v>
      </c>
      <c r="G3353" s="2">
        <v>134336746</v>
      </c>
      <c r="H3353" t="s">
        <v>28</v>
      </c>
      <c r="I3353" t="s">
        <v>17</v>
      </c>
      <c r="J3353" t="s">
        <v>25</v>
      </c>
    </row>
    <row r="3354" spans="1:11" x14ac:dyDescent="0.2">
      <c r="A3354" t="s">
        <v>11724</v>
      </c>
      <c r="B3354" t="s">
        <v>11725</v>
      </c>
      <c r="C3354" t="s">
        <v>11726</v>
      </c>
      <c r="F3354" s="2">
        <v>525037233</v>
      </c>
      <c r="G3354" s="2">
        <v>134099896</v>
      </c>
      <c r="H3354" t="s">
        <v>3120</v>
      </c>
      <c r="I3354" t="s">
        <v>17</v>
      </c>
      <c r="J3354" t="s">
        <v>25</v>
      </c>
      <c r="K3354" t="s">
        <v>11727</v>
      </c>
    </row>
    <row r="3355" spans="1:11" x14ac:dyDescent="0.2">
      <c r="A3355" t="s">
        <v>11728</v>
      </c>
      <c r="B3355" t="s">
        <v>11729</v>
      </c>
      <c r="C3355" t="s">
        <v>11730</v>
      </c>
      <c r="D3355" t="s">
        <v>11731</v>
      </c>
      <c r="E3355" t="s">
        <v>11732</v>
      </c>
      <c r="F3355" s="2">
        <v>524407686</v>
      </c>
      <c r="G3355" s="2">
        <v>135760287</v>
      </c>
      <c r="H3355" t="s">
        <v>24</v>
      </c>
      <c r="I3355" t="s">
        <v>17</v>
      </c>
      <c r="J3355" t="s">
        <v>25</v>
      </c>
    </row>
    <row r="3356" spans="1:11" x14ac:dyDescent="0.2">
      <c r="A3356" t="s">
        <v>11733</v>
      </c>
      <c r="F3356" s="2">
        <v>52482027</v>
      </c>
      <c r="G3356" s="2">
        <v>13436516</v>
      </c>
      <c r="H3356" t="s">
        <v>28</v>
      </c>
      <c r="I3356" t="s">
        <v>17</v>
      </c>
      <c r="J3356" t="s">
        <v>25</v>
      </c>
    </row>
    <row r="3357" spans="1:11" x14ac:dyDescent="0.2">
      <c r="A3357" t="s">
        <v>11734</v>
      </c>
      <c r="B3357" t="s">
        <v>11735</v>
      </c>
      <c r="C3357" t="s">
        <v>11736</v>
      </c>
      <c r="D3357" t="s">
        <v>11737</v>
      </c>
      <c r="E3357">
        <v>493025933179</v>
      </c>
      <c r="F3357" s="2">
        <v>525113884</v>
      </c>
      <c r="G3357" s="2">
        <v>134571175</v>
      </c>
      <c r="H3357" t="s">
        <v>51</v>
      </c>
      <c r="I3357" t="s">
        <v>17</v>
      </c>
      <c r="J3357" t="s">
        <v>25</v>
      </c>
      <c r="K3357" t="s">
        <v>11738</v>
      </c>
    </row>
    <row r="3358" spans="1:11" x14ac:dyDescent="0.2">
      <c r="A3358" t="s">
        <v>11739</v>
      </c>
      <c r="F3358" s="2">
        <v>524358981</v>
      </c>
      <c r="G3358" s="2">
        <v>13346919</v>
      </c>
      <c r="H3358" t="s">
        <v>28</v>
      </c>
      <c r="I3358" t="s">
        <v>17</v>
      </c>
      <c r="J3358" t="s">
        <v>25</v>
      </c>
    </row>
    <row r="3359" spans="1:11" x14ac:dyDescent="0.2">
      <c r="A3359" t="s">
        <v>11740</v>
      </c>
      <c r="B3359" t="s">
        <v>11741</v>
      </c>
      <c r="F3359" s="2">
        <v>525152472</v>
      </c>
      <c r="G3359" s="2">
        <v>13464363</v>
      </c>
      <c r="H3359" t="s">
        <v>28</v>
      </c>
      <c r="I3359" t="s">
        <v>17</v>
      </c>
      <c r="J3359" t="s">
        <v>25</v>
      </c>
    </row>
    <row r="3360" spans="1:11" x14ac:dyDescent="0.2">
      <c r="A3360" t="s">
        <v>11742</v>
      </c>
      <c r="C3360" t="s">
        <v>11743</v>
      </c>
      <c r="D3360" t="s">
        <v>11744</v>
      </c>
      <c r="E3360" t="s">
        <v>11745</v>
      </c>
      <c r="F3360" s="2">
        <v>525252358</v>
      </c>
      <c r="G3360" s="2">
        <v>134107648</v>
      </c>
      <c r="H3360" t="s">
        <v>304</v>
      </c>
      <c r="I3360" t="s">
        <v>17</v>
      </c>
      <c r="J3360" t="s">
        <v>25</v>
      </c>
      <c r="K3360" t="s">
        <v>11746</v>
      </c>
    </row>
    <row r="3361" spans="1:11" x14ac:dyDescent="0.2">
      <c r="A3361" t="s">
        <v>11747</v>
      </c>
      <c r="F3361" s="2">
        <v>525332505</v>
      </c>
      <c r="G3361" s="2">
        <v>133681466</v>
      </c>
      <c r="H3361" t="s">
        <v>28</v>
      </c>
      <c r="I3361" t="s">
        <v>17</v>
      </c>
      <c r="J3361" t="s">
        <v>25</v>
      </c>
    </row>
    <row r="3362" spans="1:11" x14ac:dyDescent="0.2">
      <c r="A3362" t="s">
        <v>11748</v>
      </c>
      <c r="B3362" t="s">
        <v>11749</v>
      </c>
      <c r="C3362" t="s">
        <v>11750</v>
      </c>
      <c r="E3362" t="s">
        <v>11751</v>
      </c>
      <c r="F3362" s="2">
        <v>525344961</v>
      </c>
      <c r="G3362" s="2">
        <v>134163748</v>
      </c>
      <c r="H3362" t="s">
        <v>277</v>
      </c>
      <c r="I3362" t="s">
        <v>17</v>
      </c>
      <c r="J3362" t="s">
        <v>25</v>
      </c>
      <c r="K3362" t="s">
        <v>11752</v>
      </c>
    </row>
    <row r="3363" spans="1:11" x14ac:dyDescent="0.2">
      <c r="A3363" t="s">
        <v>11753</v>
      </c>
      <c r="F3363" s="2">
        <v>524219159</v>
      </c>
      <c r="G3363" s="2">
        <v>13488845</v>
      </c>
      <c r="H3363" t="s">
        <v>28</v>
      </c>
      <c r="I3363" t="s">
        <v>17</v>
      </c>
      <c r="J3363" t="s">
        <v>25</v>
      </c>
    </row>
    <row r="3364" spans="1:11" x14ac:dyDescent="0.2">
      <c r="A3364" t="s">
        <v>11754</v>
      </c>
      <c r="F3364" s="2">
        <v>525232794</v>
      </c>
      <c r="G3364" s="2">
        <v>131992366</v>
      </c>
      <c r="H3364" t="s">
        <v>28</v>
      </c>
      <c r="I3364" t="s">
        <v>17</v>
      </c>
      <c r="J3364" t="s">
        <v>25</v>
      </c>
    </row>
    <row r="3365" spans="1:11" x14ac:dyDescent="0.2">
      <c r="A3365" t="s">
        <v>11755</v>
      </c>
      <c r="B3365" t="s">
        <v>11756</v>
      </c>
      <c r="C3365" t="s">
        <v>11757</v>
      </c>
      <c r="F3365" s="2">
        <v>524625382</v>
      </c>
      <c r="G3365" s="2">
        <v>133256681</v>
      </c>
      <c r="H3365" t="s">
        <v>255</v>
      </c>
      <c r="I3365" t="s">
        <v>17</v>
      </c>
      <c r="J3365" t="s">
        <v>25</v>
      </c>
    </row>
    <row r="3366" spans="1:11" x14ac:dyDescent="0.2">
      <c r="A3366" t="s">
        <v>11758</v>
      </c>
      <c r="B3366" t="s">
        <v>11759</v>
      </c>
      <c r="F3366" s="2">
        <v>525702535</v>
      </c>
      <c r="G3366" s="2">
        <v>133210448</v>
      </c>
      <c r="H3366" t="s">
        <v>28</v>
      </c>
      <c r="I3366" t="s">
        <v>17</v>
      </c>
      <c r="J3366" t="s">
        <v>25</v>
      </c>
    </row>
    <row r="3367" spans="1:11" x14ac:dyDescent="0.2">
      <c r="A3367" t="s">
        <v>11760</v>
      </c>
      <c r="B3367" t="s">
        <v>11761</v>
      </c>
      <c r="C3367" t="s">
        <v>11762</v>
      </c>
      <c r="F3367" s="2">
        <v>52523591</v>
      </c>
      <c r="G3367" s="2">
        <v>133906231</v>
      </c>
      <c r="H3367" t="s">
        <v>255</v>
      </c>
      <c r="I3367" t="s">
        <v>17</v>
      </c>
      <c r="J3367" t="s">
        <v>25</v>
      </c>
    </row>
    <row r="3368" spans="1:11" x14ac:dyDescent="0.2">
      <c r="A3368" t="s">
        <v>11763</v>
      </c>
      <c r="F3368" s="2">
        <v>524565776</v>
      </c>
      <c r="G3368" s="2">
        <v>134367337</v>
      </c>
      <c r="H3368" t="s">
        <v>28</v>
      </c>
      <c r="I3368" t="s">
        <v>17</v>
      </c>
      <c r="J3368" t="s">
        <v>25</v>
      </c>
    </row>
    <row r="3369" spans="1:11" x14ac:dyDescent="0.2">
      <c r="A3369" t="s">
        <v>11764</v>
      </c>
      <c r="B3369" t="s">
        <v>11765</v>
      </c>
      <c r="F3369" s="2">
        <v>52523069</v>
      </c>
      <c r="G3369" s="2">
        <v>133003099</v>
      </c>
      <c r="H3369" t="s">
        <v>28</v>
      </c>
      <c r="I3369" t="s">
        <v>17</v>
      </c>
      <c r="J3369" t="s">
        <v>25</v>
      </c>
    </row>
    <row r="3370" spans="1:11" x14ac:dyDescent="0.2">
      <c r="A3370" t="s">
        <v>11766</v>
      </c>
      <c r="B3370" t="s">
        <v>11767</v>
      </c>
      <c r="F3370" s="2">
        <v>525232076</v>
      </c>
      <c r="G3370" s="2">
        <v>132999505</v>
      </c>
      <c r="H3370" t="s">
        <v>28</v>
      </c>
      <c r="I3370" t="s">
        <v>17</v>
      </c>
      <c r="J3370" t="s">
        <v>25</v>
      </c>
    </row>
    <row r="3371" spans="1:11" x14ac:dyDescent="0.2">
      <c r="A3371" t="s">
        <v>11768</v>
      </c>
      <c r="B3371" t="s">
        <v>11769</v>
      </c>
      <c r="C3371" t="s">
        <v>11770</v>
      </c>
      <c r="F3371" s="2">
        <v>524503024</v>
      </c>
      <c r="G3371" s="2">
        <v>133846457</v>
      </c>
      <c r="H3371" t="s">
        <v>255</v>
      </c>
      <c r="I3371" t="s">
        <v>17</v>
      </c>
      <c r="J3371" t="s">
        <v>25</v>
      </c>
    </row>
    <row r="3372" spans="1:11" x14ac:dyDescent="0.2">
      <c r="A3372" t="s">
        <v>11771</v>
      </c>
      <c r="B3372" t="s">
        <v>11772</v>
      </c>
      <c r="C3372" t="s">
        <v>11773</v>
      </c>
      <c r="D3372" t="s">
        <v>11774</v>
      </c>
      <c r="E3372" t="s">
        <v>11775</v>
      </c>
      <c r="F3372" s="2">
        <v>525041943</v>
      </c>
      <c r="G3372" s="2">
        <v>133157468</v>
      </c>
      <c r="H3372" t="s">
        <v>51</v>
      </c>
      <c r="I3372" t="s">
        <v>17</v>
      </c>
      <c r="J3372" t="s">
        <v>25</v>
      </c>
      <c r="K3372" t="s">
        <v>11776</v>
      </c>
    </row>
    <row r="3373" spans="1:11" x14ac:dyDescent="0.2">
      <c r="A3373" t="s">
        <v>11777</v>
      </c>
      <c r="B3373" t="s">
        <v>11778</v>
      </c>
      <c r="C3373" t="s">
        <v>11779</v>
      </c>
      <c r="E3373" t="s">
        <v>11780</v>
      </c>
      <c r="F3373" s="2">
        <v>524895449</v>
      </c>
      <c r="G3373" s="2">
        <v>133859073</v>
      </c>
      <c r="H3373" t="s">
        <v>277</v>
      </c>
      <c r="I3373" t="s">
        <v>17</v>
      </c>
      <c r="J3373" t="s">
        <v>25</v>
      </c>
      <c r="K3373" t="s">
        <v>11781</v>
      </c>
    </row>
    <row r="3374" spans="1:11" x14ac:dyDescent="0.2">
      <c r="A3374" t="s">
        <v>11782</v>
      </c>
      <c r="B3374" t="s">
        <v>11783</v>
      </c>
      <c r="C3374" t="s">
        <v>11784</v>
      </c>
      <c r="D3374" t="s">
        <v>11785</v>
      </c>
      <c r="E3374">
        <v>491626553535</v>
      </c>
      <c r="F3374" s="2">
        <v>525136606</v>
      </c>
      <c r="G3374" s="2">
        <v>135216015</v>
      </c>
      <c r="H3374" t="s">
        <v>51</v>
      </c>
      <c r="I3374" t="s">
        <v>17</v>
      </c>
      <c r="J3374" t="s">
        <v>25</v>
      </c>
      <c r="K3374" t="s">
        <v>11786</v>
      </c>
    </row>
    <row r="3375" spans="1:11" x14ac:dyDescent="0.2">
      <c r="A3375" t="s">
        <v>11787</v>
      </c>
      <c r="B3375" t="s">
        <v>5916</v>
      </c>
      <c r="E3375" t="s">
        <v>11788</v>
      </c>
      <c r="F3375" s="2">
        <v>524902671</v>
      </c>
      <c r="G3375" s="2">
        <v>133861912</v>
      </c>
      <c r="H3375" t="s">
        <v>34</v>
      </c>
      <c r="I3375" t="s">
        <v>17</v>
      </c>
      <c r="J3375" t="s">
        <v>25</v>
      </c>
    </row>
    <row r="3376" spans="1:11" x14ac:dyDescent="0.2">
      <c r="A3376" t="s">
        <v>11789</v>
      </c>
      <c r="F3376" s="2">
        <v>526313536</v>
      </c>
      <c r="G3376" s="2">
        <v>132898237</v>
      </c>
      <c r="H3376" t="s">
        <v>28</v>
      </c>
      <c r="I3376" t="s">
        <v>17</v>
      </c>
      <c r="J3376" t="s">
        <v>25</v>
      </c>
    </row>
    <row r="3377" spans="1:11" x14ac:dyDescent="0.2">
      <c r="A3377" t="s">
        <v>11790</v>
      </c>
      <c r="B3377" t="s">
        <v>11791</v>
      </c>
      <c r="C3377" t="s">
        <v>11792</v>
      </c>
      <c r="D3377" t="s">
        <v>11793</v>
      </c>
      <c r="E3377" t="s">
        <v>11794</v>
      </c>
      <c r="F3377" s="2">
        <v>524735843</v>
      </c>
      <c r="G3377" s="2">
        <v>133279996</v>
      </c>
      <c r="H3377" t="s">
        <v>51</v>
      </c>
      <c r="I3377" t="s">
        <v>17</v>
      </c>
      <c r="J3377" t="s">
        <v>25</v>
      </c>
      <c r="K3377" t="s">
        <v>11795</v>
      </c>
    </row>
    <row r="3378" spans="1:11" x14ac:dyDescent="0.2">
      <c r="A3378" t="s">
        <v>11796</v>
      </c>
      <c r="B3378" t="s">
        <v>11797</v>
      </c>
      <c r="C3378" t="s">
        <v>11798</v>
      </c>
      <c r="E3378" t="s">
        <v>11799</v>
      </c>
      <c r="F3378" s="2">
        <v>524823515</v>
      </c>
      <c r="G3378" s="2">
        <v>134412206</v>
      </c>
      <c r="H3378" t="s">
        <v>38</v>
      </c>
      <c r="I3378" t="s">
        <v>17</v>
      </c>
      <c r="J3378" t="s">
        <v>25</v>
      </c>
    </row>
    <row r="3379" spans="1:11" x14ac:dyDescent="0.2">
      <c r="A3379" t="s">
        <v>11800</v>
      </c>
      <c r="B3379" t="s">
        <v>11801</v>
      </c>
      <c r="C3379" t="s">
        <v>11802</v>
      </c>
      <c r="F3379" s="2">
        <v>525082473</v>
      </c>
      <c r="G3379" s="2">
        <v>133334047</v>
      </c>
      <c r="H3379" t="s">
        <v>255</v>
      </c>
      <c r="I3379" t="s">
        <v>17</v>
      </c>
      <c r="J3379" t="s">
        <v>25</v>
      </c>
    </row>
    <row r="3380" spans="1:11" x14ac:dyDescent="0.2">
      <c r="A3380" t="s">
        <v>11803</v>
      </c>
      <c r="B3380" t="s">
        <v>11804</v>
      </c>
      <c r="C3380" t="s">
        <v>11805</v>
      </c>
      <c r="F3380" s="2">
        <v>525326692</v>
      </c>
      <c r="G3380" s="2">
        <v>133665253</v>
      </c>
      <c r="H3380" t="s">
        <v>277</v>
      </c>
      <c r="I3380" t="s">
        <v>17</v>
      </c>
      <c r="J3380" t="s">
        <v>25</v>
      </c>
      <c r="K3380" t="s">
        <v>11806</v>
      </c>
    </row>
    <row r="3381" spans="1:11" x14ac:dyDescent="0.2">
      <c r="A3381" t="s">
        <v>11807</v>
      </c>
      <c r="B3381" t="s">
        <v>11808</v>
      </c>
      <c r="C3381" t="s">
        <v>11809</v>
      </c>
      <c r="D3381" t="s">
        <v>11810</v>
      </c>
      <c r="F3381" s="2">
        <v>525085296</v>
      </c>
      <c r="G3381" s="2">
        <v>132747911</v>
      </c>
      <c r="H3381" t="s">
        <v>51</v>
      </c>
      <c r="I3381" t="s">
        <v>17</v>
      </c>
      <c r="J3381" t="s">
        <v>25</v>
      </c>
      <c r="K3381" t="s">
        <v>11811</v>
      </c>
    </row>
    <row r="3382" spans="1:11" x14ac:dyDescent="0.2">
      <c r="A3382" t="s">
        <v>11812</v>
      </c>
      <c r="F3382" s="2">
        <v>525010186</v>
      </c>
      <c r="G3382" s="2">
        <v>133436667</v>
      </c>
      <c r="H3382" t="s">
        <v>28</v>
      </c>
      <c r="I3382" t="s">
        <v>17</v>
      </c>
      <c r="J3382" t="s">
        <v>25</v>
      </c>
    </row>
    <row r="3383" spans="1:11" x14ac:dyDescent="0.2">
      <c r="A3383" t="s">
        <v>11813</v>
      </c>
      <c r="B3383" t="s">
        <v>11814</v>
      </c>
      <c r="C3383" t="s">
        <v>11815</v>
      </c>
      <c r="F3383" s="2">
        <v>525242675</v>
      </c>
      <c r="G3383" s="2">
        <v>134027156</v>
      </c>
      <c r="H3383" t="s">
        <v>255</v>
      </c>
      <c r="I3383" t="s">
        <v>17</v>
      </c>
      <c r="J3383" t="s">
        <v>25</v>
      </c>
    </row>
    <row r="3384" spans="1:11" x14ac:dyDescent="0.2">
      <c r="A3384" t="s">
        <v>11816</v>
      </c>
      <c r="F3384" s="2">
        <v>524949734</v>
      </c>
      <c r="G3384" s="2">
        <v>133240874</v>
      </c>
      <c r="H3384" t="s">
        <v>28</v>
      </c>
      <c r="I3384" t="s">
        <v>17</v>
      </c>
      <c r="J3384" t="s">
        <v>25</v>
      </c>
    </row>
    <row r="3385" spans="1:11" x14ac:dyDescent="0.2">
      <c r="A3385" t="s">
        <v>11817</v>
      </c>
      <c r="F3385" s="2">
        <v>5252227</v>
      </c>
      <c r="G3385" s="2">
        <v>133783493</v>
      </c>
      <c r="H3385" t="s">
        <v>28</v>
      </c>
      <c r="I3385" t="s">
        <v>17</v>
      </c>
      <c r="J3385" t="s">
        <v>25</v>
      </c>
    </row>
    <row r="3386" spans="1:11" x14ac:dyDescent="0.2">
      <c r="A3386" t="s">
        <v>11818</v>
      </c>
      <c r="B3386" t="s">
        <v>11819</v>
      </c>
      <c r="C3386" t="s">
        <v>11820</v>
      </c>
      <c r="D3386" t="s">
        <v>11821</v>
      </c>
      <c r="E3386" t="s">
        <v>11822</v>
      </c>
      <c r="F3386" s="2">
        <v>524890268</v>
      </c>
      <c r="G3386" s="2">
        <v>134532835</v>
      </c>
      <c r="H3386" t="s">
        <v>24</v>
      </c>
      <c r="I3386" t="s">
        <v>17</v>
      </c>
      <c r="J3386" t="s">
        <v>25</v>
      </c>
    </row>
    <row r="3387" spans="1:11" x14ac:dyDescent="0.2">
      <c r="A3387" t="s">
        <v>11823</v>
      </c>
      <c r="F3387" s="2">
        <v>52532903</v>
      </c>
      <c r="G3387" s="2">
        <v>133671343</v>
      </c>
      <c r="H3387" t="s">
        <v>28</v>
      </c>
      <c r="I3387" t="s">
        <v>17</v>
      </c>
      <c r="J3387" t="s">
        <v>25</v>
      </c>
    </row>
    <row r="3388" spans="1:11" x14ac:dyDescent="0.2">
      <c r="A3388" t="s">
        <v>11824</v>
      </c>
      <c r="B3388" t="s">
        <v>11825</v>
      </c>
      <c r="F3388" s="2">
        <v>525379251</v>
      </c>
      <c r="G3388" s="2">
        <v>133409039</v>
      </c>
      <c r="H3388" t="s">
        <v>28</v>
      </c>
      <c r="I3388" t="s">
        <v>17</v>
      </c>
      <c r="J3388" t="s">
        <v>25</v>
      </c>
    </row>
    <row r="3389" spans="1:11" x14ac:dyDescent="0.2">
      <c r="A3389" t="s">
        <v>11826</v>
      </c>
      <c r="C3389" t="s">
        <v>11827</v>
      </c>
      <c r="F3389" s="2">
        <v>524857566</v>
      </c>
      <c r="G3389" s="2">
        <v>132846396</v>
      </c>
      <c r="H3389" t="s">
        <v>255</v>
      </c>
      <c r="I3389" t="s">
        <v>17</v>
      </c>
      <c r="J3389" t="s">
        <v>25</v>
      </c>
    </row>
    <row r="3390" spans="1:11" x14ac:dyDescent="0.2">
      <c r="A3390" t="s">
        <v>11828</v>
      </c>
      <c r="B3390" t="s">
        <v>11829</v>
      </c>
      <c r="C3390" t="s">
        <v>11830</v>
      </c>
      <c r="E3390" t="s">
        <v>11831</v>
      </c>
      <c r="F3390" s="2">
        <v>524433608</v>
      </c>
      <c r="G3390" s="2">
        <v>133859602</v>
      </c>
      <c r="H3390" t="s">
        <v>38</v>
      </c>
      <c r="I3390" t="s">
        <v>17</v>
      </c>
      <c r="J3390" t="s">
        <v>25</v>
      </c>
    </row>
    <row r="3391" spans="1:11" x14ac:dyDescent="0.2">
      <c r="A3391" t="s">
        <v>11832</v>
      </c>
      <c r="F3391" s="2">
        <v>525519955</v>
      </c>
      <c r="G3391" s="2">
        <v>134288618</v>
      </c>
      <c r="H3391" t="s">
        <v>28</v>
      </c>
      <c r="I3391" t="s">
        <v>17</v>
      </c>
      <c r="J3391" t="s">
        <v>25</v>
      </c>
    </row>
    <row r="3392" spans="1:11" x14ac:dyDescent="0.2">
      <c r="A3392" t="s">
        <v>11833</v>
      </c>
      <c r="B3392" t="s">
        <v>8860</v>
      </c>
      <c r="D3392" t="s">
        <v>11834</v>
      </c>
      <c r="E3392" t="s">
        <v>11835</v>
      </c>
      <c r="F3392" s="2">
        <v>524472912</v>
      </c>
      <c r="G3392" s="2">
        <v>133856834</v>
      </c>
      <c r="H3392" t="s">
        <v>1107</v>
      </c>
      <c r="I3392" t="s">
        <v>17</v>
      </c>
      <c r="J3392" t="s">
        <v>25</v>
      </c>
    </row>
    <row r="3393" spans="1:11" x14ac:dyDescent="0.2">
      <c r="A3393" t="s">
        <v>11836</v>
      </c>
      <c r="F3393" s="2">
        <v>524978826</v>
      </c>
      <c r="G3393" s="2">
        <v>133567303</v>
      </c>
      <c r="H3393" t="s">
        <v>28</v>
      </c>
      <c r="I3393" t="s">
        <v>17</v>
      </c>
      <c r="J3393" t="s">
        <v>25</v>
      </c>
    </row>
    <row r="3394" spans="1:11" x14ac:dyDescent="0.2">
      <c r="A3394" t="s">
        <v>11837</v>
      </c>
      <c r="B3394" t="s">
        <v>7488</v>
      </c>
      <c r="C3394" t="s">
        <v>11838</v>
      </c>
      <c r="F3394" s="2">
        <v>525151869</v>
      </c>
      <c r="G3394" s="2">
        <v>133809824</v>
      </c>
      <c r="H3394" t="s">
        <v>255</v>
      </c>
      <c r="I3394" t="s">
        <v>17</v>
      </c>
      <c r="J3394" t="s">
        <v>25</v>
      </c>
    </row>
    <row r="3395" spans="1:11" x14ac:dyDescent="0.2">
      <c r="A3395" t="s">
        <v>11839</v>
      </c>
      <c r="B3395" t="s">
        <v>11840</v>
      </c>
      <c r="F3395" s="2">
        <v>524987597</v>
      </c>
      <c r="G3395" s="2">
        <v>134459654</v>
      </c>
      <c r="H3395" t="s">
        <v>28</v>
      </c>
      <c r="I3395" t="s">
        <v>17</v>
      </c>
      <c r="J3395" t="s">
        <v>25</v>
      </c>
    </row>
    <row r="3396" spans="1:11" x14ac:dyDescent="0.2">
      <c r="A3396" t="s">
        <v>11841</v>
      </c>
      <c r="B3396" t="s">
        <v>11842</v>
      </c>
      <c r="F3396" s="2">
        <v>525302194</v>
      </c>
      <c r="G3396" s="2">
        <v>134930936</v>
      </c>
      <c r="H3396" t="s">
        <v>28</v>
      </c>
      <c r="I3396" t="s">
        <v>17</v>
      </c>
      <c r="J3396" t="s">
        <v>25</v>
      </c>
    </row>
    <row r="3397" spans="1:11" x14ac:dyDescent="0.2">
      <c r="A3397" t="s">
        <v>11843</v>
      </c>
      <c r="F3397" s="2">
        <v>525080318</v>
      </c>
      <c r="G3397" s="2">
        <v>133742639</v>
      </c>
      <c r="H3397" t="s">
        <v>28</v>
      </c>
      <c r="I3397" t="s">
        <v>17</v>
      </c>
      <c r="J3397" t="s">
        <v>25</v>
      </c>
    </row>
    <row r="3398" spans="1:11" x14ac:dyDescent="0.2">
      <c r="A3398" t="s">
        <v>11844</v>
      </c>
      <c r="C3398" t="s">
        <v>11845</v>
      </c>
      <c r="F3398" s="2">
        <v>525335696</v>
      </c>
      <c r="G3398" s="2">
        <v>1362235</v>
      </c>
      <c r="H3398" t="s">
        <v>38</v>
      </c>
      <c r="I3398" t="s">
        <v>17</v>
      </c>
      <c r="J3398" t="s">
        <v>25</v>
      </c>
    </row>
    <row r="3399" spans="1:11" x14ac:dyDescent="0.2">
      <c r="A3399" t="s">
        <v>11846</v>
      </c>
      <c r="B3399" t="s">
        <v>11847</v>
      </c>
      <c r="C3399" t="s">
        <v>11848</v>
      </c>
      <c r="D3399" t="s">
        <v>11849</v>
      </c>
      <c r="E3399" t="s">
        <v>11850</v>
      </c>
      <c r="F3399" s="2">
        <v>525241854</v>
      </c>
      <c r="G3399" s="2">
        <v>133934646</v>
      </c>
      <c r="H3399" t="s">
        <v>51</v>
      </c>
      <c r="I3399" t="s">
        <v>17</v>
      </c>
      <c r="J3399" t="s">
        <v>25</v>
      </c>
      <c r="K3399" t="s">
        <v>11851</v>
      </c>
    </row>
    <row r="3400" spans="1:11" x14ac:dyDescent="0.2">
      <c r="A3400" t="s">
        <v>11852</v>
      </c>
      <c r="F3400" s="2">
        <v>525436434</v>
      </c>
      <c r="G3400" s="2">
        <v>133922152</v>
      </c>
      <c r="H3400" t="s">
        <v>28</v>
      </c>
      <c r="I3400" t="s">
        <v>17</v>
      </c>
      <c r="J3400" t="s">
        <v>25</v>
      </c>
    </row>
    <row r="3401" spans="1:11" x14ac:dyDescent="0.2">
      <c r="A3401" t="s">
        <v>11853</v>
      </c>
      <c r="B3401" t="s">
        <v>11854</v>
      </c>
      <c r="F3401" s="2">
        <v>52547218</v>
      </c>
      <c r="G3401" s="2">
        <v>134252354</v>
      </c>
      <c r="H3401" t="s">
        <v>28</v>
      </c>
      <c r="I3401" t="s">
        <v>17</v>
      </c>
      <c r="J3401" t="s">
        <v>25</v>
      </c>
    </row>
    <row r="3402" spans="1:11" x14ac:dyDescent="0.2">
      <c r="A3402" t="s">
        <v>11855</v>
      </c>
      <c r="B3402" t="s">
        <v>11856</v>
      </c>
      <c r="C3402" t="s">
        <v>11857</v>
      </c>
      <c r="F3402" s="2">
        <v>52541207</v>
      </c>
      <c r="G3402" s="2">
        <v>1338789</v>
      </c>
      <c r="H3402" t="s">
        <v>255</v>
      </c>
      <c r="I3402" t="s">
        <v>17</v>
      </c>
      <c r="J3402" t="s">
        <v>25</v>
      </c>
    </row>
    <row r="3403" spans="1:11" x14ac:dyDescent="0.2">
      <c r="A3403" t="s">
        <v>11858</v>
      </c>
      <c r="E3403" t="s">
        <v>11859</v>
      </c>
      <c r="F3403" s="2">
        <v>526090102</v>
      </c>
      <c r="G3403" s="2">
        <v>133356104</v>
      </c>
      <c r="H3403" t="s">
        <v>34</v>
      </c>
      <c r="I3403" t="s">
        <v>17</v>
      </c>
      <c r="J3403" t="s">
        <v>25</v>
      </c>
    </row>
    <row r="3404" spans="1:11" x14ac:dyDescent="0.2">
      <c r="A3404" t="s">
        <v>11860</v>
      </c>
      <c r="C3404" t="s">
        <v>11861</v>
      </c>
      <c r="F3404" s="2">
        <v>525311155</v>
      </c>
      <c r="G3404" s="2">
        <v>133270804</v>
      </c>
      <c r="H3404" t="s">
        <v>255</v>
      </c>
      <c r="I3404" t="s">
        <v>17</v>
      </c>
      <c r="J3404" t="s">
        <v>25</v>
      </c>
    </row>
    <row r="3405" spans="1:11" x14ac:dyDescent="0.2">
      <c r="A3405" t="s">
        <v>11862</v>
      </c>
      <c r="C3405" t="s">
        <v>11863</v>
      </c>
      <c r="D3405" t="s">
        <v>11864</v>
      </c>
      <c r="E3405">
        <v>493095609690</v>
      </c>
      <c r="F3405" s="2">
        <v>52451354</v>
      </c>
      <c r="G3405" s="2">
        <v>133365229</v>
      </c>
      <c r="H3405" t="s">
        <v>51</v>
      </c>
      <c r="I3405" t="s">
        <v>17</v>
      </c>
      <c r="J3405" t="s">
        <v>25</v>
      </c>
      <c r="K3405" t="s">
        <v>11865</v>
      </c>
    </row>
    <row r="3406" spans="1:11" x14ac:dyDescent="0.2">
      <c r="A3406" t="s">
        <v>11866</v>
      </c>
      <c r="B3406" t="s">
        <v>11867</v>
      </c>
      <c r="C3406" t="s">
        <v>11868</v>
      </c>
      <c r="D3406" t="s">
        <v>11869</v>
      </c>
      <c r="E3406">
        <v>493089064222</v>
      </c>
      <c r="F3406" s="2">
        <v>52505532</v>
      </c>
      <c r="G3406" s="2">
        <v>133675963</v>
      </c>
      <c r="H3406" t="s">
        <v>51</v>
      </c>
      <c r="I3406" t="s">
        <v>17</v>
      </c>
      <c r="J3406" t="s">
        <v>25</v>
      </c>
      <c r="K3406" t="s">
        <v>11870</v>
      </c>
    </row>
    <row r="3407" spans="1:11" x14ac:dyDescent="0.2">
      <c r="A3407" t="s">
        <v>11871</v>
      </c>
      <c r="F3407" s="2">
        <v>525329657</v>
      </c>
      <c r="G3407" s="2">
        <v>13380385</v>
      </c>
      <c r="H3407" t="s">
        <v>28</v>
      </c>
      <c r="I3407" t="s">
        <v>17</v>
      </c>
      <c r="J3407" t="s">
        <v>25</v>
      </c>
    </row>
    <row r="3408" spans="1:11" x14ac:dyDescent="0.2">
      <c r="A3408" t="s">
        <v>11872</v>
      </c>
      <c r="B3408" t="s">
        <v>11873</v>
      </c>
      <c r="C3408" t="s">
        <v>11874</v>
      </c>
      <c r="E3408" t="s">
        <v>11875</v>
      </c>
      <c r="F3408" s="2">
        <v>525071009</v>
      </c>
      <c r="G3408" s="2">
        <v>133019321</v>
      </c>
      <c r="H3408" t="s">
        <v>38</v>
      </c>
      <c r="I3408" t="s">
        <v>17</v>
      </c>
      <c r="J3408" t="s">
        <v>25</v>
      </c>
    </row>
    <row r="3409" spans="1:11" x14ac:dyDescent="0.2">
      <c r="A3409" t="s">
        <v>11876</v>
      </c>
      <c r="B3409" t="s">
        <v>11877</v>
      </c>
      <c r="C3409" t="s">
        <v>11878</v>
      </c>
      <c r="D3409" t="s">
        <v>11879</v>
      </c>
      <c r="E3409" t="s">
        <v>11880</v>
      </c>
      <c r="F3409" s="2">
        <v>525193411</v>
      </c>
      <c r="G3409" s="2">
        <v>134099222</v>
      </c>
      <c r="H3409" t="s">
        <v>24</v>
      </c>
      <c r="I3409" t="s">
        <v>17</v>
      </c>
      <c r="J3409" t="s">
        <v>25</v>
      </c>
    </row>
    <row r="3410" spans="1:11" x14ac:dyDescent="0.2">
      <c r="A3410" t="s">
        <v>11881</v>
      </c>
      <c r="B3410" t="s">
        <v>11882</v>
      </c>
      <c r="C3410" t="s">
        <v>11883</v>
      </c>
      <c r="D3410" t="s">
        <v>11884</v>
      </c>
      <c r="F3410" s="2">
        <v>525133074</v>
      </c>
      <c r="G3410" s="2">
        <v>133909044</v>
      </c>
      <c r="H3410" t="s">
        <v>51</v>
      </c>
      <c r="I3410" t="s">
        <v>17</v>
      </c>
      <c r="J3410" t="s">
        <v>25</v>
      </c>
      <c r="K3410" t="s">
        <v>11885</v>
      </c>
    </row>
    <row r="3411" spans="1:11" x14ac:dyDescent="0.2">
      <c r="A3411" t="s">
        <v>11886</v>
      </c>
      <c r="B3411" t="s">
        <v>11887</v>
      </c>
      <c r="C3411" t="s">
        <v>11888</v>
      </c>
      <c r="F3411" s="2">
        <v>525132708</v>
      </c>
      <c r="G3411" s="2">
        <v>133909518</v>
      </c>
      <c r="H3411" t="s">
        <v>255</v>
      </c>
      <c r="I3411" t="s">
        <v>17</v>
      </c>
      <c r="J3411" t="s">
        <v>25</v>
      </c>
    </row>
    <row r="3412" spans="1:11" x14ac:dyDescent="0.2">
      <c r="A3412" t="s">
        <v>11889</v>
      </c>
      <c r="F3412" s="2">
        <v>52550643</v>
      </c>
      <c r="G3412" s="2">
        <v>134114917</v>
      </c>
      <c r="H3412" t="s">
        <v>28</v>
      </c>
      <c r="I3412" t="s">
        <v>17</v>
      </c>
      <c r="J3412" t="s">
        <v>25</v>
      </c>
    </row>
    <row r="3413" spans="1:11" x14ac:dyDescent="0.2">
      <c r="A3413" t="s">
        <v>11890</v>
      </c>
      <c r="F3413" s="2">
        <v>525407365</v>
      </c>
      <c r="G3413" s="2">
        <v>133937605</v>
      </c>
      <c r="H3413" t="s">
        <v>28</v>
      </c>
      <c r="I3413" t="s">
        <v>17</v>
      </c>
      <c r="J3413" t="s">
        <v>25</v>
      </c>
    </row>
    <row r="3414" spans="1:11" x14ac:dyDescent="0.2">
      <c r="A3414" t="s">
        <v>11891</v>
      </c>
      <c r="B3414" t="s">
        <v>11892</v>
      </c>
      <c r="E3414" t="s">
        <v>11893</v>
      </c>
      <c r="F3414" s="2">
        <v>525229774</v>
      </c>
      <c r="G3414" s="2">
        <v>134006563</v>
      </c>
      <c r="H3414" t="s">
        <v>34</v>
      </c>
      <c r="I3414" t="s">
        <v>17</v>
      </c>
      <c r="J3414" t="s">
        <v>25</v>
      </c>
    </row>
    <row r="3415" spans="1:11" x14ac:dyDescent="0.2">
      <c r="A3415" t="s">
        <v>11894</v>
      </c>
      <c r="B3415" t="s">
        <v>11895</v>
      </c>
      <c r="C3415" t="s">
        <v>11896</v>
      </c>
      <c r="D3415" t="s">
        <v>11897</v>
      </c>
      <c r="E3415" t="s">
        <v>11898</v>
      </c>
      <c r="F3415" s="2">
        <v>525015759</v>
      </c>
      <c r="G3415" s="2">
        <v>133253455</v>
      </c>
      <c r="H3415" t="s">
        <v>51</v>
      </c>
      <c r="I3415" t="s">
        <v>17</v>
      </c>
      <c r="J3415" t="s">
        <v>25</v>
      </c>
      <c r="K3415" t="s">
        <v>11899</v>
      </c>
    </row>
    <row r="3416" spans="1:11" x14ac:dyDescent="0.2">
      <c r="A3416" t="s">
        <v>11900</v>
      </c>
      <c r="F3416" s="2">
        <v>525516058</v>
      </c>
      <c r="G3416" s="2">
        <v>133824009</v>
      </c>
      <c r="H3416" t="s">
        <v>28</v>
      </c>
      <c r="I3416" t="s">
        <v>17</v>
      </c>
      <c r="J3416" t="s">
        <v>25</v>
      </c>
    </row>
    <row r="3417" spans="1:11" x14ac:dyDescent="0.2">
      <c r="A3417" t="s">
        <v>11901</v>
      </c>
      <c r="F3417" s="2">
        <v>525895924</v>
      </c>
      <c r="G3417" s="2">
        <v>132818099</v>
      </c>
      <c r="H3417" t="s">
        <v>28</v>
      </c>
      <c r="I3417" t="s">
        <v>17</v>
      </c>
      <c r="J3417" t="s">
        <v>25</v>
      </c>
    </row>
    <row r="3418" spans="1:11" x14ac:dyDescent="0.2">
      <c r="A3418" t="s">
        <v>11902</v>
      </c>
      <c r="B3418" t="s">
        <v>11903</v>
      </c>
      <c r="C3418" t="s">
        <v>11904</v>
      </c>
      <c r="E3418" t="s">
        <v>11905</v>
      </c>
      <c r="F3418" s="2">
        <v>52488939</v>
      </c>
      <c r="G3418" s="2">
        <v>134107109</v>
      </c>
      <c r="H3418" t="s">
        <v>277</v>
      </c>
      <c r="I3418" t="s">
        <v>17</v>
      </c>
      <c r="J3418" t="s">
        <v>25</v>
      </c>
      <c r="K3418" t="s">
        <v>11906</v>
      </c>
    </row>
    <row r="3419" spans="1:11" x14ac:dyDescent="0.2">
      <c r="A3419" t="s">
        <v>11907</v>
      </c>
      <c r="B3419" t="s">
        <v>11908</v>
      </c>
      <c r="F3419" s="2">
        <v>524999662</v>
      </c>
      <c r="G3419" s="2">
        <v>134444279</v>
      </c>
      <c r="H3419" t="s">
        <v>28</v>
      </c>
      <c r="I3419" t="s">
        <v>17</v>
      </c>
      <c r="J3419" t="s">
        <v>25</v>
      </c>
    </row>
    <row r="3420" spans="1:11" x14ac:dyDescent="0.2">
      <c r="A3420" t="s">
        <v>11909</v>
      </c>
      <c r="B3420" t="s">
        <v>11910</v>
      </c>
      <c r="F3420" s="2">
        <v>525269637</v>
      </c>
      <c r="G3420" s="2">
        <v>133698147</v>
      </c>
      <c r="H3420" t="s">
        <v>28</v>
      </c>
      <c r="I3420" t="s">
        <v>17</v>
      </c>
      <c r="J3420" t="s">
        <v>25</v>
      </c>
    </row>
    <row r="3421" spans="1:11" x14ac:dyDescent="0.2">
      <c r="A3421" t="s">
        <v>11911</v>
      </c>
      <c r="B3421" t="s">
        <v>11912</v>
      </c>
      <c r="C3421" t="s">
        <v>11913</v>
      </c>
      <c r="D3421" t="s">
        <v>11914</v>
      </c>
      <c r="E3421">
        <v>4930201805160</v>
      </c>
      <c r="F3421" s="2">
        <v>525069711</v>
      </c>
      <c r="G3421" s="2">
        <v>132974239</v>
      </c>
      <c r="H3421" t="s">
        <v>51</v>
      </c>
      <c r="I3421" t="s">
        <v>17</v>
      </c>
      <c r="J3421" t="s">
        <v>25</v>
      </c>
      <c r="K3421" t="s">
        <v>11915</v>
      </c>
    </row>
    <row r="3422" spans="1:11" x14ac:dyDescent="0.2">
      <c r="A3422" t="s">
        <v>11916</v>
      </c>
      <c r="B3422" t="s">
        <v>11917</v>
      </c>
      <c r="F3422" s="2">
        <v>525344405</v>
      </c>
      <c r="G3422" s="2">
        <v>133979203</v>
      </c>
      <c r="H3422" t="s">
        <v>28</v>
      </c>
      <c r="I3422" t="s">
        <v>17</v>
      </c>
      <c r="J3422" t="s">
        <v>25</v>
      </c>
    </row>
    <row r="3423" spans="1:11" x14ac:dyDescent="0.2">
      <c r="A3423" t="s">
        <v>11918</v>
      </c>
      <c r="B3423" t="s">
        <v>11919</v>
      </c>
      <c r="C3423" t="s">
        <v>11920</v>
      </c>
      <c r="F3423" s="2">
        <v>525080296</v>
      </c>
      <c r="G3423" s="2">
        <v>133263333</v>
      </c>
      <c r="H3423" t="s">
        <v>255</v>
      </c>
      <c r="I3423" t="s">
        <v>17</v>
      </c>
      <c r="J3423" t="s">
        <v>25</v>
      </c>
    </row>
    <row r="3424" spans="1:11" x14ac:dyDescent="0.2">
      <c r="A3424" t="s">
        <v>11921</v>
      </c>
      <c r="B3424" t="s">
        <v>11922</v>
      </c>
      <c r="C3424" t="s">
        <v>11923</v>
      </c>
      <c r="E3424" t="s">
        <v>11924</v>
      </c>
      <c r="F3424" s="2">
        <v>524541615</v>
      </c>
      <c r="G3424" s="2">
        <v>13317227</v>
      </c>
      <c r="H3424" t="s">
        <v>38</v>
      </c>
      <c r="I3424" t="s">
        <v>17</v>
      </c>
      <c r="J3424" t="s">
        <v>25</v>
      </c>
    </row>
    <row r="3425" spans="1:11" x14ac:dyDescent="0.2">
      <c r="A3425" t="s">
        <v>11925</v>
      </c>
      <c r="B3425">
        <v>13156</v>
      </c>
      <c r="F3425" s="2">
        <v>525809352</v>
      </c>
      <c r="G3425" s="2">
        <v>134029315</v>
      </c>
      <c r="H3425" t="s">
        <v>28</v>
      </c>
      <c r="I3425" t="s">
        <v>17</v>
      </c>
      <c r="J3425" t="s">
        <v>25</v>
      </c>
    </row>
    <row r="3426" spans="1:11" x14ac:dyDescent="0.2">
      <c r="A3426" t="s">
        <v>11926</v>
      </c>
      <c r="B3426" t="s">
        <v>11927</v>
      </c>
      <c r="C3426" t="s">
        <v>11928</v>
      </c>
      <c r="D3426" t="s">
        <v>11929</v>
      </c>
      <c r="E3426" t="s">
        <v>11930</v>
      </c>
      <c r="F3426" s="2">
        <v>525123137</v>
      </c>
      <c r="G3426" s="2">
        <v>132927081</v>
      </c>
      <c r="H3426" t="s">
        <v>51</v>
      </c>
      <c r="I3426" t="s">
        <v>17</v>
      </c>
      <c r="J3426" t="s">
        <v>25</v>
      </c>
      <c r="K3426" t="s">
        <v>11931</v>
      </c>
    </row>
    <row r="3427" spans="1:11" x14ac:dyDescent="0.2">
      <c r="A3427" t="s">
        <v>11932</v>
      </c>
      <c r="C3427" t="s">
        <v>11933</v>
      </c>
      <c r="D3427" t="s">
        <v>11934</v>
      </c>
      <c r="F3427" s="2">
        <v>524986612</v>
      </c>
      <c r="G3427" s="2">
        <v>134420259</v>
      </c>
      <c r="H3427" t="s">
        <v>51</v>
      </c>
      <c r="I3427" t="s">
        <v>17</v>
      </c>
      <c r="J3427" t="s">
        <v>25</v>
      </c>
      <c r="K3427" t="s">
        <v>11935</v>
      </c>
    </row>
    <row r="3428" spans="1:11" x14ac:dyDescent="0.2">
      <c r="A3428" t="s">
        <v>11936</v>
      </c>
      <c r="C3428" t="s">
        <v>11937</v>
      </c>
      <c r="F3428" s="2">
        <v>52550774</v>
      </c>
      <c r="G3428" s="2">
        <v>133916859</v>
      </c>
      <c r="H3428" t="s">
        <v>277</v>
      </c>
      <c r="I3428" t="s">
        <v>17</v>
      </c>
      <c r="J3428" t="s">
        <v>25</v>
      </c>
      <c r="K3428" t="s">
        <v>11938</v>
      </c>
    </row>
    <row r="3429" spans="1:11" x14ac:dyDescent="0.2">
      <c r="A3429" t="s">
        <v>11939</v>
      </c>
      <c r="B3429" t="s">
        <v>11940</v>
      </c>
      <c r="C3429" t="s">
        <v>11941</v>
      </c>
      <c r="D3429" t="s">
        <v>11942</v>
      </c>
      <c r="E3429" t="s">
        <v>11943</v>
      </c>
      <c r="F3429" s="2">
        <v>525062812</v>
      </c>
      <c r="G3429" s="2">
        <v>133172721</v>
      </c>
      <c r="H3429" t="s">
        <v>51</v>
      </c>
      <c r="I3429" t="s">
        <v>17</v>
      </c>
      <c r="J3429" t="s">
        <v>25</v>
      </c>
      <c r="K3429" t="s">
        <v>11944</v>
      </c>
    </row>
    <row r="3430" spans="1:11" x14ac:dyDescent="0.2">
      <c r="A3430" t="s">
        <v>11945</v>
      </c>
      <c r="F3430" s="2">
        <v>525178944</v>
      </c>
      <c r="G3430" s="2">
        <v>134019325</v>
      </c>
      <c r="H3430" t="s">
        <v>28</v>
      </c>
      <c r="I3430" t="s">
        <v>17</v>
      </c>
      <c r="J3430" t="s">
        <v>25</v>
      </c>
    </row>
    <row r="3431" spans="1:11" x14ac:dyDescent="0.2">
      <c r="A3431" t="s">
        <v>11946</v>
      </c>
      <c r="B3431" t="s">
        <v>11229</v>
      </c>
      <c r="C3431" t="s">
        <v>11947</v>
      </c>
      <c r="D3431" t="s">
        <v>11948</v>
      </c>
      <c r="F3431" s="2">
        <v>525177898</v>
      </c>
      <c r="G3431" s="2">
        <v>134024502</v>
      </c>
      <c r="H3431" t="s">
        <v>16</v>
      </c>
      <c r="I3431" t="s">
        <v>17</v>
      </c>
      <c r="J3431" t="s">
        <v>25</v>
      </c>
    </row>
    <row r="3432" spans="1:11" x14ac:dyDescent="0.2">
      <c r="A3432" t="s">
        <v>11949</v>
      </c>
      <c r="F3432" s="2">
        <v>524595024</v>
      </c>
      <c r="G3432" s="2">
        <v>136222882</v>
      </c>
      <c r="H3432" t="s">
        <v>28</v>
      </c>
      <c r="I3432" t="s">
        <v>17</v>
      </c>
      <c r="J3432" t="s">
        <v>25</v>
      </c>
    </row>
    <row r="3433" spans="1:11" x14ac:dyDescent="0.2">
      <c r="A3433" t="s">
        <v>11950</v>
      </c>
      <c r="C3433" t="s">
        <v>11951</v>
      </c>
      <c r="D3433" t="s">
        <v>11952</v>
      </c>
      <c r="E3433" t="s">
        <v>11953</v>
      </c>
      <c r="F3433" s="2">
        <v>524961043</v>
      </c>
      <c r="G3433" s="2">
        <v>133591888</v>
      </c>
      <c r="H3433" t="s">
        <v>24</v>
      </c>
      <c r="I3433" t="s">
        <v>17</v>
      </c>
      <c r="J3433" t="s">
        <v>25</v>
      </c>
    </row>
    <row r="3434" spans="1:11" x14ac:dyDescent="0.2">
      <c r="A3434" t="s">
        <v>11954</v>
      </c>
      <c r="F3434" s="2">
        <v>525991438</v>
      </c>
      <c r="G3434" s="2">
        <v>133551227</v>
      </c>
      <c r="H3434" t="s">
        <v>28</v>
      </c>
      <c r="I3434" t="s">
        <v>17</v>
      </c>
      <c r="J3434" t="s">
        <v>25</v>
      </c>
    </row>
    <row r="3435" spans="1:11" x14ac:dyDescent="0.2">
      <c r="A3435" t="s">
        <v>11955</v>
      </c>
      <c r="B3435" t="s">
        <v>11956</v>
      </c>
      <c r="F3435" s="2">
        <v>524894365</v>
      </c>
      <c r="G3435" s="2">
        <v>133905895</v>
      </c>
      <c r="H3435" t="s">
        <v>28</v>
      </c>
      <c r="I3435" t="s">
        <v>17</v>
      </c>
      <c r="J3435" t="s">
        <v>25</v>
      </c>
    </row>
    <row r="3436" spans="1:11" x14ac:dyDescent="0.2">
      <c r="A3436" t="s">
        <v>11957</v>
      </c>
      <c r="B3436" t="s">
        <v>11958</v>
      </c>
      <c r="E3436" t="s">
        <v>11959</v>
      </c>
      <c r="F3436" s="2">
        <v>526186467</v>
      </c>
      <c r="G3436" s="2">
        <v>132213307</v>
      </c>
      <c r="H3436" t="s">
        <v>34</v>
      </c>
      <c r="I3436" t="s">
        <v>17</v>
      </c>
      <c r="J3436" t="s">
        <v>25</v>
      </c>
    </row>
    <row r="3437" spans="1:11" x14ac:dyDescent="0.2">
      <c r="A3437" t="s">
        <v>11960</v>
      </c>
      <c r="B3437" t="s">
        <v>11961</v>
      </c>
      <c r="F3437" s="2">
        <v>525315437</v>
      </c>
      <c r="G3437" s="2">
        <v>13366825</v>
      </c>
      <c r="H3437" t="s">
        <v>28</v>
      </c>
      <c r="I3437" t="s">
        <v>17</v>
      </c>
      <c r="J3437" t="s">
        <v>25</v>
      </c>
    </row>
    <row r="3438" spans="1:11" x14ac:dyDescent="0.2">
      <c r="A3438" t="s">
        <v>11962</v>
      </c>
      <c r="C3438" t="s">
        <v>11963</v>
      </c>
      <c r="F3438" s="2">
        <v>524354707</v>
      </c>
      <c r="G3438" s="2">
        <v>135233535</v>
      </c>
      <c r="H3438" t="s">
        <v>255</v>
      </c>
      <c r="I3438" t="s">
        <v>17</v>
      </c>
      <c r="J3438" t="s">
        <v>25</v>
      </c>
    </row>
    <row r="3439" spans="1:11" x14ac:dyDescent="0.2">
      <c r="A3439" t="s">
        <v>11964</v>
      </c>
      <c r="C3439" t="s">
        <v>11965</v>
      </c>
      <c r="D3439" t="s">
        <v>11966</v>
      </c>
      <c r="E3439" t="s">
        <v>11967</v>
      </c>
      <c r="F3439" s="2">
        <v>52427526</v>
      </c>
      <c r="G3439" s="2">
        <v>134694299</v>
      </c>
      <c r="H3439" t="s">
        <v>51</v>
      </c>
      <c r="I3439" t="s">
        <v>17</v>
      </c>
      <c r="J3439" t="s">
        <v>25</v>
      </c>
      <c r="K3439" t="s">
        <v>11968</v>
      </c>
    </row>
    <row r="3440" spans="1:11" x14ac:dyDescent="0.2">
      <c r="A3440" t="s">
        <v>11969</v>
      </c>
      <c r="B3440" t="s">
        <v>11970</v>
      </c>
      <c r="F3440" s="2">
        <v>524921544</v>
      </c>
      <c r="G3440" s="2">
        <v>133517393</v>
      </c>
      <c r="H3440" t="s">
        <v>28</v>
      </c>
      <c r="I3440" t="s">
        <v>17</v>
      </c>
      <c r="J3440" t="s">
        <v>25</v>
      </c>
    </row>
    <row r="3441" spans="1:11" x14ac:dyDescent="0.2">
      <c r="A3441" t="s">
        <v>11971</v>
      </c>
      <c r="D3441" t="s">
        <v>11972</v>
      </c>
      <c r="E3441">
        <v>4930591675</v>
      </c>
      <c r="F3441" s="2">
        <v>524978736</v>
      </c>
      <c r="G3441" s="2">
        <v>133479266</v>
      </c>
      <c r="H3441" t="s">
        <v>1107</v>
      </c>
      <c r="I3441" t="s">
        <v>17</v>
      </c>
      <c r="J3441" t="s">
        <v>25</v>
      </c>
    </row>
    <row r="3442" spans="1:11" x14ac:dyDescent="0.2">
      <c r="A3442" t="s">
        <v>11973</v>
      </c>
      <c r="B3442" t="s">
        <v>11974</v>
      </c>
      <c r="F3442" s="2">
        <v>525317209</v>
      </c>
      <c r="G3442" s="2">
        <v>134283487</v>
      </c>
      <c r="H3442" t="s">
        <v>28</v>
      </c>
      <c r="I3442" t="s">
        <v>17</v>
      </c>
      <c r="J3442" t="s">
        <v>25</v>
      </c>
    </row>
    <row r="3443" spans="1:11" x14ac:dyDescent="0.2">
      <c r="A3443" t="s">
        <v>11975</v>
      </c>
      <c r="B3443" t="s">
        <v>11976</v>
      </c>
      <c r="C3443" t="s">
        <v>11977</v>
      </c>
      <c r="F3443" s="2">
        <v>525482017</v>
      </c>
      <c r="G3443" s="2">
        <v>13355466</v>
      </c>
      <c r="H3443" t="s">
        <v>277</v>
      </c>
      <c r="I3443" t="s">
        <v>17</v>
      </c>
      <c r="J3443" t="s">
        <v>25</v>
      </c>
      <c r="K3443" t="s">
        <v>11978</v>
      </c>
    </row>
    <row r="3444" spans="1:11" x14ac:dyDescent="0.2">
      <c r="A3444" t="s">
        <v>11979</v>
      </c>
      <c r="B3444" t="s">
        <v>11980</v>
      </c>
      <c r="F3444" s="2">
        <v>524248717</v>
      </c>
      <c r="G3444" s="2">
        <v>135276888</v>
      </c>
      <c r="H3444" t="s">
        <v>28</v>
      </c>
      <c r="I3444" t="s">
        <v>17</v>
      </c>
      <c r="J3444" t="s">
        <v>25</v>
      </c>
    </row>
    <row r="3445" spans="1:11" x14ac:dyDescent="0.2">
      <c r="A3445" t="s">
        <v>11981</v>
      </c>
      <c r="F3445" s="2">
        <v>525324845</v>
      </c>
      <c r="G3445" s="2">
        <v>133879475</v>
      </c>
      <c r="H3445" t="s">
        <v>28</v>
      </c>
      <c r="I3445" t="s">
        <v>17</v>
      </c>
      <c r="J3445" t="s">
        <v>25</v>
      </c>
    </row>
    <row r="3446" spans="1:11" x14ac:dyDescent="0.2">
      <c r="A3446" t="s">
        <v>11982</v>
      </c>
      <c r="F3446" s="2">
        <v>525327078</v>
      </c>
      <c r="G3446" s="2">
        <v>133876718</v>
      </c>
      <c r="H3446" t="s">
        <v>28</v>
      </c>
      <c r="I3446" t="s">
        <v>17</v>
      </c>
      <c r="J3446" t="s">
        <v>25</v>
      </c>
    </row>
    <row r="3447" spans="1:11" x14ac:dyDescent="0.2">
      <c r="A3447" t="s">
        <v>11983</v>
      </c>
      <c r="B3447" t="s">
        <v>11984</v>
      </c>
      <c r="F3447" s="2">
        <v>525377367</v>
      </c>
      <c r="G3447" s="2">
        <v>134229607</v>
      </c>
      <c r="H3447" t="s">
        <v>28</v>
      </c>
      <c r="I3447" t="s">
        <v>17</v>
      </c>
      <c r="J3447" t="s">
        <v>25</v>
      </c>
    </row>
    <row r="3448" spans="1:11" x14ac:dyDescent="0.2">
      <c r="A3448" t="s">
        <v>11985</v>
      </c>
      <c r="B3448" t="s">
        <v>11986</v>
      </c>
      <c r="D3448" t="s">
        <v>11987</v>
      </c>
      <c r="E3448" t="s">
        <v>11988</v>
      </c>
      <c r="F3448" s="2">
        <v>524345583</v>
      </c>
      <c r="G3448" s="2">
        <v>132497605</v>
      </c>
      <c r="H3448" t="s">
        <v>3120</v>
      </c>
      <c r="I3448" t="s">
        <v>17</v>
      </c>
      <c r="J3448" t="s">
        <v>25</v>
      </c>
    </row>
    <row r="3449" spans="1:11" x14ac:dyDescent="0.2">
      <c r="A3449" t="s">
        <v>11989</v>
      </c>
      <c r="C3449" t="s">
        <v>11990</v>
      </c>
      <c r="E3449">
        <v>493091577039</v>
      </c>
      <c r="F3449" s="2">
        <v>525238069</v>
      </c>
      <c r="G3449" s="2">
        <v>13300711</v>
      </c>
      <c r="H3449" t="s">
        <v>38</v>
      </c>
      <c r="I3449" t="s">
        <v>17</v>
      </c>
      <c r="J3449" t="s">
        <v>25</v>
      </c>
    </row>
    <row r="3450" spans="1:11" x14ac:dyDescent="0.2">
      <c r="A3450" t="s">
        <v>11991</v>
      </c>
      <c r="F3450" s="2">
        <v>524312992</v>
      </c>
      <c r="G3450" s="2">
        <v>134612581</v>
      </c>
      <c r="H3450" t="s">
        <v>28</v>
      </c>
      <c r="I3450" t="s">
        <v>17</v>
      </c>
      <c r="J3450" t="s">
        <v>25</v>
      </c>
    </row>
    <row r="3451" spans="1:11" x14ac:dyDescent="0.2">
      <c r="A3451" t="s">
        <v>11992</v>
      </c>
      <c r="F3451" s="2">
        <v>524259251</v>
      </c>
      <c r="G3451" s="2">
        <v>134835387</v>
      </c>
      <c r="H3451" t="s">
        <v>28</v>
      </c>
      <c r="I3451" t="s">
        <v>17</v>
      </c>
      <c r="J3451" t="s">
        <v>25</v>
      </c>
    </row>
    <row r="3452" spans="1:11" x14ac:dyDescent="0.2">
      <c r="A3452" t="s">
        <v>11993</v>
      </c>
      <c r="B3452" t="s">
        <v>11994</v>
      </c>
      <c r="F3452" s="2">
        <v>524900388</v>
      </c>
      <c r="G3452" s="2">
        <v>133830672</v>
      </c>
      <c r="H3452" t="s">
        <v>28</v>
      </c>
      <c r="I3452" t="s">
        <v>17</v>
      </c>
      <c r="J3452" t="s">
        <v>25</v>
      </c>
    </row>
    <row r="3453" spans="1:11" x14ac:dyDescent="0.2">
      <c r="A3453" t="s">
        <v>11995</v>
      </c>
      <c r="F3453" s="2">
        <v>524405154</v>
      </c>
      <c r="G3453" s="2">
        <v>133879254</v>
      </c>
      <c r="H3453" t="s">
        <v>28</v>
      </c>
      <c r="I3453" t="s">
        <v>17</v>
      </c>
      <c r="J3453" t="s">
        <v>25</v>
      </c>
    </row>
    <row r="3454" spans="1:11" x14ac:dyDescent="0.2">
      <c r="A3454" t="s">
        <v>11996</v>
      </c>
      <c r="F3454" s="2">
        <v>52487944</v>
      </c>
      <c r="G3454" s="2">
        <v>134255738</v>
      </c>
      <c r="H3454" t="s">
        <v>28</v>
      </c>
      <c r="I3454" t="s">
        <v>17</v>
      </c>
      <c r="J3454" t="s">
        <v>25</v>
      </c>
    </row>
    <row r="3455" spans="1:11" x14ac:dyDescent="0.2">
      <c r="A3455" t="s">
        <v>11997</v>
      </c>
      <c r="B3455" t="s">
        <v>11998</v>
      </c>
      <c r="C3455" t="s">
        <v>11999</v>
      </c>
      <c r="E3455" t="s">
        <v>12000</v>
      </c>
      <c r="F3455" s="2">
        <v>525338967</v>
      </c>
      <c r="G3455" s="2">
        <v>133673568</v>
      </c>
      <c r="H3455" t="s">
        <v>277</v>
      </c>
      <c r="I3455" t="s">
        <v>17</v>
      </c>
      <c r="J3455" t="s">
        <v>25</v>
      </c>
      <c r="K3455" t="s">
        <v>12001</v>
      </c>
    </row>
    <row r="3456" spans="1:11" x14ac:dyDescent="0.2">
      <c r="A3456" t="s">
        <v>12002</v>
      </c>
      <c r="B3456" t="s">
        <v>12003</v>
      </c>
      <c r="C3456" t="s">
        <v>12004</v>
      </c>
      <c r="E3456" t="s">
        <v>12005</v>
      </c>
      <c r="F3456" s="2">
        <v>524657386</v>
      </c>
      <c r="G3456" s="2">
        <v>134330646</v>
      </c>
      <c r="H3456" t="s">
        <v>38</v>
      </c>
      <c r="I3456" t="s">
        <v>17</v>
      </c>
      <c r="J3456" t="s">
        <v>25</v>
      </c>
    </row>
    <row r="3457" spans="1:12" x14ac:dyDescent="0.2">
      <c r="A3457" t="s">
        <v>12006</v>
      </c>
      <c r="B3457" t="s">
        <v>12007</v>
      </c>
      <c r="C3457" t="s">
        <v>12008</v>
      </c>
      <c r="D3457" t="s">
        <v>12009</v>
      </c>
      <c r="E3457" t="s">
        <v>12010</v>
      </c>
      <c r="F3457" t="s">
        <v>12011</v>
      </c>
      <c r="G3457" s="2">
        <v>524134415</v>
      </c>
      <c r="H3457" s="2">
        <v>136608447</v>
      </c>
      <c r="I3457" t="s">
        <v>51</v>
      </c>
      <c r="J3457" t="s">
        <v>17</v>
      </c>
      <c r="K3457" t="s">
        <v>25</v>
      </c>
      <c r="L3457" t="s">
        <v>12012</v>
      </c>
    </row>
    <row r="3458" spans="1:12" x14ac:dyDescent="0.2">
      <c r="A3458" t="s">
        <v>12013</v>
      </c>
      <c r="B3458" t="s">
        <v>12014</v>
      </c>
      <c r="F3458" s="2">
        <v>524810987</v>
      </c>
      <c r="G3458" s="2">
        <v>134285126</v>
      </c>
      <c r="H3458" t="s">
        <v>28</v>
      </c>
      <c r="I3458" t="s">
        <v>17</v>
      </c>
      <c r="J3458" t="s">
        <v>25</v>
      </c>
    </row>
    <row r="3459" spans="1:12" x14ac:dyDescent="0.2">
      <c r="A3459" t="s">
        <v>12015</v>
      </c>
      <c r="B3459" t="s">
        <v>12016</v>
      </c>
      <c r="C3459" t="s">
        <v>12017</v>
      </c>
      <c r="E3459" t="s">
        <v>12018</v>
      </c>
      <c r="F3459" s="2">
        <v>525435224</v>
      </c>
      <c r="G3459" s="2">
        <v>135611387</v>
      </c>
      <c r="H3459" t="s">
        <v>38</v>
      </c>
      <c r="I3459" t="s">
        <v>17</v>
      </c>
      <c r="J3459" t="s">
        <v>25</v>
      </c>
    </row>
    <row r="3460" spans="1:12" x14ac:dyDescent="0.2">
      <c r="A3460" t="s">
        <v>12019</v>
      </c>
      <c r="B3460" t="s">
        <v>12020</v>
      </c>
      <c r="E3460" t="s">
        <v>12021</v>
      </c>
      <c r="F3460" s="2">
        <v>525284531</v>
      </c>
      <c r="G3460" s="2">
        <v>134900053</v>
      </c>
      <c r="H3460" t="s">
        <v>34</v>
      </c>
      <c r="I3460" t="s">
        <v>17</v>
      </c>
      <c r="J3460" t="s">
        <v>25</v>
      </c>
    </row>
    <row r="3461" spans="1:12" x14ac:dyDescent="0.2">
      <c r="A3461" t="s">
        <v>12022</v>
      </c>
      <c r="B3461" t="s">
        <v>12023</v>
      </c>
      <c r="C3461" t="s">
        <v>12024</v>
      </c>
      <c r="D3461" t="s">
        <v>12025</v>
      </c>
      <c r="E3461">
        <v>493042143639</v>
      </c>
      <c r="F3461" s="2">
        <v>525576876</v>
      </c>
      <c r="G3461" s="2">
        <v>132253416</v>
      </c>
      <c r="H3461" t="s">
        <v>24</v>
      </c>
      <c r="I3461" t="s">
        <v>17</v>
      </c>
      <c r="J3461" t="s">
        <v>25</v>
      </c>
    </row>
    <row r="3462" spans="1:12" x14ac:dyDescent="0.2">
      <c r="A3462" t="s">
        <v>12026</v>
      </c>
      <c r="B3462" t="s">
        <v>12027</v>
      </c>
      <c r="C3462" t="s">
        <v>12028</v>
      </c>
      <c r="F3462" s="2">
        <v>525092694</v>
      </c>
      <c r="G3462" s="2">
        <v>134656482</v>
      </c>
      <c r="H3462" t="s">
        <v>3120</v>
      </c>
      <c r="I3462" t="s">
        <v>17</v>
      </c>
      <c r="J3462" t="s">
        <v>25</v>
      </c>
      <c r="K3462" t="s">
        <v>12029</v>
      </c>
    </row>
    <row r="3463" spans="1:12" x14ac:dyDescent="0.2">
      <c r="A3463" t="s">
        <v>12030</v>
      </c>
      <c r="F3463" s="2">
        <v>525527844</v>
      </c>
      <c r="G3463" s="2">
        <v>133789795</v>
      </c>
      <c r="H3463" t="s">
        <v>28</v>
      </c>
      <c r="I3463" t="s">
        <v>17</v>
      </c>
      <c r="J3463" t="s">
        <v>25</v>
      </c>
    </row>
    <row r="3464" spans="1:12" x14ac:dyDescent="0.2">
      <c r="A3464" t="s">
        <v>12031</v>
      </c>
      <c r="B3464" t="s">
        <v>12032</v>
      </c>
      <c r="C3464" t="s">
        <v>12033</v>
      </c>
      <c r="E3464" t="s">
        <v>12034</v>
      </c>
      <c r="F3464" s="2">
        <v>525084229</v>
      </c>
      <c r="G3464" s="2">
        <v>134598618</v>
      </c>
      <c r="H3464" t="s">
        <v>38</v>
      </c>
      <c r="I3464" t="s">
        <v>17</v>
      </c>
      <c r="J3464" t="s">
        <v>25</v>
      </c>
    </row>
    <row r="3465" spans="1:12" x14ac:dyDescent="0.2">
      <c r="A3465" t="s">
        <v>12035</v>
      </c>
      <c r="B3465" t="s">
        <v>12036</v>
      </c>
      <c r="C3465" t="s">
        <v>12037</v>
      </c>
      <c r="F3465" s="2">
        <v>525610502</v>
      </c>
      <c r="G3465" s="2">
        <v>135101995</v>
      </c>
      <c r="H3465" t="s">
        <v>255</v>
      </c>
      <c r="I3465" t="s">
        <v>17</v>
      </c>
      <c r="J3465" t="s">
        <v>25</v>
      </c>
    </row>
    <row r="3466" spans="1:12" x14ac:dyDescent="0.2">
      <c r="A3466" t="s">
        <v>12038</v>
      </c>
      <c r="B3466" t="s">
        <v>12039</v>
      </c>
      <c r="C3466" t="s">
        <v>12040</v>
      </c>
      <c r="F3466" s="2">
        <v>525793759</v>
      </c>
      <c r="G3466" s="2">
        <v>133638637</v>
      </c>
      <c r="H3466" t="s">
        <v>3120</v>
      </c>
      <c r="I3466" t="s">
        <v>17</v>
      </c>
      <c r="J3466" t="s">
        <v>25</v>
      </c>
      <c r="K3466" t="s">
        <v>12041</v>
      </c>
    </row>
    <row r="3467" spans="1:12" x14ac:dyDescent="0.2">
      <c r="A3467" t="s">
        <v>12042</v>
      </c>
      <c r="B3467" t="s">
        <v>12043</v>
      </c>
      <c r="E3467" t="s">
        <v>12044</v>
      </c>
      <c r="F3467" s="2">
        <v>525324972</v>
      </c>
      <c r="G3467" s="2">
        <v>134238441</v>
      </c>
      <c r="H3467" t="s">
        <v>34</v>
      </c>
      <c r="I3467" t="s">
        <v>17</v>
      </c>
      <c r="J3467" t="s">
        <v>25</v>
      </c>
    </row>
    <row r="3468" spans="1:12" x14ac:dyDescent="0.2">
      <c r="A3468" t="s">
        <v>12045</v>
      </c>
      <c r="B3468" t="s">
        <v>12046</v>
      </c>
      <c r="C3468" t="s">
        <v>12047</v>
      </c>
      <c r="E3468">
        <v>4917699520844</v>
      </c>
      <c r="F3468" s="2">
        <v>52503866</v>
      </c>
      <c r="G3468" s="2">
        <v>134188304</v>
      </c>
      <c r="H3468" t="s">
        <v>38</v>
      </c>
      <c r="I3468" t="s">
        <v>17</v>
      </c>
      <c r="J3468" t="s">
        <v>25</v>
      </c>
    </row>
    <row r="3469" spans="1:12" x14ac:dyDescent="0.2">
      <c r="A3469" t="s">
        <v>12048</v>
      </c>
      <c r="B3469" t="s">
        <v>12049</v>
      </c>
      <c r="F3469" s="2">
        <v>524852212</v>
      </c>
      <c r="G3469" s="2">
        <v>134320962</v>
      </c>
      <c r="H3469" t="s">
        <v>28</v>
      </c>
      <c r="I3469" t="s">
        <v>17</v>
      </c>
      <c r="J3469" t="s">
        <v>25</v>
      </c>
    </row>
    <row r="3470" spans="1:12" x14ac:dyDescent="0.2">
      <c r="A3470" t="s">
        <v>12050</v>
      </c>
      <c r="F3470" s="2">
        <v>525007173</v>
      </c>
      <c r="G3470" s="2">
        <v>133337726</v>
      </c>
      <c r="H3470" t="s">
        <v>28</v>
      </c>
      <c r="I3470" t="s">
        <v>17</v>
      </c>
      <c r="J3470" t="s">
        <v>25</v>
      </c>
    </row>
    <row r="3471" spans="1:12" x14ac:dyDescent="0.2">
      <c r="A3471" t="s">
        <v>12051</v>
      </c>
      <c r="B3471" t="s">
        <v>12052</v>
      </c>
      <c r="F3471" s="2">
        <v>525488702</v>
      </c>
      <c r="G3471" s="2">
        <v>133811224</v>
      </c>
      <c r="H3471" t="s">
        <v>28</v>
      </c>
      <c r="I3471" t="s">
        <v>17</v>
      </c>
      <c r="J3471" t="s">
        <v>25</v>
      </c>
    </row>
    <row r="3472" spans="1:12" x14ac:dyDescent="0.2">
      <c r="A3472" t="s">
        <v>12053</v>
      </c>
      <c r="B3472" t="s">
        <v>12054</v>
      </c>
      <c r="C3472" t="s">
        <v>12055</v>
      </c>
      <c r="D3472" t="s">
        <v>12056</v>
      </c>
      <c r="F3472" s="2">
        <v>5250066</v>
      </c>
      <c r="G3472" s="2">
        <v>133453195</v>
      </c>
      <c r="H3472" t="s">
        <v>24</v>
      </c>
      <c r="I3472" t="s">
        <v>17</v>
      </c>
      <c r="J3472" t="s">
        <v>25</v>
      </c>
    </row>
    <row r="3473" spans="1:11" x14ac:dyDescent="0.2">
      <c r="A3473" t="s">
        <v>12057</v>
      </c>
      <c r="B3473" t="s">
        <v>12058</v>
      </c>
      <c r="F3473" s="2">
        <v>525188398</v>
      </c>
      <c r="G3473" s="2">
        <v>134687942</v>
      </c>
      <c r="H3473" t="s">
        <v>28</v>
      </c>
      <c r="I3473" t="s">
        <v>17</v>
      </c>
      <c r="J3473" t="s">
        <v>25</v>
      </c>
    </row>
    <row r="3474" spans="1:11" x14ac:dyDescent="0.2">
      <c r="A3474" t="s">
        <v>12059</v>
      </c>
      <c r="B3474">
        <v>10245</v>
      </c>
      <c r="F3474" s="2">
        <v>525060766</v>
      </c>
      <c r="G3474" s="2">
        <v>134660868</v>
      </c>
      <c r="H3474" t="s">
        <v>28</v>
      </c>
      <c r="I3474" t="s">
        <v>17</v>
      </c>
      <c r="J3474" t="s">
        <v>25</v>
      </c>
    </row>
    <row r="3475" spans="1:11" x14ac:dyDescent="0.2">
      <c r="A3475" t="s">
        <v>12060</v>
      </c>
      <c r="F3475" s="2">
        <v>524977155</v>
      </c>
      <c r="G3475" s="2">
        <v>133240187</v>
      </c>
      <c r="H3475" t="s">
        <v>28</v>
      </c>
      <c r="I3475" t="s">
        <v>17</v>
      </c>
      <c r="J3475" t="s">
        <v>25</v>
      </c>
    </row>
    <row r="3476" spans="1:11" x14ac:dyDescent="0.2">
      <c r="A3476" t="s">
        <v>12061</v>
      </c>
      <c r="B3476" t="s">
        <v>9477</v>
      </c>
      <c r="C3476" t="s">
        <v>12062</v>
      </c>
      <c r="D3476" t="s">
        <v>12063</v>
      </c>
      <c r="E3476">
        <v>4915901365344</v>
      </c>
      <c r="F3476" s="2">
        <v>524876924</v>
      </c>
      <c r="G3476" s="2">
        <v>13420394</v>
      </c>
      <c r="H3476" t="s">
        <v>304</v>
      </c>
      <c r="I3476" t="s">
        <v>17</v>
      </c>
      <c r="J3476" t="s">
        <v>25</v>
      </c>
      <c r="K3476" t="s">
        <v>12064</v>
      </c>
    </row>
    <row r="3477" spans="1:11" x14ac:dyDescent="0.2">
      <c r="A3477" t="s">
        <v>12065</v>
      </c>
      <c r="C3477" t="s">
        <v>12066</v>
      </c>
      <c r="D3477" t="s">
        <v>12067</v>
      </c>
      <c r="E3477" t="s">
        <v>12068</v>
      </c>
      <c r="F3477" s="2">
        <v>52434255</v>
      </c>
      <c r="G3477" s="2">
        <v>13198532</v>
      </c>
      <c r="H3477" t="s">
        <v>51</v>
      </c>
      <c r="I3477" t="s">
        <v>17</v>
      </c>
      <c r="J3477" t="s">
        <v>25</v>
      </c>
      <c r="K3477" t="s">
        <v>12069</v>
      </c>
    </row>
    <row r="3478" spans="1:11" x14ac:dyDescent="0.2">
      <c r="A3478" t="s">
        <v>12070</v>
      </c>
      <c r="F3478" s="2">
        <v>525074575</v>
      </c>
      <c r="G3478" s="2">
        <v>134566841</v>
      </c>
      <c r="H3478" t="s">
        <v>28</v>
      </c>
      <c r="I3478" t="s">
        <v>17</v>
      </c>
      <c r="J3478" t="s">
        <v>25</v>
      </c>
    </row>
    <row r="3479" spans="1:11" x14ac:dyDescent="0.2">
      <c r="A3479" t="s">
        <v>12071</v>
      </c>
      <c r="B3479" t="s">
        <v>12072</v>
      </c>
      <c r="F3479" s="2">
        <v>525015419</v>
      </c>
      <c r="G3479" s="2">
        <v>133292051</v>
      </c>
      <c r="H3479" t="s">
        <v>28</v>
      </c>
      <c r="I3479" t="s">
        <v>17</v>
      </c>
      <c r="J3479" t="s">
        <v>25</v>
      </c>
    </row>
    <row r="3480" spans="1:11" x14ac:dyDescent="0.2">
      <c r="A3480" t="s">
        <v>12073</v>
      </c>
      <c r="B3480" t="s">
        <v>12074</v>
      </c>
      <c r="F3480" s="2">
        <v>524945271</v>
      </c>
      <c r="G3480" s="2">
        <v>134213954</v>
      </c>
      <c r="H3480" t="s">
        <v>28</v>
      </c>
      <c r="I3480" t="s">
        <v>17</v>
      </c>
      <c r="J3480" t="s">
        <v>25</v>
      </c>
    </row>
    <row r="3481" spans="1:11" x14ac:dyDescent="0.2">
      <c r="A3481" t="s">
        <v>12075</v>
      </c>
      <c r="B3481" t="s">
        <v>12076</v>
      </c>
      <c r="C3481" t="s">
        <v>12077</v>
      </c>
      <c r="F3481" s="2">
        <v>524937174</v>
      </c>
      <c r="G3481" s="2">
        <v>134126778</v>
      </c>
      <c r="H3481" t="s">
        <v>255</v>
      </c>
      <c r="I3481" t="s">
        <v>17</v>
      </c>
      <c r="J3481" t="s">
        <v>25</v>
      </c>
    </row>
    <row r="3482" spans="1:11" x14ac:dyDescent="0.2">
      <c r="A3482" t="s">
        <v>12078</v>
      </c>
      <c r="B3482" t="s">
        <v>12079</v>
      </c>
      <c r="C3482" t="s">
        <v>12080</v>
      </c>
      <c r="F3482" s="2">
        <v>524838961</v>
      </c>
      <c r="G3482" s="2">
        <v>134228543</v>
      </c>
      <c r="H3482" t="s">
        <v>255</v>
      </c>
      <c r="I3482" t="s">
        <v>17</v>
      </c>
      <c r="J3482" t="s">
        <v>25</v>
      </c>
    </row>
    <row r="3483" spans="1:11" x14ac:dyDescent="0.2">
      <c r="A3483" t="s">
        <v>12081</v>
      </c>
      <c r="B3483" t="s">
        <v>12082</v>
      </c>
      <c r="C3483" t="s">
        <v>12083</v>
      </c>
      <c r="D3483" t="s">
        <v>12084</v>
      </c>
      <c r="E3483" t="s">
        <v>12085</v>
      </c>
      <c r="F3483" s="2">
        <v>52446104</v>
      </c>
      <c r="G3483" s="2">
        <v>135854553</v>
      </c>
      <c r="H3483" t="s">
        <v>24</v>
      </c>
      <c r="I3483" t="s">
        <v>17</v>
      </c>
      <c r="J3483" t="s">
        <v>25</v>
      </c>
    </row>
    <row r="3484" spans="1:11" x14ac:dyDescent="0.2">
      <c r="A3484" t="s">
        <v>12086</v>
      </c>
      <c r="B3484" t="s">
        <v>12087</v>
      </c>
      <c r="F3484" s="2">
        <v>525108354</v>
      </c>
      <c r="G3484" s="2">
        <v>134618484</v>
      </c>
      <c r="H3484" t="s">
        <v>28</v>
      </c>
      <c r="I3484" t="s">
        <v>17</v>
      </c>
      <c r="J3484" t="s">
        <v>25</v>
      </c>
    </row>
    <row r="3485" spans="1:11" x14ac:dyDescent="0.2">
      <c r="A3485" t="s">
        <v>12088</v>
      </c>
      <c r="B3485" t="s">
        <v>12089</v>
      </c>
      <c r="C3485" t="s">
        <v>12090</v>
      </c>
      <c r="D3485" t="s">
        <v>12091</v>
      </c>
      <c r="F3485" s="2">
        <v>525073933</v>
      </c>
      <c r="G3485" s="2">
        <v>134672024</v>
      </c>
      <c r="H3485" t="s">
        <v>304</v>
      </c>
      <c r="I3485" t="s">
        <v>17</v>
      </c>
      <c r="J3485" t="s">
        <v>25</v>
      </c>
      <c r="K3485" t="s">
        <v>12092</v>
      </c>
    </row>
    <row r="3486" spans="1:11" x14ac:dyDescent="0.2">
      <c r="A3486" t="s">
        <v>12093</v>
      </c>
      <c r="B3486" t="s">
        <v>12094</v>
      </c>
      <c r="C3486" t="s">
        <v>12095</v>
      </c>
      <c r="D3486" t="s">
        <v>12096</v>
      </c>
      <c r="E3486" t="s">
        <v>12097</v>
      </c>
      <c r="F3486" s="2">
        <v>524955126</v>
      </c>
      <c r="G3486" s="2">
        <v>13431239</v>
      </c>
      <c r="H3486" t="s">
        <v>24</v>
      </c>
      <c r="I3486" t="s">
        <v>17</v>
      </c>
      <c r="J3486" t="s">
        <v>25</v>
      </c>
    </row>
    <row r="3487" spans="1:11" x14ac:dyDescent="0.2">
      <c r="A3487" t="s">
        <v>12098</v>
      </c>
      <c r="F3487" s="2">
        <v>525008519</v>
      </c>
      <c r="G3487" s="2">
        <v>134188058</v>
      </c>
      <c r="H3487" t="s">
        <v>28</v>
      </c>
      <c r="I3487" t="s">
        <v>17</v>
      </c>
      <c r="J3487" t="s">
        <v>25</v>
      </c>
    </row>
    <row r="3488" spans="1:11" x14ac:dyDescent="0.2">
      <c r="A3488" t="s">
        <v>12099</v>
      </c>
      <c r="F3488" s="2">
        <v>525059281</v>
      </c>
      <c r="G3488" s="2">
        <v>134670022</v>
      </c>
      <c r="H3488" t="s">
        <v>28</v>
      </c>
      <c r="I3488" t="s">
        <v>17</v>
      </c>
      <c r="J3488" t="s">
        <v>25</v>
      </c>
    </row>
    <row r="3489" spans="1:11" x14ac:dyDescent="0.2">
      <c r="A3489" t="s">
        <v>12100</v>
      </c>
      <c r="F3489" s="2">
        <v>524565377</v>
      </c>
      <c r="G3489" s="2">
        <v>135090812</v>
      </c>
      <c r="H3489" t="s">
        <v>28</v>
      </c>
      <c r="I3489" t="s">
        <v>17</v>
      </c>
      <c r="J3489" t="s">
        <v>25</v>
      </c>
    </row>
    <row r="3490" spans="1:11" x14ac:dyDescent="0.2">
      <c r="A3490" t="s">
        <v>12101</v>
      </c>
      <c r="B3490" t="s">
        <v>12102</v>
      </c>
      <c r="C3490" t="s">
        <v>12103</v>
      </c>
      <c r="D3490" t="s">
        <v>12104</v>
      </c>
      <c r="E3490" t="s">
        <v>12105</v>
      </c>
      <c r="F3490" s="2">
        <v>52529259</v>
      </c>
      <c r="G3490" s="2">
        <v>135932438</v>
      </c>
      <c r="H3490" t="s">
        <v>16</v>
      </c>
      <c r="I3490" t="s">
        <v>17</v>
      </c>
      <c r="J3490" t="s">
        <v>25</v>
      </c>
    </row>
    <row r="3491" spans="1:11" x14ac:dyDescent="0.2">
      <c r="A3491" t="s">
        <v>12106</v>
      </c>
      <c r="B3491" t="s">
        <v>12107</v>
      </c>
      <c r="C3491" t="s">
        <v>12108</v>
      </c>
      <c r="D3491" t="s">
        <v>12109</v>
      </c>
      <c r="E3491">
        <v>493050942423</v>
      </c>
      <c r="F3491" s="2">
        <v>525550499</v>
      </c>
      <c r="G3491" s="2">
        <v>133410825</v>
      </c>
      <c r="H3491" t="s">
        <v>304</v>
      </c>
      <c r="I3491" t="s">
        <v>17</v>
      </c>
      <c r="J3491" t="s">
        <v>25</v>
      </c>
      <c r="K3491" t="s">
        <v>12110</v>
      </c>
    </row>
    <row r="3492" spans="1:11" x14ac:dyDescent="0.2">
      <c r="A3492" t="s">
        <v>12111</v>
      </c>
      <c r="F3492" s="2">
        <v>525512962</v>
      </c>
      <c r="G3492" s="2">
        <v>133572079</v>
      </c>
      <c r="H3492" t="s">
        <v>28</v>
      </c>
      <c r="I3492" t="s">
        <v>17</v>
      </c>
      <c r="J3492" t="s">
        <v>25</v>
      </c>
    </row>
    <row r="3493" spans="1:11" x14ac:dyDescent="0.2">
      <c r="A3493" t="s">
        <v>12112</v>
      </c>
      <c r="B3493" t="s">
        <v>12113</v>
      </c>
      <c r="F3493" s="2">
        <v>525149034</v>
      </c>
      <c r="G3493" s="2">
        <v>133944371</v>
      </c>
      <c r="H3493" t="s">
        <v>28</v>
      </c>
      <c r="I3493" t="s">
        <v>17</v>
      </c>
      <c r="J3493" t="s">
        <v>25</v>
      </c>
    </row>
    <row r="3494" spans="1:11" x14ac:dyDescent="0.2">
      <c r="A3494" t="s">
        <v>12114</v>
      </c>
      <c r="B3494" t="s">
        <v>12115</v>
      </c>
      <c r="C3494" t="s">
        <v>12116</v>
      </c>
      <c r="F3494" s="2">
        <v>525374062</v>
      </c>
      <c r="G3494" s="2">
        <v>13408213</v>
      </c>
      <c r="H3494" t="s">
        <v>255</v>
      </c>
      <c r="I3494" t="s">
        <v>17</v>
      </c>
      <c r="J3494" t="s">
        <v>25</v>
      </c>
    </row>
    <row r="3495" spans="1:11" x14ac:dyDescent="0.2">
      <c r="A3495" t="s">
        <v>12117</v>
      </c>
      <c r="F3495" s="2">
        <v>525616728</v>
      </c>
      <c r="G3495" s="2">
        <v>133316211</v>
      </c>
      <c r="H3495" t="s">
        <v>28</v>
      </c>
      <c r="I3495" t="s">
        <v>17</v>
      </c>
      <c r="J3495" t="s">
        <v>25</v>
      </c>
    </row>
    <row r="3496" spans="1:11" x14ac:dyDescent="0.2">
      <c r="A3496" t="s">
        <v>12118</v>
      </c>
      <c r="C3496" t="s">
        <v>12119</v>
      </c>
      <c r="D3496" t="s">
        <v>12120</v>
      </c>
      <c r="F3496" s="2">
        <v>524541157</v>
      </c>
      <c r="G3496" s="2">
        <v>135463393</v>
      </c>
      <c r="H3496" t="s">
        <v>16</v>
      </c>
      <c r="I3496" t="s">
        <v>17</v>
      </c>
      <c r="J3496" t="s">
        <v>25</v>
      </c>
    </row>
    <row r="3497" spans="1:11" x14ac:dyDescent="0.2">
      <c r="A3497" t="s">
        <v>12121</v>
      </c>
      <c r="E3497" t="s">
        <v>12122</v>
      </c>
      <c r="F3497" s="2">
        <v>524549078</v>
      </c>
      <c r="G3497" s="2">
        <v>135457759</v>
      </c>
      <c r="H3497" t="s">
        <v>34</v>
      </c>
      <c r="I3497" t="s">
        <v>17</v>
      </c>
      <c r="J3497" t="s">
        <v>25</v>
      </c>
    </row>
    <row r="3498" spans="1:11" x14ac:dyDescent="0.2">
      <c r="A3498" t="s">
        <v>12123</v>
      </c>
      <c r="B3498" t="s">
        <v>12124</v>
      </c>
      <c r="C3498" t="s">
        <v>12125</v>
      </c>
      <c r="E3498" t="s">
        <v>12126</v>
      </c>
      <c r="F3498" s="2">
        <v>52552141</v>
      </c>
      <c r="G3498" s="2">
        <v>134148104</v>
      </c>
      <c r="H3498" t="s">
        <v>38</v>
      </c>
      <c r="I3498" t="s">
        <v>17</v>
      </c>
      <c r="J3498" t="s">
        <v>25</v>
      </c>
    </row>
    <row r="3499" spans="1:11" x14ac:dyDescent="0.2">
      <c r="A3499" t="s">
        <v>12127</v>
      </c>
      <c r="B3499" t="s">
        <v>12128</v>
      </c>
      <c r="C3499" t="s">
        <v>12129</v>
      </c>
      <c r="D3499" t="s">
        <v>12130</v>
      </c>
      <c r="E3499" t="s">
        <v>12131</v>
      </c>
      <c r="F3499" s="2">
        <v>525256306</v>
      </c>
      <c r="G3499" s="2">
        <v>133894115</v>
      </c>
      <c r="H3499" t="s">
        <v>51</v>
      </c>
      <c r="I3499" t="s">
        <v>17</v>
      </c>
      <c r="J3499" t="s">
        <v>25</v>
      </c>
      <c r="K3499" t="s">
        <v>12132</v>
      </c>
    </row>
    <row r="3500" spans="1:11" x14ac:dyDescent="0.2">
      <c r="A3500" t="s">
        <v>12133</v>
      </c>
      <c r="B3500" t="s">
        <v>12134</v>
      </c>
      <c r="D3500" t="s">
        <v>12135</v>
      </c>
      <c r="E3500" t="s">
        <v>12136</v>
      </c>
      <c r="F3500" s="2">
        <v>525485891</v>
      </c>
      <c r="G3500" s="2">
        <v>133530603</v>
      </c>
      <c r="H3500" t="s">
        <v>3120</v>
      </c>
      <c r="I3500" t="s">
        <v>17</v>
      </c>
      <c r="J3500" t="s">
        <v>25</v>
      </c>
    </row>
    <row r="3501" spans="1:11" x14ac:dyDescent="0.2">
      <c r="A3501" t="s">
        <v>12137</v>
      </c>
      <c r="B3501" t="s">
        <v>12138</v>
      </c>
      <c r="C3501" t="s">
        <v>12139</v>
      </c>
      <c r="D3501" t="s">
        <v>12140</v>
      </c>
      <c r="E3501">
        <v>493045310115</v>
      </c>
      <c r="F3501" s="2">
        <v>525255321</v>
      </c>
      <c r="G3501" s="2">
        <v>13389834</v>
      </c>
      <c r="H3501" t="s">
        <v>51</v>
      </c>
      <c r="I3501" t="s">
        <v>17</v>
      </c>
      <c r="J3501" t="s">
        <v>25</v>
      </c>
      <c r="K3501" t="s">
        <v>12141</v>
      </c>
    </row>
    <row r="3502" spans="1:11" x14ac:dyDescent="0.2">
      <c r="A3502" t="s">
        <v>12142</v>
      </c>
      <c r="B3502" t="s">
        <v>12143</v>
      </c>
      <c r="F3502" s="2">
        <v>525107077</v>
      </c>
      <c r="G3502" s="2">
        <v>134525293</v>
      </c>
      <c r="H3502" t="s">
        <v>28</v>
      </c>
      <c r="I3502" t="s">
        <v>17</v>
      </c>
      <c r="J3502" t="s">
        <v>25</v>
      </c>
    </row>
    <row r="3503" spans="1:11" x14ac:dyDescent="0.2">
      <c r="A3503" t="s">
        <v>12144</v>
      </c>
      <c r="F3503" s="2">
        <v>52527731</v>
      </c>
      <c r="G3503" s="2">
        <v>13338511</v>
      </c>
      <c r="H3503" t="s">
        <v>28</v>
      </c>
      <c r="I3503" t="s">
        <v>17</v>
      </c>
      <c r="J3503" t="s">
        <v>25</v>
      </c>
    </row>
    <row r="3504" spans="1:11" x14ac:dyDescent="0.2">
      <c r="A3504" t="s">
        <v>12145</v>
      </c>
      <c r="B3504" t="s">
        <v>1651</v>
      </c>
      <c r="C3504" t="s">
        <v>12146</v>
      </c>
      <c r="F3504" s="2">
        <v>524400656</v>
      </c>
      <c r="G3504" s="2">
        <v>133426659</v>
      </c>
      <c r="H3504" t="s">
        <v>38</v>
      </c>
      <c r="I3504" t="s">
        <v>17</v>
      </c>
      <c r="J3504" t="s">
        <v>25</v>
      </c>
    </row>
    <row r="3505" spans="1:11" x14ac:dyDescent="0.2">
      <c r="A3505" t="s">
        <v>12147</v>
      </c>
      <c r="C3505" t="s">
        <v>12148</v>
      </c>
      <c r="F3505" s="2">
        <v>525058346</v>
      </c>
      <c r="G3505" s="2">
        <v>133187306</v>
      </c>
      <c r="H3505" t="s">
        <v>255</v>
      </c>
      <c r="I3505" t="s">
        <v>17</v>
      </c>
      <c r="J3505" t="s">
        <v>25</v>
      </c>
    </row>
    <row r="3506" spans="1:11" x14ac:dyDescent="0.2">
      <c r="A3506" t="s">
        <v>12149</v>
      </c>
      <c r="C3506" t="s">
        <v>12150</v>
      </c>
      <c r="E3506" t="s">
        <v>12151</v>
      </c>
      <c r="F3506" s="2">
        <v>524931783</v>
      </c>
      <c r="G3506" s="2">
        <v>134278816</v>
      </c>
      <c r="H3506" t="s">
        <v>38</v>
      </c>
      <c r="I3506" t="s">
        <v>17</v>
      </c>
      <c r="J3506" t="s">
        <v>25</v>
      </c>
    </row>
    <row r="3507" spans="1:11" x14ac:dyDescent="0.2">
      <c r="A3507" t="s">
        <v>12152</v>
      </c>
      <c r="C3507" t="s">
        <v>12153</v>
      </c>
      <c r="D3507" t="s">
        <v>12154</v>
      </c>
      <c r="E3507" t="s">
        <v>12155</v>
      </c>
      <c r="F3507" s="2">
        <v>525152245</v>
      </c>
      <c r="G3507" s="2">
        <v>134093327</v>
      </c>
      <c r="H3507" t="s">
        <v>51</v>
      </c>
      <c r="I3507" t="s">
        <v>17</v>
      </c>
      <c r="J3507" t="s">
        <v>25</v>
      </c>
      <c r="K3507" t="s">
        <v>12156</v>
      </c>
    </row>
    <row r="3508" spans="1:11" x14ac:dyDescent="0.2">
      <c r="A3508" t="s">
        <v>12157</v>
      </c>
      <c r="B3508" t="s">
        <v>12158</v>
      </c>
      <c r="E3508" t="s">
        <v>12159</v>
      </c>
      <c r="F3508" s="2">
        <v>525082196</v>
      </c>
      <c r="G3508" s="2">
        <v>134970097</v>
      </c>
      <c r="H3508" t="s">
        <v>34</v>
      </c>
      <c r="I3508" t="s">
        <v>17</v>
      </c>
      <c r="J3508" t="s">
        <v>25</v>
      </c>
    </row>
    <row r="3509" spans="1:11" x14ac:dyDescent="0.2">
      <c r="A3509" t="s">
        <v>12160</v>
      </c>
      <c r="B3509" t="s">
        <v>12161</v>
      </c>
      <c r="F3509" s="2">
        <v>526198143</v>
      </c>
      <c r="G3509" s="2">
        <v>133039514</v>
      </c>
      <c r="H3509" t="s">
        <v>28</v>
      </c>
      <c r="I3509" t="s">
        <v>17</v>
      </c>
      <c r="J3509" t="s">
        <v>25</v>
      </c>
    </row>
    <row r="3510" spans="1:11" x14ac:dyDescent="0.2">
      <c r="A3510" t="s">
        <v>12162</v>
      </c>
      <c r="B3510" t="s">
        <v>12163</v>
      </c>
      <c r="C3510" t="s">
        <v>12164</v>
      </c>
      <c r="F3510" s="2">
        <v>525324512</v>
      </c>
      <c r="G3510" s="2">
        <v>134694831</v>
      </c>
      <c r="H3510" t="s">
        <v>255</v>
      </c>
      <c r="I3510" t="s">
        <v>17</v>
      </c>
      <c r="J3510" t="s">
        <v>25</v>
      </c>
    </row>
    <row r="3511" spans="1:11" x14ac:dyDescent="0.2">
      <c r="A3511" t="s">
        <v>12165</v>
      </c>
      <c r="B3511" t="s">
        <v>12166</v>
      </c>
      <c r="C3511" t="s">
        <v>12167</v>
      </c>
      <c r="D3511" t="s">
        <v>12168</v>
      </c>
      <c r="F3511" s="2">
        <v>524873922</v>
      </c>
      <c r="G3511" s="2">
        <v>134271603</v>
      </c>
      <c r="H3511" t="s">
        <v>51</v>
      </c>
      <c r="I3511" t="s">
        <v>17</v>
      </c>
      <c r="J3511" t="s">
        <v>25</v>
      </c>
      <c r="K3511" t="s">
        <v>12169</v>
      </c>
    </row>
    <row r="3512" spans="1:11" x14ac:dyDescent="0.2">
      <c r="A3512" t="s">
        <v>12170</v>
      </c>
      <c r="B3512" t="s">
        <v>12171</v>
      </c>
      <c r="F3512" s="2">
        <v>525046092</v>
      </c>
      <c r="G3512" s="2">
        <v>133271459</v>
      </c>
      <c r="H3512" t="s">
        <v>28</v>
      </c>
      <c r="I3512" t="s">
        <v>17</v>
      </c>
      <c r="J3512" t="s">
        <v>25</v>
      </c>
    </row>
    <row r="3513" spans="1:11" x14ac:dyDescent="0.2">
      <c r="A3513" t="s">
        <v>12172</v>
      </c>
      <c r="C3513" t="s">
        <v>12173</v>
      </c>
      <c r="F3513" s="2">
        <v>524412171</v>
      </c>
      <c r="G3513" s="2">
        <v>13458902</v>
      </c>
      <c r="H3513" t="s">
        <v>255</v>
      </c>
      <c r="I3513" t="s">
        <v>17</v>
      </c>
      <c r="J3513" t="s">
        <v>25</v>
      </c>
    </row>
    <row r="3514" spans="1:11" x14ac:dyDescent="0.2">
      <c r="A3514" t="s">
        <v>12174</v>
      </c>
      <c r="C3514" t="s">
        <v>12175</v>
      </c>
      <c r="F3514" s="2">
        <v>524813445</v>
      </c>
      <c r="G3514" s="2">
        <v>134944704</v>
      </c>
      <c r="H3514" t="s">
        <v>255</v>
      </c>
      <c r="I3514" t="s">
        <v>17</v>
      </c>
      <c r="J3514" t="s">
        <v>25</v>
      </c>
    </row>
    <row r="3515" spans="1:11" x14ac:dyDescent="0.2">
      <c r="A3515" t="s">
        <v>12176</v>
      </c>
      <c r="F3515" s="2">
        <v>524407713</v>
      </c>
      <c r="G3515" s="2">
        <v>13454611</v>
      </c>
      <c r="H3515" t="s">
        <v>28</v>
      </c>
      <c r="I3515" t="s">
        <v>17</v>
      </c>
      <c r="J3515" t="s">
        <v>25</v>
      </c>
    </row>
    <row r="3516" spans="1:11" x14ac:dyDescent="0.2">
      <c r="A3516" t="s">
        <v>12177</v>
      </c>
      <c r="B3516" t="s">
        <v>12178</v>
      </c>
      <c r="F3516" s="2">
        <v>525367941</v>
      </c>
      <c r="G3516" s="2">
        <v>134210711</v>
      </c>
      <c r="H3516" t="s">
        <v>28</v>
      </c>
      <c r="I3516" t="s">
        <v>17</v>
      </c>
      <c r="J3516" t="s">
        <v>25</v>
      </c>
    </row>
    <row r="3517" spans="1:11" x14ac:dyDescent="0.2">
      <c r="A3517" t="s">
        <v>12179</v>
      </c>
      <c r="F3517" s="2">
        <v>524650544</v>
      </c>
      <c r="G3517" s="2">
        <v>134332265</v>
      </c>
      <c r="H3517" t="s">
        <v>28</v>
      </c>
      <c r="I3517" t="s">
        <v>17</v>
      </c>
      <c r="J3517" t="s">
        <v>25</v>
      </c>
    </row>
    <row r="3518" spans="1:11" x14ac:dyDescent="0.2">
      <c r="A3518" t="s">
        <v>12180</v>
      </c>
      <c r="C3518" t="s">
        <v>12181</v>
      </c>
      <c r="F3518" s="2">
        <v>524645577</v>
      </c>
      <c r="G3518" s="2">
        <v>134088073</v>
      </c>
      <c r="H3518" t="s">
        <v>3120</v>
      </c>
      <c r="I3518" t="s">
        <v>17</v>
      </c>
      <c r="J3518" t="s">
        <v>25</v>
      </c>
      <c r="K3518" t="s">
        <v>12182</v>
      </c>
    </row>
    <row r="3519" spans="1:11" x14ac:dyDescent="0.2">
      <c r="A3519" t="s">
        <v>12183</v>
      </c>
      <c r="B3519" t="s">
        <v>12184</v>
      </c>
      <c r="F3519" s="2">
        <v>525087941</v>
      </c>
      <c r="G3519" s="2">
        <v>1342521</v>
      </c>
      <c r="H3519" t="s">
        <v>28</v>
      </c>
      <c r="I3519" t="s">
        <v>17</v>
      </c>
      <c r="J3519" t="s">
        <v>25</v>
      </c>
    </row>
    <row r="3520" spans="1:11" x14ac:dyDescent="0.2">
      <c r="A3520" t="s">
        <v>12185</v>
      </c>
      <c r="F3520" s="2">
        <v>525295486</v>
      </c>
      <c r="G3520" s="2">
        <v>134021073</v>
      </c>
      <c r="H3520" t="s">
        <v>28</v>
      </c>
      <c r="I3520" t="s">
        <v>17</v>
      </c>
      <c r="J3520" t="s">
        <v>25</v>
      </c>
    </row>
    <row r="3521" spans="1:11" x14ac:dyDescent="0.2">
      <c r="A3521" t="s">
        <v>12186</v>
      </c>
      <c r="C3521" t="s">
        <v>12187</v>
      </c>
      <c r="F3521" s="2">
        <v>525577792</v>
      </c>
      <c r="G3521" s="2">
        <v>132395809</v>
      </c>
      <c r="H3521" t="s">
        <v>255</v>
      </c>
      <c r="I3521" t="s">
        <v>17</v>
      </c>
      <c r="J3521" t="s">
        <v>25</v>
      </c>
    </row>
    <row r="3522" spans="1:11" x14ac:dyDescent="0.2">
      <c r="A3522" t="s">
        <v>12188</v>
      </c>
      <c r="B3522" t="s">
        <v>12189</v>
      </c>
      <c r="C3522" t="s">
        <v>12190</v>
      </c>
      <c r="D3522" t="s">
        <v>12191</v>
      </c>
      <c r="E3522" t="s">
        <v>12192</v>
      </c>
      <c r="F3522" s="2">
        <v>524932268</v>
      </c>
      <c r="G3522" s="2">
        <v>13421614</v>
      </c>
      <c r="H3522" t="s">
        <v>24</v>
      </c>
      <c r="I3522" t="s">
        <v>17</v>
      </c>
      <c r="J3522" t="s">
        <v>25</v>
      </c>
    </row>
    <row r="3523" spans="1:11" x14ac:dyDescent="0.2">
      <c r="A3523" t="s">
        <v>12193</v>
      </c>
      <c r="B3523" t="s">
        <v>12194</v>
      </c>
      <c r="C3523" t="s">
        <v>12195</v>
      </c>
      <c r="D3523" t="s">
        <v>12196</v>
      </c>
      <c r="F3523" s="2">
        <v>525053045</v>
      </c>
      <c r="G3523" s="2">
        <v>134387003</v>
      </c>
      <c r="H3523" t="s">
        <v>51</v>
      </c>
      <c r="I3523" t="s">
        <v>17</v>
      </c>
      <c r="J3523" t="s">
        <v>25</v>
      </c>
      <c r="K3523" t="s">
        <v>12197</v>
      </c>
    </row>
    <row r="3524" spans="1:11" x14ac:dyDescent="0.2">
      <c r="A3524" t="s">
        <v>12198</v>
      </c>
      <c r="B3524" t="s">
        <v>12199</v>
      </c>
      <c r="F3524" s="2">
        <v>525288788</v>
      </c>
      <c r="G3524" s="2">
        <v>13394646</v>
      </c>
      <c r="H3524" t="s">
        <v>28</v>
      </c>
      <c r="I3524" t="s">
        <v>17</v>
      </c>
      <c r="J3524" t="s">
        <v>25</v>
      </c>
    </row>
    <row r="3525" spans="1:11" x14ac:dyDescent="0.2">
      <c r="A3525" t="s">
        <v>12200</v>
      </c>
      <c r="E3525" t="s">
        <v>12201</v>
      </c>
      <c r="F3525" s="2">
        <v>524553357</v>
      </c>
      <c r="G3525" s="2">
        <v>133249768</v>
      </c>
      <c r="H3525" t="s">
        <v>34</v>
      </c>
      <c r="I3525" t="s">
        <v>17</v>
      </c>
      <c r="J3525" t="s">
        <v>25</v>
      </c>
    </row>
    <row r="3526" spans="1:11" x14ac:dyDescent="0.2">
      <c r="A3526" t="s">
        <v>12202</v>
      </c>
      <c r="F3526" s="2">
        <v>525021946</v>
      </c>
      <c r="G3526" s="2">
        <v>134313848</v>
      </c>
      <c r="H3526" t="s">
        <v>28</v>
      </c>
      <c r="I3526" t="s">
        <v>17</v>
      </c>
      <c r="J3526" t="s">
        <v>25</v>
      </c>
    </row>
    <row r="3527" spans="1:11" x14ac:dyDescent="0.2">
      <c r="A3527" t="s">
        <v>12203</v>
      </c>
      <c r="B3527" t="s">
        <v>12204</v>
      </c>
      <c r="D3527" t="s">
        <v>12205</v>
      </c>
      <c r="E3527" t="s">
        <v>12206</v>
      </c>
      <c r="F3527" s="2">
        <v>524653857</v>
      </c>
      <c r="G3527" s="2">
        <v>133307764</v>
      </c>
      <c r="H3527" t="s">
        <v>3120</v>
      </c>
      <c r="I3527" t="s">
        <v>17</v>
      </c>
      <c r="J3527" t="s">
        <v>25</v>
      </c>
    </row>
    <row r="3528" spans="1:11" x14ac:dyDescent="0.2">
      <c r="A3528" t="s">
        <v>12207</v>
      </c>
      <c r="B3528" t="s">
        <v>12208</v>
      </c>
      <c r="E3528" t="s">
        <v>12209</v>
      </c>
      <c r="F3528" s="2">
        <v>525836353</v>
      </c>
      <c r="G3528" s="2">
        <v>132866518</v>
      </c>
      <c r="H3528" t="s">
        <v>34</v>
      </c>
      <c r="I3528" t="s">
        <v>17</v>
      </c>
      <c r="J3528" t="s">
        <v>25</v>
      </c>
    </row>
    <row r="3529" spans="1:11" x14ac:dyDescent="0.2">
      <c r="A3529" t="s">
        <v>12210</v>
      </c>
      <c r="B3529" t="s">
        <v>9444</v>
      </c>
      <c r="C3529" t="s">
        <v>12211</v>
      </c>
      <c r="D3529" t="s">
        <v>12212</v>
      </c>
      <c r="E3529" t="s">
        <v>12213</v>
      </c>
      <c r="F3529" s="2">
        <v>525371203</v>
      </c>
      <c r="G3529" s="2">
        <v>134213329</v>
      </c>
      <c r="H3529" t="s">
        <v>304</v>
      </c>
      <c r="I3529" t="s">
        <v>17</v>
      </c>
      <c r="J3529" t="s">
        <v>25</v>
      </c>
      <c r="K3529" t="s">
        <v>12214</v>
      </c>
    </row>
    <row r="3530" spans="1:11" x14ac:dyDescent="0.2">
      <c r="A3530" t="s">
        <v>12215</v>
      </c>
      <c r="F3530" s="2">
        <v>524582335</v>
      </c>
      <c r="G3530" s="2">
        <v>133245598</v>
      </c>
      <c r="H3530" t="s">
        <v>28</v>
      </c>
      <c r="I3530" t="s">
        <v>17</v>
      </c>
      <c r="J3530" t="s">
        <v>25</v>
      </c>
    </row>
    <row r="3531" spans="1:11" x14ac:dyDescent="0.2">
      <c r="A3531" t="s">
        <v>12216</v>
      </c>
      <c r="B3531" t="s">
        <v>12217</v>
      </c>
      <c r="C3531" t="s">
        <v>12218</v>
      </c>
      <c r="D3531" t="s">
        <v>12219</v>
      </c>
      <c r="E3531">
        <f>49-30-27581005</f>
        <v>-27580986</v>
      </c>
      <c r="F3531" s="2">
        <v>52513977</v>
      </c>
      <c r="G3531" s="2">
        <v>134536482</v>
      </c>
      <c r="H3531" t="s">
        <v>51</v>
      </c>
      <c r="I3531" t="s">
        <v>17</v>
      </c>
      <c r="J3531" t="s">
        <v>25</v>
      </c>
      <c r="K3531" t="s">
        <v>12220</v>
      </c>
    </row>
    <row r="3532" spans="1:11" x14ac:dyDescent="0.2">
      <c r="A3532" t="s">
        <v>12221</v>
      </c>
      <c r="B3532" t="s">
        <v>12222</v>
      </c>
      <c r="F3532" s="2">
        <v>525676384</v>
      </c>
      <c r="G3532" s="2">
        <v>135725625</v>
      </c>
      <c r="H3532" t="s">
        <v>28</v>
      </c>
      <c r="I3532" t="s">
        <v>17</v>
      </c>
      <c r="J3532" t="s">
        <v>25</v>
      </c>
    </row>
    <row r="3533" spans="1:11" x14ac:dyDescent="0.2">
      <c r="A3533" t="s">
        <v>12223</v>
      </c>
      <c r="B3533" t="s">
        <v>9329</v>
      </c>
      <c r="C3533" t="s">
        <v>12224</v>
      </c>
      <c r="E3533" t="s">
        <v>12225</v>
      </c>
      <c r="F3533" s="2">
        <v>525056878</v>
      </c>
      <c r="G3533" s="2">
        <v>134661001</v>
      </c>
      <c r="H3533" t="s">
        <v>38</v>
      </c>
      <c r="I3533" t="s">
        <v>17</v>
      </c>
      <c r="J3533" t="s">
        <v>25</v>
      </c>
    </row>
    <row r="3534" spans="1:11" x14ac:dyDescent="0.2">
      <c r="A3534" t="s">
        <v>12226</v>
      </c>
      <c r="F3534" s="2">
        <v>525084625</v>
      </c>
      <c r="G3534" s="2">
        <v>13465909</v>
      </c>
      <c r="H3534" t="s">
        <v>28</v>
      </c>
      <c r="I3534" t="s">
        <v>17</v>
      </c>
      <c r="J3534" t="s">
        <v>25</v>
      </c>
    </row>
    <row r="3535" spans="1:11" x14ac:dyDescent="0.2">
      <c r="A3535" t="s">
        <v>12227</v>
      </c>
      <c r="C3535" t="s">
        <v>12228</v>
      </c>
      <c r="D3535" t="s">
        <v>12229</v>
      </c>
      <c r="E3535" t="s">
        <v>12230</v>
      </c>
      <c r="F3535" s="2">
        <v>524147884</v>
      </c>
      <c r="G3535" s="2">
        <v>135886768</v>
      </c>
      <c r="H3535" t="s">
        <v>24</v>
      </c>
      <c r="I3535" t="s">
        <v>17</v>
      </c>
      <c r="J3535" t="s">
        <v>25</v>
      </c>
    </row>
    <row r="3536" spans="1:11" x14ac:dyDescent="0.2">
      <c r="A3536" t="s">
        <v>12231</v>
      </c>
      <c r="F3536" s="2">
        <v>525165559</v>
      </c>
      <c r="G3536" s="2">
        <v>132906859</v>
      </c>
      <c r="H3536" t="s">
        <v>28</v>
      </c>
      <c r="I3536" t="s">
        <v>17</v>
      </c>
      <c r="J3536" t="s">
        <v>25</v>
      </c>
    </row>
    <row r="3537" spans="1:11" x14ac:dyDescent="0.2">
      <c r="A3537" t="s">
        <v>12232</v>
      </c>
      <c r="F3537" s="2">
        <v>525155249</v>
      </c>
      <c r="G3537" s="2">
        <v>132914168</v>
      </c>
      <c r="H3537" t="s">
        <v>28</v>
      </c>
      <c r="I3537" t="s">
        <v>17</v>
      </c>
      <c r="J3537" t="s">
        <v>25</v>
      </c>
    </row>
    <row r="3538" spans="1:11" x14ac:dyDescent="0.2">
      <c r="A3538" t="s">
        <v>12233</v>
      </c>
      <c r="E3538" t="s">
        <v>12234</v>
      </c>
      <c r="F3538" s="2">
        <v>524977806</v>
      </c>
      <c r="G3538" s="2">
        <v>134646426</v>
      </c>
      <c r="H3538" t="s">
        <v>34</v>
      </c>
      <c r="I3538" t="s">
        <v>17</v>
      </c>
      <c r="J3538" t="s">
        <v>25</v>
      </c>
    </row>
    <row r="3539" spans="1:11" x14ac:dyDescent="0.2">
      <c r="A3539" t="s">
        <v>12235</v>
      </c>
      <c r="B3539" t="s">
        <v>12236</v>
      </c>
      <c r="C3539" t="s">
        <v>12237</v>
      </c>
      <c r="F3539" s="2">
        <v>524998764</v>
      </c>
      <c r="G3539" s="2">
        <v>134239616</v>
      </c>
      <c r="H3539" t="s">
        <v>255</v>
      </c>
      <c r="I3539" t="s">
        <v>17</v>
      </c>
      <c r="J3539" t="s">
        <v>25</v>
      </c>
    </row>
    <row r="3540" spans="1:11" x14ac:dyDescent="0.2">
      <c r="A3540" t="s">
        <v>12238</v>
      </c>
      <c r="B3540" t="s">
        <v>12239</v>
      </c>
      <c r="F3540" s="2">
        <v>524986273</v>
      </c>
      <c r="G3540" s="2">
        <v>134426259</v>
      </c>
      <c r="H3540" t="s">
        <v>28</v>
      </c>
      <c r="I3540" t="s">
        <v>17</v>
      </c>
      <c r="J3540" t="s">
        <v>25</v>
      </c>
    </row>
    <row r="3541" spans="1:11" x14ac:dyDescent="0.2">
      <c r="A3541" t="s">
        <v>12240</v>
      </c>
      <c r="F3541" s="2">
        <v>524904512</v>
      </c>
      <c r="G3541" s="2">
        <v>134230677</v>
      </c>
      <c r="H3541" t="s">
        <v>28</v>
      </c>
      <c r="I3541" t="s">
        <v>17</v>
      </c>
      <c r="J3541" t="s">
        <v>25</v>
      </c>
    </row>
    <row r="3542" spans="1:11" x14ac:dyDescent="0.2">
      <c r="A3542" t="s">
        <v>12241</v>
      </c>
      <c r="B3542" t="s">
        <v>12242</v>
      </c>
      <c r="C3542" t="s">
        <v>12243</v>
      </c>
      <c r="E3542">
        <v>493055522843</v>
      </c>
      <c r="F3542" s="2">
        <v>524557918</v>
      </c>
      <c r="G3542" s="2">
        <v>135157243</v>
      </c>
      <c r="H3542" t="s">
        <v>277</v>
      </c>
      <c r="I3542" t="s">
        <v>17</v>
      </c>
      <c r="J3542" t="s">
        <v>25</v>
      </c>
      <c r="K3542" t="s">
        <v>12244</v>
      </c>
    </row>
    <row r="3543" spans="1:11" x14ac:dyDescent="0.2">
      <c r="A3543" t="s">
        <v>12245</v>
      </c>
      <c r="B3543" t="s">
        <v>12246</v>
      </c>
      <c r="C3543" t="s">
        <v>12247</v>
      </c>
      <c r="D3543" t="s">
        <v>12248</v>
      </c>
      <c r="F3543" s="2">
        <v>524710738</v>
      </c>
      <c r="G3543" s="2">
        <v>134296673</v>
      </c>
      <c r="H3543" t="s">
        <v>24</v>
      </c>
      <c r="I3543" t="s">
        <v>17</v>
      </c>
      <c r="J3543" t="s">
        <v>25</v>
      </c>
    </row>
    <row r="3544" spans="1:11" x14ac:dyDescent="0.2">
      <c r="A3544" t="s">
        <v>12249</v>
      </c>
      <c r="B3544" t="s">
        <v>12250</v>
      </c>
      <c r="F3544" s="2">
        <v>5253198</v>
      </c>
      <c r="G3544" s="2">
        <v>134141025</v>
      </c>
      <c r="H3544" t="s">
        <v>28</v>
      </c>
      <c r="I3544" t="s">
        <v>17</v>
      </c>
      <c r="J3544" t="s">
        <v>25</v>
      </c>
    </row>
    <row r="3545" spans="1:11" x14ac:dyDescent="0.2">
      <c r="A3545" t="s">
        <v>12251</v>
      </c>
      <c r="F3545" s="2">
        <v>525360159</v>
      </c>
      <c r="G3545" s="2">
        <v>134161843</v>
      </c>
      <c r="H3545" t="s">
        <v>28</v>
      </c>
      <c r="I3545" t="s">
        <v>17</v>
      </c>
      <c r="J3545" t="s">
        <v>25</v>
      </c>
    </row>
    <row r="3546" spans="1:11" x14ac:dyDescent="0.2">
      <c r="A3546" t="s">
        <v>12252</v>
      </c>
      <c r="F3546" s="2">
        <v>525305714</v>
      </c>
      <c r="G3546" s="2">
        <v>1341832</v>
      </c>
      <c r="H3546" t="s">
        <v>28</v>
      </c>
      <c r="I3546" t="s">
        <v>17</v>
      </c>
      <c r="J3546" t="s">
        <v>25</v>
      </c>
    </row>
    <row r="3547" spans="1:11" x14ac:dyDescent="0.2">
      <c r="A3547" t="s">
        <v>12253</v>
      </c>
      <c r="B3547" t="s">
        <v>12254</v>
      </c>
      <c r="F3547" s="2">
        <v>525129948</v>
      </c>
      <c r="G3547" s="2">
        <v>133032943</v>
      </c>
      <c r="H3547" t="s">
        <v>28</v>
      </c>
      <c r="I3547" t="s">
        <v>17</v>
      </c>
      <c r="J3547" t="s">
        <v>25</v>
      </c>
    </row>
    <row r="3548" spans="1:11" x14ac:dyDescent="0.2">
      <c r="A3548" t="s">
        <v>12255</v>
      </c>
      <c r="B3548" t="s">
        <v>12256</v>
      </c>
      <c r="C3548" t="s">
        <v>12257</v>
      </c>
      <c r="E3548" t="s">
        <v>12258</v>
      </c>
      <c r="F3548" s="2">
        <v>52528985</v>
      </c>
      <c r="G3548" s="2">
        <v>133792791</v>
      </c>
      <c r="H3548" t="s">
        <v>277</v>
      </c>
      <c r="I3548" t="s">
        <v>17</v>
      </c>
      <c r="J3548" t="s">
        <v>25</v>
      </c>
      <c r="K3548" t="s">
        <v>12259</v>
      </c>
    </row>
    <row r="3549" spans="1:11" x14ac:dyDescent="0.2">
      <c r="A3549" t="s">
        <v>12260</v>
      </c>
      <c r="F3549" s="2">
        <v>525190975</v>
      </c>
      <c r="G3549" s="2">
        <v>132888846</v>
      </c>
      <c r="H3549" t="s">
        <v>28</v>
      </c>
      <c r="I3549" t="s">
        <v>17</v>
      </c>
      <c r="J3549" t="s">
        <v>25</v>
      </c>
    </row>
    <row r="3550" spans="1:11" x14ac:dyDescent="0.2">
      <c r="A3550" t="s">
        <v>12261</v>
      </c>
      <c r="B3550" t="s">
        <v>12262</v>
      </c>
      <c r="C3550" t="s">
        <v>12263</v>
      </c>
      <c r="F3550" s="2">
        <v>524688482</v>
      </c>
      <c r="G3550" s="2">
        <v>134424842</v>
      </c>
      <c r="H3550" t="s">
        <v>255</v>
      </c>
      <c r="I3550" t="s">
        <v>17</v>
      </c>
      <c r="J3550" t="s">
        <v>25</v>
      </c>
    </row>
    <row r="3551" spans="1:11" x14ac:dyDescent="0.2">
      <c r="A3551" t="s">
        <v>12264</v>
      </c>
      <c r="B3551" t="s">
        <v>12265</v>
      </c>
      <c r="F3551" s="2">
        <v>525216202</v>
      </c>
      <c r="G3551" s="2">
        <v>133244419</v>
      </c>
      <c r="H3551" t="s">
        <v>28</v>
      </c>
      <c r="I3551" t="s">
        <v>17</v>
      </c>
      <c r="J3551" t="s">
        <v>25</v>
      </c>
    </row>
    <row r="3552" spans="1:11" x14ac:dyDescent="0.2">
      <c r="A3552" t="s">
        <v>12266</v>
      </c>
      <c r="B3552" t="s">
        <v>12267</v>
      </c>
      <c r="F3552" s="2">
        <v>525218802</v>
      </c>
      <c r="G3552" s="2">
        <v>133258769</v>
      </c>
      <c r="H3552" t="s">
        <v>28</v>
      </c>
      <c r="I3552" t="s">
        <v>17</v>
      </c>
      <c r="J3552" t="s">
        <v>25</v>
      </c>
    </row>
    <row r="3553" spans="1:11" x14ac:dyDescent="0.2">
      <c r="A3553" t="s">
        <v>12268</v>
      </c>
      <c r="B3553" t="s">
        <v>12269</v>
      </c>
      <c r="F3553" s="2">
        <v>52523716</v>
      </c>
      <c r="G3553" s="2">
        <v>134008246</v>
      </c>
      <c r="H3553" t="s">
        <v>28</v>
      </c>
      <c r="I3553" t="s">
        <v>17</v>
      </c>
      <c r="J3553" t="s">
        <v>25</v>
      </c>
    </row>
    <row r="3554" spans="1:11" x14ac:dyDescent="0.2">
      <c r="A3554" t="s">
        <v>12270</v>
      </c>
      <c r="F3554" s="2">
        <v>525265653</v>
      </c>
      <c r="G3554" s="2">
        <v>133515207</v>
      </c>
      <c r="H3554" t="s">
        <v>28</v>
      </c>
      <c r="I3554" t="s">
        <v>17</v>
      </c>
      <c r="J3554" t="s">
        <v>25</v>
      </c>
    </row>
    <row r="3555" spans="1:11" x14ac:dyDescent="0.2">
      <c r="A3555" t="s">
        <v>12271</v>
      </c>
      <c r="B3555" t="s">
        <v>12272</v>
      </c>
      <c r="E3555" t="s">
        <v>12273</v>
      </c>
      <c r="F3555" s="2">
        <v>524710714</v>
      </c>
      <c r="G3555" s="2">
        <v>134299022</v>
      </c>
      <c r="H3555" t="s">
        <v>34</v>
      </c>
      <c r="I3555" t="s">
        <v>17</v>
      </c>
      <c r="J3555" t="s">
        <v>25</v>
      </c>
    </row>
    <row r="3556" spans="1:11" x14ac:dyDescent="0.2">
      <c r="A3556" t="s">
        <v>12274</v>
      </c>
      <c r="C3556" t="s">
        <v>12275</v>
      </c>
      <c r="D3556" t="s">
        <v>12276</v>
      </c>
      <c r="E3556" t="s">
        <v>12277</v>
      </c>
      <c r="F3556" s="2">
        <v>524568674</v>
      </c>
      <c r="G3556" s="2">
        <v>135807873</v>
      </c>
      <c r="H3556" t="s">
        <v>51</v>
      </c>
      <c r="I3556" t="s">
        <v>17</v>
      </c>
      <c r="J3556" t="s">
        <v>25</v>
      </c>
      <c r="K3556" t="s">
        <v>12278</v>
      </c>
    </row>
    <row r="3557" spans="1:11" x14ac:dyDescent="0.2">
      <c r="A3557" t="s">
        <v>12279</v>
      </c>
      <c r="F3557" s="2">
        <v>52512862</v>
      </c>
      <c r="G3557" s="2">
        <v>134571194</v>
      </c>
      <c r="H3557" t="s">
        <v>28</v>
      </c>
      <c r="I3557" t="s">
        <v>17</v>
      </c>
      <c r="J3557" t="s">
        <v>25</v>
      </c>
    </row>
    <row r="3558" spans="1:11" x14ac:dyDescent="0.2">
      <c r="A3558" t="s">
        <v>12280</v>
      </c>
      <c r="F3558" s="2">
        <v>525688355</v>
      </c>
      <c r="G3558" s="2">
        <v>134085119</v>
      </c>
      <c r="H3558" t="s">
        <v>28</v>
      </c>
      <c r="I3558" t="s">
        <v>17</v>
      </c>
      <c r="J3558" t="s">
        <v>25</v>
      </c>
    </row>
    <row r="3559" spans="1:11" x14ac:dyDescent="0.2">
      <c r="A3559" t="s">
        <v>12281</v>
      </c>
      <c r="F3559" s="2">
        <v>525537831</v>
      </c>
      <c r="G3559" s="2">
        <v>133823038</v>
      </c>
      <c r="H3559" t="s">
        <v>28</v>
      </c>
      <c r="I3559" t="s">
        <v>17</v>
      </c>
      <c r="J3559" t="s">
        <v>25</v>
      </c>
    </row>
    <row r="3560" spans="1:11" x14ac:dyDescent="0.2">
      <c r="A3560" t="s">
        <v>12282</v>
      </c>
      <c r="E3560" t="s">
        <v>12283</v>
      </c>
    </row>
    <row r="3561" spans="1:11" x14ac:dyDescent="0.2">
      <c r="A3561" t="s">
        <v>12284</v>
      </c>
      <c r="F3561" s="2">
        <v>525072838</v>
      </c>
      <c r="G3561" s="2">
        <v>133210155</v>
      </c>
      <c r="H3561" t="s">
        <v>28</v>
      </c>
      <c r="I3561" t="s">
        <v>17</v>
      </c>
      <c r="J3561" t="s">
        <v>25</v>
      </c>
    </row>
    <row r="3562" spans="1:11" x14ac:dyDescent="0.2">
      <c r="A3562" t="s">
        <v>12285</v>
      </c>
      <c r="B3562" t="s">
        <v>12286</v>
      </c>
      <c r="C3562" t="s">
        <v>12287</v>
      </c>
      <c r="D3562" t="s">
        <v>12288</v>
      </c>
      <c r="F3562" s="2">
        <v>524613913</v>
      </c>
      <c r="G3562" s="2">
        <v>133117346</v>
      </c>
      <c r="H3562" t="s">
        <v>51</v>
      </c>
      <c r="I3562" t="s">
        <v>17</v>
      </c>
      <c r="J3562" t="s">
        <v>25</v>
      </c>
      <c r="K3562" t="s">
        <v>12289</v>
      </c>
    </row>
    <row r="3563" spans="1:11" x14ac:dyDescent="0.2">
      <c r="A3563" t="s">
        <v>12290</v>
      </c>
      <c r="B3563" t="s">
        <v>12291</v>
      </c>
      <c r="C3563" t="s">
        <v>12292</v>
      </c>
      <c r="E3563" t="s">
        <v>12293</v>
      </c>
      <c r="F3563" s="2">
        <v>525740036</v>
      </c>
      <c r="G3563" s="2">
        <v>133479341</v>
      </c>
      <c r="H3563" t="s">
        <v>38</v>
      </c>
      <c r="I3563" t="s">
        <v>17</v>
      </c>
      <c r="J3563" t="s">
        <v>25</v>
      </c>
    </row>
    <row r="3564" spans="1:11" x14ac:dyDescent="0.2">
      <c r="A3564" t="s">
        <v>12294</v>
      </c>
      <c r="B3564" t="s">
        <v>12295</v>
      </c>
      <c r="F3564" s="2">
        <v>524785333</v>
      </c>
      <c r="G3564" s="2">
        <v>13438063</v>
      </c>
      <c r="H3564" t="s">
        <v>28</v>
      </c>
      <c r="I3564" t="s">
        <v>17</v>
      </c>
      <c r="J3564" t="s">
        <v>25</v>
      </c>
    </row>
    <row r="3565" spans="1:11" x14ac:dyDescent="0.2">
      <c r="A3565" t="s">
        <v>12296</v>
      </c>
      <c r="B3565" t="s">
        <v>12297</v>
      </c>
      <c r="C3565" t="s">
        <v>12298</v>
      </c>
      <c r="E3565">
        <v>493043669041</v>
      </c>
      <c r="F3565" s="2">
        <v>52583656</v>
      </c>
      <c r="G3565" s="2">
        <v>132871934</v>
      </c>
      <c r="H3565" t="s">
        <v>38</v>
      </c>
      <c r="I3565" t="s">
        <v>17</v>
      </c>
      <c r="J3565" t="s">
        <v>25</v>
      </c>
    </row>
    <row r="3566" spans="1:11" x14ac:dyDescent="0.2">
      <c r="A3566" t="s">
        <v>12299</v>
      </c>
      <c r="B3566" t="s">
        <v>12300</v>
      </c>
      <c r="C3566" t="s">
        <v>12301</v>
      </c>
      <c r="D3566" t="s">
        <v>12302</v>
      </c>
      <c r="E3566" t="s">
        <v>12303</v>
      </c>
      <c r="F3566" s="2">
        <v>524557832</v>
      </c>
      <c r="G3566" s="2">
        <v>136261088</v>
      </c>
      <c r="H3566" t="s">
        <v>24</v>
      </c>
      <c r="I3566" t="s">
        <v>17</v>
      </c>
      <c r="J3566" t="s">
        <v>25</v>
      </c>
    </row>
    <row r="3567" spans="1:11" x14ac:dyDescent="0.2">
      <c r="A3567" t="s">
        <v>12304</v>
      </c>
      <c r="B3567" t="s">
        <v>12305</v>
      </c>
      <c r="F3567" s="2">
        <v>524836542</v>
      </c>
      <c r="G3567" s="2">
        <v>134365327</v>
      </c>
      <c r="H3567" t="s">
        <v>28</v>
      </c>
      <c r="I3567" t="s">
        <v>17</v>
      </c>
      <c r="J3567" t="s">
        <v>25</v>
      </c>
    </row>
    <row r="3568" spans="1:11" x14ac:dyDescent="0.2">
      <c r="A3568" t="s">
        <v>12306</v>
      </c>
      <c r="B3568" t="s">
        <v>12307</v>
      </c>
      <c r="F3568" s="2">
        <v>525017191</v>
      </c>
      <c r="G3568" s="2">
        <v>134180373</v>
      </c>
      <c r="H3568" t="s">
        <v>28</v>
      </c>
      <c r="I3568" t="s">
        <v>17</v>
      </c>
      <c r="J3568" t="s">
        <v>25</v>
      </c>
    </row>
    <row r="3569" spans="1:11" x14ac:dyDescent="0.2">
      <c r="A3569" t="s">
        <v>12308</v>
      </c>
      <c r="F3569" s="2">
        <v>524680622</v>
      </c>
      <c r="G3569" s="2">
        <v>134311892</v>
      </c>
      <c r="H3569" t="s">
        <v>28</v>
      </c>
      <c r="I3569" t="s">
        <v>17</v>
      </c>
      <c r="J3569" t="s">
        <v>25</v>
      </c>
    </row>
    <row r="3570" spans="1:11" x14ac:dyDescent="0.2">
      <c r="A3570" t="s">
        <v>12309</v>
      </c>
      <c r="B3570">
        <v>12043</v>
      </c>
      <c r="F3570" s="2">
        <v>524750978</v>
      </c>
      <c r="G3570" s="2">
        <v>134396545</v>
      </c>
      <c r="H3570" t="s">
        <v>28</v>
      </c>
      <c r="I3570" t="s">
        <v>17</v>
      </c>
      <c r="J3570" t="s">
        <v>25</v>
      </c>
    </row>
    <row r="3571" spans="1:11" x14ac:dyDescent="0.2">
      <c r="A3571" t="s">
        <v>12310</v>
      </c>
      <c r="F3571" s="2">
        <v>525074074</v>
      </c>
      <c r="G3571" s="2">
        <v>134568267</v>
      </c>
      <c r="H3571" t="s">
        <v>28</v>
      </c>
      <c r="I3571" t="s">
        <v>17</v>
      </c>
      <c r="J3571" t="s">
        <v>25</v>
      </c>
    </row>
    <row r="3572" spans="1:11" x14ac:dyDescent="0.2">
      <c r="A3572" t="s">
        <v>12311</v>
      </c>
      <c r="F3572" s="2">
        <v>525051879</v>
      </c>
      <c r="G3572" s="2">
        <v>134623643</v>
      </c>
      <c r="H3572" t="s">
        <v>28</v>
      </c>
      <c r="I3572" t="s">
        <v>17</v>
      </c>
      <c r="J3572" t="s">
        <v>25</v>
      </c>
    </row>
    <row r="3573" spans="1:11" x14ac:dyDescent="0.2">
      <c r="A3573" t="s">
        <v>12312</v>
      </c>
      <c r="B3573" t="s">
        <v>12313</v>
      </c>
      <c r="C3573" t="s">
        <v>12314</v>
      </c>
      <c r="D3573" t="s">
        <v>12315</v>
      </c>
      <c r="E3573" t="s">
        <v>12316</v>
      </c>
      <c r="F3573" s="2">
        <v>524378981</v>
      </c>
      <c r="G3573" s="2">
        <v>132153305</v>
      </c>
      <c r="H3573" t="s">
        <v>24</v>
      </c>
      <c r="I3573" t="s">
        <v>17</v>
      </c>
      <c r="J3573" t="s">
        <v>25</v>
      </c>
    </row>
    <row r="3574" spans="1:11" x14ac:dyDescent="0.2">
      <c r="A3574" t="s">
        <v>12317</v>
      </c>
      <c r="B3574" t="s">
        <v>12318</v>
      </c>
      <c r="C3574" t="s">
        <v>12319</v>
      </c>
      <c r="E3574" t="s">
        <v>12320</v>
      </c>
      <c r="F3574" s="2">
        <v>525557896</v>
      </c>
      <c r="G3574" s="2">
        <v>135022781</v>
      </c>
      <c r="H3574" t="s">
        <v>38</v>
      </c>
      <c r="I3574" t="s">
        <v>17</v>
      </c>
      <c r="J3574" t="s">
        <v>25</v>
      </c>
    </row>
    <row r="3575" spans="1:11" x14ac:dyDescent="0.2">
      <c r="A3575" t="s">
        <v>12321</v>
      </c>
      <c r="B3575" t="s">
        <v>12322</v>
      </c>
      <c r="C3575" t="s">
        <v>12323</v>
      </c>
      <c r="E3575" t="s">
        <v>12324</v>
      </c>
      <c r="F3575" s="2">
        <v>525249622</v>
      </c>
      <c r="G3575" s="2">
        <v>136065029</v>
      </c>
      <c r="H3575" t="s">
        <v>38</v>
      </c>
      <c r="I3575" t="s">
        <v>17</v>
      </c>
      <c r="J3575" t="s">
        <v>25</v>
      </c>
    </row>
    <row r="3576" spans="1:11" x14ac:dyDescent="0.2">
      <c r="A3576" t="s">
        <v>12325</v>
      </c>
      <c r="F3576" s="2">
        <v>525292062</v>
      </c>
      <c r="G3576" s="2">
        <v>134905719</v>
      </c>
      <c r="H3576" t="s">
        <v>28</v>
      </c>
      <c r="I3576" t="s">
        <v>17</v>
      </c>
      <c r="J3576" t="s">
        <v>25</v>
      </c>
    </row>
    <row r="3577" spans="1:11" x14ac:dyDescent="0.2">
      <c r="A3577" t="s">
        <v>12326</v>
      </c>
      <c r="B3577" t="s">
        <v>12327</v>
      </c>
      <c r="C3577" t="s">
        <v>12328</v>
      </c>
      <c r="E3577" t="s">
        <v>12329</v>
      </c>
      <c r="F3577" s="2">
        <v>524466453</v>
      </c>
      <c r="G3577" s="2">
        <v>136264242</v>
      </c>
      <c r="H3577" t="s">
        <v>38</v>
      </c>
      <c r="I3577" t="s">
        <v>17</v>
      </c>
      <c r="J3577" t="s">
        <v>25</v>
      </c>
    </row>
    <row r="3578" spans="1:11" x14ac:dyDescent="0.2">
      <c r="A3578" t="s">
        <v>12330</v>
      </c>
      <c r="B3578" t="s">
        <v>12331</v>
      </c>
      <c r="C3578" t="s">
        <v>12332</v>
      </c>
      <c r="D3578" t="s">
        <v>12333</v>
      </c>
      <c r="E3578" t="s">
        <v>12334</v>
      </c>
      <c r="F3578" s="2">
        <v>524896789</v>
      </c>
      <c r="G3578" s="2">
        <v>133908677</v>
      </c>
      <c r="H3578" t="s">
        <v>24</v>
      </c>
      <c r="I3578" t="s">
        <v>17</v>
      </c>
      <c r="J3578" t="s">
        <v>25</v>
      </c>
    </row>
    <row r="3579" spans="1:11" x14ac:dyDescent="0.2">
      <c r="A3579" t="s">
        <v>12335</v>
      </c>
      <c r="B3579" t="s">
        <v>12336</v>
      </c>
      <c r="F3579" s="2">
        <v>525093526</v>
      </c>
      <c r="G3579" s="2">
        <v>13465542</v>
      </c>
      <c r="H3579" t="s">
        <v>28</v>
      </c>
      <c r="I3579" t="s">
        <v>17</v>
      </c>
      <c r="J3579" t="s">
        <v>25</v>
      </c>
    </row>
    <row r="3580" spans="1:11" x14ac:dyDescent="0.2">
      <c r="A3580" t="s">
        <v>12337</v>
      </c>
      <c r="B3580" t="s">
        <v>12338</v>
      </c>
      <c r="F3580" s="2">
        <v>524873246</v>
      </c>
      <c r="G3580" s="2">
        <v>134218749</v>
      </c>
      <c r="H3580" t="s">
        <v>28</v>
      </c>
      <c r="I3580" t="s">
        <v>17</v>
      </c>
      <c r="J3580" t="s">
        <v>25</v>
      </c>
    </row>
    <row r="3581" spans="1:11" x14ac:dyDescent="0.2">
      <c r="A3581" t="s">
        <v>12339</v>
      </c>
      <c r="B3581" t="s">
        <v>12340</v>
      </c>
      <c r="F3581" s="2">
        <v>524863465</v>
      </c>
      <c r="G3581" s="2">
        <v>134235799</v>
      </c>
      <c r="H3581" t="s">
        <v>28</v>
      </c>
      <c r="I3581" t="s">
        <v>17</v>
      </c>
      <c r="J3581" t="s">
        <v>25</v>
      </c>
    </row>
    <row r="3582" spans="1:11" x14ac:dyDescent="0.2">
      <c r="A3582" t="s">
        <v>12341</v>
      </c>
      <c r="B3582" t="s">
        <v>12342</v>
      </c>
      <c r="C3582" t="s">
        <v>12343</v>
      </c>
      <c r="D3582" t="s">
        <v>12344</v>
      </c>
      <c r="E3582" t="s">
        <v>12345</v>
      </c>
      <c r="F3582" s="2">
        <v>524898321</v>
      </c>
      <c r="G3582" s="2">
        <v>134336055</v>
      </c>
      <c r="H3582" t="s">
        <v>51</v>
      </c>
      <c r="I3582" t="s">
        <v>17</v>
      </c>
      <c r="J3582" t="s">
        <v>25</v>
      </c>
      <c r="K3582" t="s">
        <v>12346</v>
      </c>
    </row>
    <row r="3583" spans="1:11" x14ac:dyDescent="0.2">
      <c r="A3583" t="s">
        <v>12347</v>
      </c>
      <c r="F3583" s="2">
        <v>525275316</v>
      </c>
      <c r="G3583" s="2">
        <v>133308935</v>
      </c>
      <c r="H3583" t="s">
        <v>28</v>
      </c>
      <c r="I3583" t="s">
        <v>17</v>
      </c>
      <c r="J3583" t="s">
        <v>25</v>
      </c>
    </row>
    <row r="3584" spans="1:11" x14ac:dyDescent="0.2">
      <c r="A3584" t="s">
        <v>12348</v>
      </c>
      <c r="B3584" t="s">
        <v>12349</v>
      </c>
      <c r="C3584" t="s">
        <v>12350</v>
      </c>
      <c r="D3584" t="s">
        <v>12351</v>
      </c>
      <c r="E3584" t="s">
        <v>12352</v>
      </c>
      <c r="F3584" s="2">
        <v>524422499</v>
      </c>
      <c r="G3584" s="2">
        <v>133455789</v>
      </c>
      <c r="H3584" t="s">
        <v>24</v>
      </c>
      <c r="I3584" t="s">
        <v>17</v>
      </c>
      <c r="J3584" t="s">
        <v>25</v>
      </c>
    </row>
    <row r="3585" spans="1:11" x14ac:dyDescent="0.2">
      <c r="A3585" t="s">
        <v>12353</v>
      </c>
      <c r="B3585" t="s">
        <v>12354</v>
      </c>
      <c r="C3585" t="s">
        <v>2931</v>
      </c>
      <c r="F3585" s="2">
        <v>52587287</v>
      </c>
      <c r="G3585" s="2">
        <v>1340239</v>
      </c>
      <c r="H3585" t="s">
        <v>255</v>
      </c>
      <c r="I3585" t="s">
        <v>17</v>
      </c>
      <c r="J3585" t="s">
        <v>25</v>
      </c>
    </row>
    <row r="3586" spans="1:11" x14ac:dyDescent="0.2">
      <c r="A3586" t="s">
        <v>12355</v>
      </c>
      <c r="F3586" s="2">
        <v>524797034</v>
      </c>
      <c r="G3586" s="2">
        <v>134446055</v>
      </c>
      <c r="H3586" t="s">
        <v>28</v>
      </c>
      <c r="I3586" t="s">
        <v>17</v>
      </c>
      <c r="J3586" t="s">
        <v>25</v>
      </c>
    </row>
    <row r="3587" spans="1:11" x14ac:dyDescent="0.2">
      <c r="A3587" t="s">
        <v>12356</v>
      </c>
      <c r="B3587" t="s">
        <v>12357</v>
      </c>
      <c r="C3587" t="s">
        <v>12358</v>
      </c>
      <c r="D3587" t="s">
        <v>12359</v>
      </c>
      <c r="F3587" s="2">
        <v>525468267</v>
      </c>
      <c r="G3587" s="2">
        <v>13412439</v>
      </c>
      <c r="H3587" t="s">
        <v>304</v>
      </c>
      <c r="I3587" t="s">
        <v>17</v>
      </c>
      <c r="J3587" t="s">
        <v>25</v>
      </c>
      <c r="K3587" t="s">
        <v>12360</v>
      </c>
    </row>
    <row r="3588" spans="1:11" x14ac:dyDescent="0.2">
      <c r="A3588" t="s">
        <v>12361</v>
      </c>
      <c r="F3588" s="2">
        <v>525188821</v>
      </c>
      <c r="G3588" s="2">
        <v>133811355</v>
      </c>
      <c r="H3588" t="s">
        <v>28</v>
      </c>
      <c r="I3588" t="s">
        <v>17</v>
      </c>
      <c r="J3588" t="s">
        <v>25</v>
      </c>
    </row>
    <row r="3589" spans="1:11" x14ac:dyDescent="0.2">
      <c r="A3589" t="s">
        <v>12362</v>
      </c>
      <c r="F3589" s="2">
        <v>524651578</v>
      </c>
      <c r="G3589" s="2">
        <v>133277899</v>
      </c>
      <c r="H3589" t="s">
        <v>28</v>
      </c>
      <c r="I3589" t="s">
        <v>17</v>
      </c>
      <c r="J3589" t="s">
        <v>25</v>
      </c>
    </row>
    <row r="3590" spans="1:11" x14ac:dyDescent="0.2">
      <c r="A3590" t="s">
        <v>12363</v>
      </c>
      <c r="B3590" t="s">
        <v>12364</v>
      </c>
      <c r="C3590" t="s">
        <v>12365</v>
      </c>
      <c r="F3590" s="2">
        <v>525006447</v>
      </c>
      <c r="G3590" s="2">
        <v>134135331</v>
      </c>
      <c r="H3590" t="s">
        <v>255</v>
      </c>
      <c r="I3590" t="s">
        <v>17</v>
      </c>
      <c r="J3590" t="s">
        <v>25</v>
      </c>
    </row>
    <row r="3591" spans="1:11" x14ac:dyDescent="0.2">
      <c r="A3591" t="s">
        <v>12366</v>
      </c>
      <c r="B3591" t="s">
        <v>9444</v>
      </c>
      <c r="C3591" t="s">
        <v>12367</v>
      </c>
      <c r="D3591" t="s">
        <v>12368</v>
      </c>
      <c r="E3591">
        <f>1-860-505-7079</f>
        <v>-8443</v>
      </c>
      <c r="F3591" s="2">
        <v>416438492</v>
      </c>
      <c r="G3591" s="2">
        <v>-727330464</v>
      </c>
      <c r="H3591" t="s">
        <v>304</v>
      </c>
      <c r="I3591" t="s">
        <v>17</v>
      </c>
      <c r="J3591" t="s">
        <v>25</v>
      </c>
      <c r="K3591" t="s">
        <v>12369</v>
      </c>
    </row>
    <row r="3592" spans="1:11" x14ac:dyDescent="0.2">
      <c r="A3592" t="s">
        <v>12370</v>
      </c>
      <c r="B3592" t="s">
        <v>12371</v>
      </c>
      <c r="C3592" t="s">
        <v>12372</v>
      </c>
      <c r="E3592" t="s">
        <v>12373</v>
      </c>
      <c r="F3592" s="2">
        <v>524306918</v>
      </c>
      <c r="G3592" s="2">
        <v>131936819</v>
      </c>
      <c r="H3592" t="s">
        <v>38</v>
      </c>
      <c r="I3592" t="s">
        <v>17</v>
      </c>
      <c r="J3592" t="s">
        <v>25</v>
      </c>
    </row>
    <row r="3593" spans="1:11" x14ac:dyDescent="0.2">
      <c r="A3593" t="s">
        <v>12374</v>
      </c>
      <c r="B3593" t="s">
        <v>12375</v>
      </c>
      <c r="C3593" t="s">
        <v>12376</v>
      </c>
      <c r="D3593" t="s">
        <v>12377</v>
      </c>
      <c r="E3593" t="s">
        <v>12378</v>
      </c>
      <c r="F3593" s="2">
        <v>525435477</v>
      </c>
      <c r="G3593" s="2">
        <v>13418885</v>
      </c>
      <c r="H3593" t="s">
        <v>51</v>
      </c>
      <c r="I3593" t="s">
        <v>17</v>
      </c>
      <c r="J3593" t="s">
        <v>25</v>
      </c>
      <c r="K3593" t="s">
        <v>12379</v>
      </c>
    </row>
    <row r="3594" spans="1:11" x14ac:dyDescent="0.2">
      <c r="A3594" t="s">
        <v>12380</v>
      </c>
      <c r="B3594" t="s">
        <v>12381</v>
      </c>
      <c r="E3594" t="s">
        <v>12382</v>
      </c>
      <c r="F3594" s="2">
        <v>525275175</v>
      </c>
      <c r="G3594" s="2">
        <v>13388198</v>
      </c>
      <c r="H3594" t="s">
        <v>34</v>
      </c>
      <c r="I3594" t="s">
        <v>17</v>
      </c>
      <c r="J3594" t="s">
        <v>25</v>
      </c>
    </row>
    <row r="3595" spans="1:11" x14ac:dyDescent="0.2">
      <c r="A3595" t="s">
        <v>12383</v>
      </c>
      <c r="B3595" t="s">
        <v>12384</v>
      </c>
      <c r="E3595" t="s">
        <v>12385</v>
      </c>
      <c r="F3595" s="2">
        <v>525593716</v>
      </c>
      <c r="G3595" s="2">
        <v>133357703</v>
      </c>
      <c r="H3595" t="s">
        <v>34</v>
      </c>
      <c r="I3595" t="s">
        <v>17</v>
      </c>
      <c r="J3595" t="s">
        <v>25</v>
      </c>
    </row>
    <row r="3596" spans="1:11" x14ac:dyDescent="0.2">
      <c r="A3596" t="s">
        <v>12386</v>
      </c>
      <c r="F3596" s="2">
        <v>524980319</v>
      </c>
      <c r="G3596" s="2">
        <v>134435583</v>
      </c>
      <c r="H3596" t="s">
        <v>28</v>
      </c>
      <c r="I3596" t="s">
        <v>17</v>
      </c>
      <c r="J3596" t="s">
        <v>25</v>
      </c>
    </row>
    <row r="3597" spans="1:11" x14ac:dyDescent="0.2">
      <c r="A3597" t="s">
        <v>12387</v>
      </c>
      <c r="B3597" t="s">
        <v>12388</v>
      </c>
      <c r="C3597" t="s">
        <v>12389</v>
      </c>
      <c r="D3597" t="s">
        <v>12390</v>
      </c>
      <c r="E3597" t="s">
        <v>12391</v>
      </c>
      <c r="F3597" s="2">
        <v>5242115</v>
      </c>
      <c r="G3597" s="2">
        <v>133916792</v>
      </c>
      <c r="H3597" t="s">
        <v>51</v>
      </c>
      <c r="I3597" t="s">
        <v>17</v>
      </c>
      <c r="J3597" t="s">
        <v>25</v>
      </c>
      <c r="K3597" t="s">
        <v>12392</v>
      </c>
    </row>
    <row r="3598" spans="1:11" x14ac:dyDescent="0.2">
      <c r="A3598" t="s">
        <v>12393</v>
      </c>
      <c r="F3598" s="2">
        <v>524564542</v>
      </c>
      <c r="G3598" s="2">
        <v>133836037</v>
      </c>
      <c r="H3598" t="s">
        <v>28</v>
      </c>
      <c r="I3598" t="s">
        <v>17</v>
      </c>
      <c r="J3598" t="s">
        <v>25</v>
      </c>
    </row>
    <row r="3599" spans="1:11" x14ac:dyDescent="0.2">
      <c r="A3599" t="s">
        <v>12394</v>
      </c>
      <c r="F3599" s="2">
        <v>525254919</v>
      </c>
      <c r="G3599" s="2">
        <v>133871118</v>
      </c>
      <c r="H3599" t="s">
        <v>28</v>
      </c>
      <c r="I3599" t="s">
        <v>17</v>
      </c>
      <c r="J3599" t="s">
        <v>25</v>
      </c>
    </row>
    <row r="3600" spans="1:11" x14ac:dyDescent="0.2">
      <c r="A3600" t="s">
        <v>12395</v>
      </c>
      <c r="B3600" t="s">
        <v>12396</v>
      </c>
      <c r="F3600" s="2">
        <v>525028881</v>
      </c>
      <c r="G3600" s="2">
        <v>134082115</v>
      </c>
      <c r="H3600" t="s">
        <v>28</v>
      </c>
      <c r="I3600" t="s">
        <v>17</v>
      </c>
      <c r="J3600" t="s">
        <v>25</v>
      </c>
    </row>
    <row r="3601" spans="1:11" x14ac:dyDescent="0.2">
      <c r="A3601" t="s">
        <v>12397</v>
      </c>
      <c r="B3601" t="s">
        <v>12398</v>
      </c>
      <c r="C3601" t="s">
        <v>12399</v>
      </c>
      <c r="E3601" t="s">
        <v>12400</v>
      </c>
      <c r="F3601" s="2">
        <v>524947036</v>
      </c>
      <c r="G3601" s="2">
        <v>134292049</v>
      </c>
      <c r="H3601" t="s">
        <v>38</v>
      </c>
      <c r="I3601" t="s">
        <v>17</v>
      </c>
      <c r="J3601" t="s">
        <v>25</v>
      </c>
    </row>
    <row r="3602" spans="1:11" x14ac:dyDescent="0.2">
      <c r="A3602" t="s">
        <v>12401</v>
      </c>
      <c r="B3602" t="s">
        <v>12402</v>
      </c>
      <c r="C3602" t="s">
        <v>12403</v>
      </c>
      <c r="D3602" t="s">
        <v>12404</v>
      </c>
      <c r="E3602">
        <v>4917632401622</v>
      </c>
      <c r="F3602" s="2">
        <v>525148279</v>
      </c>
      <c r="G3602" s="2">
        <v>133388533</v>
      </c>
      <c r="H3602" t="s">
        <v>16</v>
      </c>
      <c r="I3602" t="s">
        <v>17</v>
      </c>
      <c r="J3602" t="s">
        <v>25</v>
      </c>
    </row>
    <row r="3603" spans="1:11" x14ac:dyDescent="0.2">
      <c r="A3603" t="s">
        <v>12405</v>
      </c>
      <c r="F3603" s="2">
        <v>525069684</v>
      </c>
      <c r="G3603" s="2">
        <v>132993705</v>
      </c>
      <c r="H3603" t="s">
        <v>28</v>
      </c>
      <c r="I3603" t="s">
        <v>17</v>
      </c>
      <c r="J3603" t="s">
        <v>25</v>
      </c>
    </row>
    <row r="3604" spans="1:11" x14ac:dyDescent="0.2">
      <c r="A3604" t="s">
        <v>12406</v>
      </c>
      <c r="F3604" s="2">
        <v>525239329</v>
      </c>
      <c r="G3604" s="2">
        <v>133996615</v>
      </c>
      <c r="H3604" t="s">
        <v>28</v>
      </c>
      <c r="I3604" t="s">
        <v>17</v>
      </c>
      <c r="J3604" t="s">
        <v>25</v>
      </c>
    </row>
    <row r="3605" spans="1:11" x14ac:dyDescent="0.2">
      <c r="A3605" t="s">
        <v>12407</v>
      </c>
      <c r="B3605" t="s">
        <v>12408</v>
      </c>
      <c r="F3605" s="2">
        <v>524976805</v>
      </c>
      <c r="G3605" s="2">
        <v>134212845</v>
      </c>
      <c r="H3605" t="s">
        <v>28</v>
      </c>
      <c r="I3605" t="s">
        <v>17</v>
      </c>
      <c r="J3605" t="s">
        <v>25</v>
      </c>
    </row>
    <row r="3606" spans="1:11" x14ac:dyDescent="0.2">
      <c r="A3606" t="s">
        <v>12409</v>
      </c>
      <c r="B3606" t="s">
        <v>12410</v>
      </c>
      <c r="F3606" s="2">
        <v>52497899</v>
      </c>
      <c r="G3606" s="2">
        <v>134216749</v>
      </c>
      <c r="H3606" t="s">
        <v>28</v>
      </c>
      <c r="I3606" t="s">
        <v>17</v>
      </c>
      <c r="J3606" t="s">
        <v>25</v>
      </c>
    </row>
    <row r="3607" spans="1:11" x14ac:dyDescent="0.2">
      <c r="A3607" t="s">
        <v>12411</v>
      </c>
      <c r="F3607" s="2">
        <v>524531224</v>
      </c>
      <c r="G3607" s="2">
        <v>134522318</v>
      </c>
      <c r="H3607" t="s">
        <v>28</v>
      </c>
      <c r="I3607" t="s">
        <v>17</v>
      </c>
      <c r="J3607" t="s">
        <v>25</v>
      </c>
    </row>
    <row r="3608" spans="1:11" x14ac:dyDescent="0.2">
      <c r="A3608" t="s">
        <v>12412</v>
      </c>
      <c r="B3608" t="s">
        <v>12413</v>
      </c>
      <c r="C3608" t="s">
        <v>12414</v>
      </c>
      <c r="D3608" t="s">
        <v>12415</v>
      </c>
      <c r="E3608" t="s">
        <v>12416</v>
      </c>
      <c r="F3608" s="2">
        <v>524896898</v>
      </c>
      <c r="G3608" s="2">
        <v>134339846</v>
      </c>
      <c r="H3608" t="s">
        <v>51</v>
      </c>
      <c r="I3608" t="s">
        <v>17</v>
      </c>
      <c r="J3608" t="s">
        <v>25</v>
      </c>
      <c r="K3608" t="s">
        <v>12417</v>
      </c>
    </row>
    <row r="3609" spans="1:11" x14ac:dyDescent="0.2">
      <c r="A3609" t="s">
        <v>12418</v>
      </c>
      <c r="B3609" t="s">
        <v>12419</v>
      </c>
      <c r="F3609" s="2">
        <v>523917016</v>
      </c>
      <c r="G3609" s="2">
        <v>134019108</v>
      </c>
      <c r="H3609" t="s">
        <v>28</v>
      </c>
      <c r="I3609" t="s">
        <v>17</v>
      </c>
      <c r="J3609" t="s">
        <v>25</v>
      </c>
    </row>
    <row r="3610" spans="1:11" x14ac:dyDescent="0.2">
      <c r="A3610" t="s">
        <v>12420</v>
      </c>
      <c r="B3610" t="s">
        <v>12421</v>
      </c>
      <c r="C3610" t="s">
        <v>12422</v>
      </c>
      <c r="F3610" s="2">
        <v>525254923</v>
      </c>
      <c r="G3610" s="2">
        <v>133526659</v>
      </c>
      <c r="H3610" t="s">
        <v>255</v>
      </c>
      <c r="I3610" t="s">
        <v>17</v>
      </c>
      <c r="J3610" t="s">
        <v>25</v>
      </c>
    </row>
    <row r="3611" spans="1:11" x14ac:dyDescent="0.2">
      <c r="A3611" t="s">
        <v>12423</v>
      </c>
      <c r="B3611" t="s">
        <v>12424</v>
      </c>
      <c r="F3611" s="2">
        <v>524044372</v>
      </c>
      <c r="G3611" s="2">
        <v>134057891</v>
      </c>
      <c r="H3611" t="s">
        <v>28</v>
      </c>
      <c r="I3611" t="s">
        <v>17</v>
      </c>
      <c r="J3611" t="s">
        <v>25</v>
      </c>
    </row>
    <row r="3612" spans="1:11" x14ac:dyDescent="0.2">
      <c r="A3612" t="s">
        <v>12425</v>
      </c>
      <c r="B3612" t="s">
        <v>6700</v>
      </c>
      <c r="C3612" t="s">
        <v>12426</v>
      </c>
      <c r="D3612" t="s">
        <v>12427</v>
      </c>
      <c r="F3612" s="2">
        <v>525024903</v>
      </c>
      <c r="G3612" s="2">
        <v>133886573</v>
      </c>
      <c r="H3612" t="s">
        <v>24</v>
      </c>
      <c r="I3612" t="s">
        <v>17</v>
      </c>
      <c r="J3612" t="s">
        <v>25</v>
      </c>
    </row>
    <row r="3613" spans="1:11" x14ac:dyDescent="0.2">
      <c r="A3613" t="s">
        <v>12428</v>
      </c>
      <c r="F3613" s="2">
        <v>524994541</v>
      </c>
      <c r="G3613" s="2">
        <v>134279539</v>
      </c>
      <c r="H3613" t="s">
        <v>28</v>
      </c>
      <c r="I3613" t="s">
        <v>17</v>
      </c>
      <c r="J3613" t="s">
        <v>25</v>
      </c>
    </row>
    <row r="3614" spans="1:11" x14ac:dyDescent="0.2">
      <c r="A3614" t="s">
        <v>12429</v>
      </c>
      <c r="C3614" t="s">
        <v>12430</v>
      </c>
      <c r="D3614" t="s">
        <v>12431</v>
      </c>
      <c r="E3614" t="s">
        <v>12432</v>
      </c>
      <c r="F3614" s="2">
        <v>52517132</v>
      </c>
      <c r="G3614" s="2">
        <v>132810331</v>
      </c>
      <c r="H3614" t="s">
        <v>304</v>
      </c>
      <c r="I3614" t="s">
        <v>17</v>
      </c>
      <c r="J3614" t="s">
        <v>25</v>
      </c>
      <c r="K3614" t="s">
        <v>12433</v>
      </c>
    </row>
    <row r="3615" spans="1:11" x14ac:dyDescent="0.2">
      <c r="A3615" t="s">
        <v>12434</v>
      </c>
      <c r="B3615" t="s">
        <v>12435</v>
      </c>
      <c r="C3615" t="s">
        <v>12436</v>
      </c>
      <c r="F3615" s="2">
        <v>52533103</v>
      </c>
      <c r="G3615" s="2">
        <v>134248529</v>
      </c>
      <c r="H3615" t="s">
        <v>255</v>
      </c>
      <c r="I3615" t="s">
        <v>17</v>
      </c>
      <c r="J3615" t="s">
        <v>25</v>
      </c>
    </row>
    <row r="3616" spans="1:11" x14ac:dyDescent="0.2">
      <c r="A3616" t="s">
        <v>12437</v>
      </c>
      <c r="B3616" t="s">
        <v>12438</v>
      </c>
      <c r="C3616" t="s">
        <v>12439</v>
      </c>
      <c r="D3616" t="s">
        <v>12440</v>
      </c>
      <c r="F3616" s="2">
        <v>524359245</v>
      </c>
      <c r="G3616" s="2">
        <v>132569479</v>
      </c>
      <c r="H3616" t="s">
        <v>304</v>
      </c>
      <c r="I3616" t="s">
        <v>17</v>
      </c>
      <c r="J3616" t="s">
        <v>25</v>
      </c>
      <c r="K3616" t="s">
        <v>12441</v>
      </c>
    </row>
    <row r="3617" spans="1:11" x14ac:dyDescent="0.2">
      <c r="A3617" t="s">
        <v>12442</v>
      </c>
      <c r="B3617" t="s">
        <v>12443</v>
      </c>
      <c r="C3617" t="s">
        <v>12444</v>
      </c>
      <c r="D3617" t="s">
        <v>1080</v>
      </c>
      <c r="E3617" t="s">
        <v>12445</v>
      </c>
      <c r="F3617" s="2">
        <v>524363093</v>
      </c>
      <c r="G3617" s="2">
        <v>132598293</v>
      </c>
      <c r="H3617" t="s">
        <v>24</v>
      </c>
      <c r="I3617" t="s">
        <v>17</v>
      </c>
      <c r="J3617" t="s">
        <v>25</v>
      </c>
    </row>
    <row r="3618" spans="1:11" x14ac:dyDescent="0.2">
      <c r="A3618" t="s">
        <v>12446</v>
      </c>
      <c r="F3618" s="2">
        <v>525159832</v>
      </c>
      <c r="G3618" s="2">
        <v>133887243</v>
      </c>
      <c r="H3618" t="s">
        <v>28</v>
      </c>
      <c r="I3618" t="s">
        <v>17</v>
      </c>
      <c r="J3618" t="s">
        <v>25</v>
      </c>
    </row>
    <row r="3619" spans="1:11" x14ac:dyDescent="0.2">
      <c r="A3619" t="s">
        <v>12447</v>
      </c>
      <c r="B3619" t="s">
        <v>12448</v>
      </c>
      <c r="F3619" s="2">
        <v>525443523</v>
      </c>
      <c r="G3619" s="2">
        <v>134162006</v>
      </c>
      <c r="H3619" t="s">
        <v>28</v>
      </c>
      <c r="I3619" t="s">
        <v>17</v>
      </c>
      <c r="J3619" t="s">
        <v>25</v>
      </c>
    </row>
    <row r="3620" spans="1:11" x14ac:dyDescent="0.2">
      <c r="A3620" t="s">
        <v>12449</v>
      </c>
      <c r="B3620" t="s">
        <v>12450</v>
      </c>
      <c r="C3620" t="s">
        <v>12451</v>
      </c>
      <c r="E3620" t="s">
        <v>12452</v>
      </c>
      <c r="F3620" s="2">
        <v>525025066</v>
      </c>
      <c r="G3620" s="2">
        <v>13308655</v>
      </c>
      <c r="H3620" t="s">
        <v>38</v>
      </c>
      <c r="I3620" t="s">
        <v>17</v>
      </c>
      <c r="J3620" t="s">
        <v>25</v>
      </c>
    </row>
    <row r="3621" spans="1:11" x14ac:dyDescent="0.2">
      <c r="A3621" t="s">
        <v>12453</v>
      </c>
      <c r="B3621" t="s">
        <v>12454</v>
      </c>
      <c r="C3621" t="s">
        <v>12455</v>
      </c>
      <c r="D3621" t="s">
        <v>4759</v>
      </c>
      <c r="F3621" s="2">
        <v>525165604</v>
      </c>
      <c r="G3621" s="2">
        <v>133325735</v>
      </c>
      <c r="H3621" t="s">
        <v>51</v>
      </c>
      <c r="I3621" t="s">
        <v>17</v>
      </c>
      <c r="J3621" t="s">
        <v>25</v>
      </c>
      <c r="K3621" t="s">
        <v>4760</v>
      </c>
    </row>
    <row r="3622" spans="1:11" x14ac:dyDescent="0.2">
      <c r="A3622" t="s">
        <v>12456</v>
      </c>
      <c r="F3622" s="2">
        <v>525151849</v>
      </c>
      <c r="G3622" s="2">
        <v>133296427</v>
      </c>
      <c r="H3622" t="s">
        <v>28</v>
      </c>
      <c r="I3622" t="s">
        <v>17</v>
      </c>
      <c r="J3622" t="s">
        <v>25</v>
      </c>
    </row>
    <row r="3623" spans="1:11" x14ac:dyDescent="0.2">
      <c r="A3623" t="s">
        <v>12457</v>
      </c>
      <c r="C3623" t="s">
        <v>7799</v>
      </c>
      <c r="D3623" t="s">
        <v>7800</v>
      </c>
      <c r="F3623" s="2">
        <v>524508168</v>
      </c>
      <c r="G3623" s="2">
        <v>133420142</v>
      </c>
      <c r="H3623" t="s">
        <v>24</v>
      </c>
      <c r="I3623" t="s">
        <v>17</v>
      </c>
      <c r="J3623" t="s">
        <v>25</v>
      </c>
    </row>
    <row r="3624" spans="1:11" x14ac:dyDescent="0.2">
      <c r="A3624" t="s">
        <v>12458</v>
      </c>
      <c r="B3624" t="s">
        <v>12459</v>
      </c>
      <c r="C3624" t="s">
        <v>12460</v>
      </c>
      <c r="E3624">
        <f>1-860-357-2371</f>
        <v>-3587</v>
      </c>
      <c r="F3624" s="2">
        <v>416413943</v>
      </c>
      <c r="G3624" s="2">
        <v>-727299728</v>
      </c>
      <c r="H3624" t="s">
        <v>38</v>
      </c>
      <c r="I3624" t="s">
        <v>17</v>
      </c>
      <c r="J3624" t="s">
        <v>25</v>
      </c>
    </row>
    <row r="3625" spans="1:11" x14ac:dyDescent="0.2">
      <c r="A3625" t="s">
        <v>12461</v>
      </c>
      <c r="B3625" t="s">
        <v>12462</v>
      </c>
      <c r="C3625" t="s">
        <v>12463</v>
      </c>
      <c r="D3625" t="s">
        <v>12464</v>
      </c>
      <c r="E3625" t="s">
        <v>12465</v>
      </c>
      <c r="F3625" s="2">
        <v>525042538</v>
      </c>
      <c r="G3625" s="2">
        <v>133193441</v>
      </c>
      <c r="H3625" t="s">
        <v>304</v>
      </c>
      <c r="I3625" t="s">
        <v>17</v>
      </c>
      <c r="J3625" t="s">
        <v>25</v>
      </c>
      <c r="K3625" t="s">
        <v>12466</v>
      </c>
    </row>
    <row r="3626" spans="1:11" x14ac:dyDescent="0.2">
      <c r="A3626" t="s">
        <v>12467</v>
      </c>
      <c r="B3626" t="s">
        <v>12468</v>
      </c>
      <c r="F3626" s="2">
        <v>524866993</v>
      </c>
      <c r="G3626" s="2">
        <v>135605853</v>
      </c>
      <c r="H3626" t="s">
        <v>28</v>
      </c>
      <c r="I3626" t="s">
        <v>17</v>
      </c>
      <c r="J3626" t="s">
        <v>25</v>
      </c>
    </row>
    <row r="3627" spans="1:11" x14ac:dyDescent="0.2">
      <c r="A3627" t="s">
        <v>12469</v>
      </c>
      <c r="F3627" s="2">
        <v>524769881</v>
      </c>
      <c r="G3627" s="2">
        <v>134396658</v>
      </c>
      <c r="H3627" t="s">
        <v>28</v>
      </c>
      <c r="I3627" t="s">
        <v>17</v>
      </c>
      <c r="J3627" t="s">
        <v>25</v>
      </c>
    </row>
    <row r="3628" spans="1:11" x14ac:dyDescent="0.2">
      <c r="A3628" t="s">
        <v>12470</v>
      </c>
      <c r="F3628" s="2">
        <v>525038988</v>
      </c>
      <c r="G3628" s="2">
        <v>133474092</v>
      </c>
      <c r="H3628" t="s">
        <v>28</v>
      </c>
      <c r="I3628" t="s">
        <v>17</v>
      </c>
      <c r="J3628" t="s">
        <v>25</v>
      </c>
    </row>
    <row r="3629" spans="1:11" x14ac:dyDescent="0.2">
      <c r="A3629" t="s">
        <v>12471</v>
      </c>
      <c r="F3629" s="2">
        <v>524896518</v>
      </c>
      <c r="G3629" s="2">
        <v>133890925</v>
      </c>
      <c r="H3629" t="s">
        <v>28</v>
      </c>
      <c r="I3629" t="s">
        <v>17</v>
      </c>
      <c r="J3629" t="s">
        <v>25</v>
      </c>
    </row>
    <row r="3630" spans="1:11" x14ac:dyDescent="0.2">
      <c r="A3630" t="s">
        <v>12472</v>
      </c>
      <c r="B3630" t="s">
        <v>12473</v>
      </c>
      <c r="C3630" t="s">
        <v>12474</v>
      </c>
      <c r="D3630" t="s">
        <v>12475</v>
      </c>
      <c r="E3630" t="s">
        <v>12476</v>
      </c>
      <c r="F3630" s="2">
        <v>524066658</v>
      </c>
      <c r="G3630" s="2">
        <v>134060052</v>
      </c>
      <c r="H3630" t="s">
        <v>24</v>
      </c>
      <c r="I3630" t="s">
        <v>17</v>
      </c>
      <c r="J3630" t="s">
        <v>25</v>
      </c>
    </row>
    <row r="3631" spans="1:11" x14ac:dyDescent="0.2">
      <c r="A3631" t="s">
        <v>12477</v>
      </c>
      <c r="B3631" t="s">
        <v>12478</v>
      </c>
      <c r="F3631" s="2">
        <v>525364485</v>
      </c>
      <c r="G3631" s="2">
        <v>134105146</v>
      </c>
      <c r="H3631" t="s">
        <v>28</v>
      </c>
      <c r="I3631" t="s">
        <v>17</v>
      </c>
      <c r="J3631" t="s">
        <v>25</v>
      </c>
    </row>
    <row r="3632" spans="1:11" x14ac:dyDescent="0.2">
      <c r="A3632" t="s">
        <v>12479</v>
      </c>
      <c r="B3632">
        <v>13595</v>
      </c>
      <c r="F3632" s="2">
        <v>52527692</v>
      </c>
      <c r="G3632" s="2">
        <v>131959532</v>
      </c>
      <c r="H3632" t="s">
        <v>28</v>
      </c>
      <c r="I3632" t="s">
        <v>17</v>
      </c>
      <c r="J3632" t="s">
        <v>25</v>
      </c>
    </row>
    <row r="3633" spans="1:11" x14ac:dyDescent="0.2">
      <c r="A3633" t="s">
        <v>12480</v>
      </c>
      <c r="F3633" s="2">
        <v>524040418</v>
      </c>
      <c r="G3633" s="2">
        <v>134065195</v>
      </c>
      <c r="H3633" t="s">
        <v>28</v>
      </c>
      <c r="I3633" t="s">
        <v>17</v>
      </c>
      <c r="J3633" t="s">
        <v>25</v>
      </c>
    </row>
    <row r="3634" spans="1:11" x14ac:dyDescent="0.2">
      <c r="A3634" t="s">
        <v>12481</v>
      </c>
      <c r="B3634" t="s">
        <v>12482</v>
      </c>
      <c r="C3634" t="s">
        <v>12483</v>
      </c>
      <c r="F3634" s="2">
        <v>524939016</v>
      </c>
      <c r="G3634" s="2">
        <v>134186521</v>
      </c>
      <c r="H3634" t="s">
        <v>255</v>
      </c>
      <c r="I3634" t="s">
        <v>17</v>
      </c>
      <c r="J3634" t="s">
        <v>25</v>
      </c>
    </row>
    <row r="3635" spans="1:11" x14ac:dyDescent="0.2">
      <c r="A3635" t="s">
        <v>12484</v>
      </c>
      <c r="B3635" t="s">
        <v>12485</v>
      </c>
      <c r="F3635" s="2">
        <v>525057199</v>
      </c>
      <c r="G3635" s="2">
        <v>133206533</v>
      </c>
      <c r="H3635" t="s">
        <v>28</v>
      </c>
      <c r="I3635" t="s">
        <v>17</v>
      </c>
      <c r="J3635" t="s">
        <v>25</v>
      </c>
    </row>
    <row r="3636" spans="1:11" x14ac:dyDescent="0.2">
      <c r="A3636" t="s">
        <v>12486</v>
      </c>
      <c r="B3636" t="s">
        <v>7493</v>
      </c>
      <c r="C3636" t="s">
        <v>12487</v>
      </c>
      <c r="F3636" s="2">
        <v>524571935</v>
      </c>
      <c r="G3636" s="2">
        <v>13321873</v>
      </c>
      <c r="H3636" t="s">
        <v>3120</v>
      </c>
      <c r="I3636" t="s">
        <v>17</v>
      </c>
      <c r="J3636" t="s">
        <v>25</v>
      </c>
      <c r="K3636" t="s">
        <v>12488</v>
      </c>
    </row>
    <row r="3637" spans="1:11" x14ac:dyDescent="0.2">
      <c r="A3637" t="s">
        <v>12489</v>
      </c>
      <c r="F3637" s="2">
        <v>524756136</v>
      </c>
      <c r="G3637" s="2">
        <v>13500153</v>
      </c>
      <c r="H3637" t="s">
        <v>28</v>
      </c>
      <c r="I3637" t="s">
        <v>17</v>
      </c>
      <c r="J3637" t="s">
        <v>25</v>
      </c>
    </row>
    <row r="3638" spans="1:11" x14ac:dyDescent="0.2">
      <c r="A3638" t="s">
        <v>12490</v>
      </c>
      <c r="B3638" t="s">
        <v>12491</v>
      </c>
      <c r="C3638" t="s">
        <v>12492</v>
      </c>
      <c r="D3638" t="s">
        <v>12493</v>
      </c>
      <c r="F3638" s="2">
        <v>524984242</v>
      </c>
      <c r="G3638" s="2">
        <v>134667373</v>
      </c>
      <c r="H3638" t="s">
        <v>24</v>
      </c>
      <c r="I3638" t="s">
        <v>17</v>
      </c>
      <c r="J3638" t="s">
        <v>25</v>
      </c>
    </row>
    <row r="3639" spans="1:11" x14ac:dyDescent="0.2">
      <c r="A3639" t="s">
        <v>12494</v>
      </c>
      <c r="C3639" t="s">
        <v>12495</v>
      </c>
      <c r="D3639" t="s">
        <v>12496</v>
      </c>
      <c r="F3639" s="2">
        <v>524920704</v>
      </c>
      <c r="G3639" s="2">
        <v>133902031</v>
      </c>
      <c r="H3639" t="s">
        <v>51</v>
      </c>
      <c r="I3639" t="s">
        <v>17</v>
      </c>
      <c r="J3639" t="s">
        <v>25</v>
      </c>
      <c r="K3639" t="s">
        <v>12497</v>
      </c>
    </row>
    <row r="3640" spans="1:11" x14ac:dyDescent="0.2">
      <c r="A3640" t="s">
        <v>12498</v>
      </c>
      <c r="B3640" t="s">
        <v>12499</v>
      </c>
      <c r="C3640" t="s">
        <v>12500</v>
      </c>
      <c r="F3640" s="2">
        <v>525296158</v>
      </c>
      <c r="G3640" s="2">
        <v>134167208</v>
      </c>
      <c r="H3640" t="s">
        <v>277</v>
      </c>
      <c r="I3640" t="s">
        <v>17</v>
      </c>
      <c r="J3640" t="s">
        <v>25</v>
      </c>
      <c r="K3640" t="s">
        <v>12501</v>
      </c>
    </row>
    <row r="3641" spans="1:11" x14ac:dyDescent="0.2">
      <c r="A3641" t="s">
        <v>12502</v>
      </c>
      <c r="B3641" t="s">
        <v>12503</v>
      </c>
      <c r="C3641" t="s">
        <v>12504</v>
      </c>
      <c r="F3641" s="2">
        <v>525062699</v>
      </c>
      <c r="G3641" s="2">
        <v>133334236</v>
      </c>
      <c r="H3641" t="s">
        <v>3120</v>
      </c>
      <c r="I3641" t="s">
        <v>17</v>
      </c>
      <c r="J3641" t="s">
        <v>25</v>
      </c>
      <c r="K3641" t="s">
        <v>3334</v>
      </c>
    </row>
    <row r="3642" spans="1:11" x14ac:dyDescent="0.2">
      <c r="A3642" t="s">
        <v>12505</v>
      </c>
      <c r="B3642" t="s">
        <v>12506</v>
      </c>
      <c r="F3642" s="2">
        <v>525776037</v>
      </c>
      <c r="G3642" s="2">
        <v>133576844</v>
      </c>
      <c r="H3642" t="s">
        <v>28</v>
      </c>
      <c r="I3642" t="s">
        <v>17</v>
      </c>
      <c r="J3642" t="s">
        <v>25</v>
      </c>
    </row>
    <row r="3643" spans="1:11" x14ac:dyDescent="0.2">
      <c r="A3643" t="s">
        <v>12507</v>
      </c>
      <c r="F3643" s="2">
        <v>525679649</v>
      </c>
      <c r="G3643" s="2">
        <v>13378647</v>
      </c>
      <c r="H3643" t="s">
        <v>28</v>
      </c>
      <c r="I3643" t="s">
        <v>17</v>
      </c>
      <c r="J3643" t="s">
        <v>25</v>
      </c>
    </row>
    <row r="3644" spans="1:11" x14ac:dyDescent="0.2">
      <c r="A3644" t="s">
        <v>12508</v>
      </c>
      <c r="F3644" s="2">
        <v>525210393</v>
      </c>
      <c r="G3644" s="2">
        <v>133574311</v>
      </c>
      <c r="H3644" t="s">
        <v>28</v>
      </c>
      <c r="I3644" t="s">
        <v>17</v>
      </c>
      <c r="J3644" t="s">
        <v>25</v>
      </c>
    </row>
    <row r="3645" spans="1:11" x14ac:dyDescent="0.2">
      <c r="A3645" t="s">
        <v>12509</v>
      </c>
      <c r="B3645" t="s">
        <v>12510</v>
      </c>
      <c r="F3645" s="2">
        <v>525327586</v>
      </c>
      <c r="G3645" s="2">
        <v>133865693</v>
      </c>
      <c r="H3645" t="s">
        <v>28</v>
      </c>
      <c r="I3645" t="s">
        <v>17</v>
      </c>
      <c r="J3645" t="s">
        <v>25</v>
      </c>
    </row>
    <row r="3646" spans="1:11" x14ac:dyDescent="0.2">
      <c r="A3646" t="s">
        <v>12511</v>
      </c>
      <c r="B3646" t="s">
        <v>534</v>
      </c>
      <c r="C3646" t="s">
        <v>12512</v>
      </c>
      <c r="D3646" t="s">
        <v>12513</v>
      </c>
      <c r="F3646" s="2">
        <v>525097614</v>
      </c>
      <c r="G3646" s="2">
        <v>134581539</v>
      </c>
      <c r="H3646" t="s">
        <v>304</v>
      </c>
      <c r="I3646" t="s">
        <v>17</v>
      </c>
      <c r="J3646" t="s">
        <v>25</v>
      </c>
      <c r="K3646" t="s">
        <v>12514</v>
      </c>
    </row>
    <row r="3647" spans="1:11" x14ac:dyDescent="0.2">
      <c r="A3647" t="s">
        <v>12515</v>
      </c>
      <c r="B3647" t="s">
        <v>12516</v>
      </c>
      <c r="E3647" t="s">
        <v>12517</v>
      </c>
      <c r="F3647" s="2">
        <v>525297972</v>
      </c>
      <c r="G3647" s="2">
        <v>134261084</v>
      </c>
      <c r="H3647" t="s">
        <v>34</v>
      </c>
      <c r="I3647" t="s">
        <v>17</v>
      </c>
      <c r="J3647" t="s">
        <v>25</v>
      </c>
    </row>
    <row r="3648" spans="1:11" x14ac:dyDescent="0.2">
      <c r="A3648" t="s">
        <v>12518</v>
      </c>
      <c r="B3648" t="s">
        <v>12519</v>
      </c>
      <c r="C3648" t="s">
        <v>12520</v>
      </c>
      <c r="D3648" t="s">
        <v>12521</v>
      </c>
      <c r="E3648" t="s">
        <v>12522</v>
      </c>
      <c r="F3648" s="2">
        <v>524968585</v>
      </c>
      <c r="G3648" s="2">
        <v>134125118</v>
      </c>
      <c r="H3648" t="s">
        <v>51</v>
      </c>
      <c r="I3648" t="s">
        <v>17</v>
      </c>
      <c r="J3648" t="s">
        <v>25</v>
      </c>
      <c r="K3648" t="s">
        <v>12523</v>
      </c>
    </row>
    <row r="3649" spans="1:11" x14ac:dyDescent="0.2">
      <c r="A3649" t="s">
        <v>12524</v>
      </c>
      <c r="B3649" t="s">
        <v>12525</v>
      </c>
      <c r="C3649" t="s">
        <v>12526</v>
      </c>
      <c r="D3649" t="s">
        <v>12527</v>
      </c>
      <c r="F3649" s="2">
        <v>524792686</v>
      </c>
      <c r="G3649" s="2">
        <v>134517729</v>
      </c>
      <c r="H3649" t="s">
        <v>304</v>
      </c>
      <c r="I3649" t="s">
        <v>17</v>
      </c>
      <c r="J3649" t="s">
        <v>25</v>
      </c>
      <c r="K3649" t="s">
        <v>12528</v>
      </c>
    </row>
    <row r="3650" spans="1:11" x14ac:dyDescent="0.2">
      <c r="A3650" t="s">
        <v>12529</v>
      </c>
      <c r="B3650" t="s">
        <v>8339</v>
      </c>
      <c r="C3650" t="s">
        <v>12530</v>
      </c>
      <c r="D3650" t="s">
        <v>12531</v>
      </c>
      <c r="F3650" s="2">
        <v>525264582</v>
      </c>
      <c r="G3650" s="2">
        <v>133946791</v>
      </c>
      <c r="H3650" t="s">
        <v>304</v>
      </c>
      <c r="I3650" t="s">
        <v>17</v>
      </c>
      <c r="J3650" t="s">
        <v>25</v>
      </c>
      <c r="K3650" t="s">
        <v>12532</v>
      </c>
    </row>
    <row r="3651" spans="1:11" x14ac:dyDescent="0.2">
      <c r="A3651" t="s">
        <v>12533</v>
      </c>
      <c r="B3651" t="s">
        <v>12534</v>
      </c>
      <c r="F3651" s="2">
        <v>524709569</v>
      </c>
      <c r="G3651" s="2">
        <v>134290115</v>
      </c>
      <c r="H3651" t="s">
        <v>28</v>
      </c>
      <c r="I3651" t="s">
        <v>17</v>
      </c>
      <c r="J3651" t="s">
        <v>25</v>
      </c>
    </row>
    <row r="3652" spans="1:11" x14ac:dyDescent="0.2">
      <c r="A3652" t="s">
        <v>12535</v>
      </c>
      <c r="B3652" t="s">
        <v>12536</v>
      </c>
      <c r="C3652" t="s">
        <v>12537</v>
      </c>
      <c r="D3652" t="s">
        <v>12538</v>
      </c>
      <c r="E3652" t="s">
        <v>12539</v>
      </c>
      <c r="F3652" s="2">
        <v>525383503</v>
      </c>
      <c r="G3652" s="2">
        <v>134199419</v>
      </c>
      <c r="H3652" t="s">
        <v>24</v>
      </c>
      <c r="I3652" t="s">
        <v>17</v>
      </c>
      <c r="J3652" t="s">
        <v>25</v>
      </c>
    </row>
    <row r="3653" spans="1:11" x14ac:dyDescent="0.2">
      <c r="A3653" t="s">
        <v>12540</v>
      </c>
      <c r="B3653" t="s">
        <v>12541</v>
      </c>
      <c r="C3653" t="s">
        <v>12542</v>
      </c>
      <c r="D3653" t="s">
        <v>12543</v>
      </c>
      <c r="F3653" s="2">
        <v>524735956</v>
      </c>
      <c r="G3653" s="2">
        <v>134284193</v>
      </c>
      <c r="H3653" t="s">
        <v>304</v>
      </c>
      <c r="I3653" t="s">
        <v>17</v>
      </c>
      <c r="J3653" t="s">
        <v>25</v>
      </c>
      <c r="K3653" t="s">
        <v>12544</v>
      </c>
    </row>
    <row r="3654" spans="1:11" x14ac:dyDescent="0.2">
      <c r="A3654" t="s">
        <v>12545</v>
      </c>
      <c r="F3654" s="2">
        <v>525105206</v>
      </c>
      <c r="G3654" s="2">
        <v>133801945</v>
      </c>
      <c r="H3654" t="s">
        <v>28</v>
      </c>
      <c r="I3654" t="s">
        <v>17</v>
      </c>
      <c r="J3654" t="s">
        <v>25</v>
      </c>
    </row>
    <row r="3655" spans="1:11" x14ac:dyDescent="0.2">
      <c r="A3655" t="s">
        <v>12546</v>
      </c>
      <c r="F3655" s="2">
        <v>525103535</v>
      </c>
      <c r="G3655" s="2">
        <v>133798456</v>
      </c>
      <c r="H3655" t="s">
        <v>28</v>
      </c>
      <c r="I3655" t="s">
        <v>17</v>
      </c>
      <c r="J3655" t="s">
        <v>25</v>
      </c>
    </row>
    <row r="3656" spans="1:11" x14ac:dyDescent="0.2">
      <c r="A3656" t="s">
        <v>12547</v>
      </c>
      <c r="F3656" s="2">
        <v>52510257</v>
      </c>
      <c r="G3656" s="2">
        <v>133799259</v>
      </c>
      <c r="H3656" t="s">
        <v>28</v>
      </c>
      <c r="I3656" t="s">
        <v>17</v>
      </c>
      <c r="J3656" t="s">
        <v>25</v>
      </c>
    </row>
    <row r="3657" spans="1:11" x14ac:dyDescent="0.2">
      <c r="A3657" t="s">
        <v>12548</v>
      </c>
      <c r="F3657" s="2">
        <v>525102708</v>
      </c>
      <c r="G3657" s="2">
        <v>133800815</v>
      </c>
      <c r="H3657" t="s">
        <v>28</v>
      </c>
      <c r="I3657" t="s">
        <v>17</v>
      </c>
      <c r="J3657" t="s">
        <v>25</v>
      </c>
    </row>
    <row r="3658" spans="1:11" x14ac:dyDescent="0.2">
      <c r="A3658" t="s">
        <v>12549</v>
      </c>
      <c r="F3658" s="2">
        <v>525102696</v>
      </c>
      <c r="G3658" s="2">
        <v>133803987</v>
      </c>
      <c r="H3658" t="s">
        <v>28</v>
      </c>
      <c r="I3658" t="s">
        <v>17</v>
      </c>
      <c r="J3658" t="s">
        <v>25</v>
      </c>
    </row>
    <row r="3659" spans="1:11" x14ac:dyDescent="0.2">
      <c r="A3659" t="s">
        <v>12550</v>
      </c>
      <c r="F3659" s="2">
        <v>5251033</v>
      </c>
      <c r="G3659" s="2">
        <v>133806406</v>
      </c>
      <c r="H3659" t="s">
        <v>28</v>
      </c>
      <c r="I3659" t="s">
        <v>17</v>
      </c>
      <c r="J3659" t="s">
        <v>25</v>
      </c>
    </row>
    <row r="3660" spans="1:11" x14ac:dyDescent="0.2">
      <c r="A3660" t="s">
        <v>12551</v>
      </c>
      <c r="F3660" s="2">
        <v>525103698</v>
      </c>
      <c r="G3660" s="2">
        <v>133808735</v>
      </c>
      <c r="H3660" t="s">
        <v>28</v>
      </c>
      <c r="I3660" t="s">
        <v>17</v>
      </c>
      <c r="J3660" t="s">
        <v>25</v>
      </c>
    </row>
    <row r="3661" spans="1:11" x14ac:dyDescent="0.2">
      <c r="A3661" t="s">
        <v>12552</v>
      </c>
      <c r="F3661" s="2">
        <v>525105236</v>
      </c>
      <c r="G3661" s="2">
        <v>133808795</v>
      </c>
      <c r="H3661" t="s">
        <v>28</v>
      </c>
      <c r="I3661" t="s">
        <v>17</v>
      </c>
      <c r="J3661" t="s">
        <v>25</v>
      </c>
    </row>
    <row r="3662" spans="1:11" x14ac:dyDescent="0.2">
      <c r="A3662" t="s">
        <v>12553</v>
      </c>
      <c r="F3662" s="2">
        <v>525105797</v>
      </c>
      <c r="G3662" s="2">
        <v>13380709</v>
      </c>
      <c r="H3662" t="s">
        <v>28</v>
      </c>
      <c r="I3662" t="s">
        <v>17</v>
      </c>
      <c r="J3662" t="s">
        <v>25</v>
      </c>
    </row>
    <row r="3663" spans="1:11" x14ac:dyDescent="0.2">
      <c r="A3663" t="s">
        <v>12554</v>
      </c>
      <c r="F3663" s="2">
        <v>525105483</v>
      </c>
      <c r="G3663" s="2">
        <v>13380596</v>
      </c>
      <c r="H3663" t="s">
        <v>28</v>
      </c>
      <c r="I3663" t="s">
        <v>17</v>
      </c>
      <c r="J3663" t="s">
        <v>25</v>
      </c>
    </row>
    <row r="3664" spans="1:11" x14ac:dyDescent="0.2">
      <c r="A3664" t="s">
        <v>12555</v>
      </c>
      <c r="F3664" s="2">
        <v>525105037</v>
      </c>
      <c r="G3664" s="2">
        <v>133799943</v>
      </c>
      <c r="H3664" t="s">
        <v>28</v>
      </c>
      <c r="I3664" t="s">
        <v>17</v>
      </c>
      <c r="J3664" t="s">
        <v>25</v>
      </c>
    </row>
    <row r="3665" spans="1:11" x14ac:dyDescent="0.2">
      <c r="A3665" t="s">
        <v>12556</v>
      </c>
      <c r="B3665" t="s">
        <v>11772</v>
      </c>
      <c r="C3665" t="s">
        <v>12557</v>
      </c>
      <c r="D3665" t="s">
        <v>12558</v>
      </c>
      <c r="F3665" s="2">
        <v>525040923</v>
      </c>
      <c r="G3665" s="2">
        <v>133157451</v>
      </c>
      <c r="H3665" t="s">
        <v>24</v>
      </c>
      <c r="I3665" t="s">
        <v>17</v>
      </c>
      <c r="J3665" t="s">
        <v>25</v>
      </c>
    </row>
    <row r="3666" spans="1:11" x14ac:dyDescent="0.2">
      <c r="A3666" t="s">
        <v>12559</v>
      </c>
      <c r="B3666" t="s">
        <v>12560</v>
      </c>
      <c r="C3666" t="s">
        <v>12561</v>
      </c>
      <c r="D3666" t="s">
        <v>12562</v>
      </c>
      <c r="E3666" t="s">
        <v>12563</v>
      </c>
      <c r="F3666" s="2">
        <v>525870785</v>
      </c>
      <c r="G3666" s="2">
        <v>132858625</v>
      </c>
      <c r="H3666" t="s">
        <v>24</v>
      </c>
      <c r="I3666" t="s">
        <v>17</v>
      </c>
      <c r="J3666" t="s">
        <v>25</v>
      </c>
    </row>
    <row r="3667" spans="1:11" x14ac:dyDescent="0.2">
      <c r="A3667" t="s">
        <v>12564</v>
      </c>
      <c r="B3667" t="s">
        <v>12565</v>
      </c>
      <c r="F3667" s="2">
        <v>52500156</v>
      </c>
      <c r="G3667" s="2">
        <v>133358529</v>
      </c>
      <c r="H3667" t="s">
        <v>28</v>
      </c>
      <c r="I3667" t="s">
        <v>17</v>
      </c>
      <c r="J3667" t="s">
        <v>25</v>
      </c>
    </row>
    <row r="3668" spans="1:11" x14ac:dyDescent="0.2">
      <c r="A3668" t="s">
        <v>12566</v>
      </c>
      <c r="B3668" t="s">
        <v>12567</v>
      </c>
      <c r="C3668" t="s">
        <v>12568</v>
      </c>
      <c r="E3668" t="s">
        <v>12569</v>
      </c>
      <c r="F3668" s="2">
        <v>525121057</v>
      </c>
      <c r="G3668" s="2">
        <v>133921532</v>
      </c>
      <c r="H3668" t="s">
        <v>38</v>
      </c>
      <c r="I3668" t="s">
        <v>17</v>
      </c>
      <c r="J3668" t="s">
        <v>25</v>
      </c>
    </row>
    <row r="3669" spans="1:11" x14ac:dyDescent="0.2">
      <c r="A3669" t="s">
        <v>12570</v>
      </c>
      <c r="B3669" t="s">
        <v>12571</v>
      </c>
      <c r="C3669" t="s">
        <v>12572</v>
      </c>
      <c r="D3669" t="s">
        <v>12573</v>
      </c>
      <c r="F3669" s="2">
        <v>52500016</v>
      </c>
      <c r="G3669" s="2">
        <v>133100384</v>
      </c>
      <c r="H3669" t="s">
        <v>51</v>
      </c>
      <c r="I3669" t="s">
        <v>17</v>
      </c>
      <c r="J3669" t="s">
        <v>25</v>
      </c>
      <c r="K3669" t="s">
        <v>12574</v>
      </c>
    </row>
    <row r="3670" spans="1:11" x14ac:dyDescent="0.2">
      <c r="A3670" t="s">
        <v>12575</v>
      </c>
      <c r="B3670" t="s">
        <v>12576</v>
      </c>
      <c r="C3670" t="s">
        <v>12577</v>
      </c>
      <c r="E3670" t="s">
        <v>12578</v>
      </c>
      <c r="F3670" s="2">
        <v>525029488</v>
      </c>
      <c r="G3670" s="2">
        <v>134121737</v>
      </c>
      <c r="H3670" t="s">
        <v>38</v>
      </c>
      <c r="I3670" t="s">
        <v>17</v>
      </c>
      <c r="J3670" t="s">
        <v>25</v>
      </c>
    </row>
    <row r="3671" spans="1:11" x14ac:dyDescent="0.2">
      <c r="A3671" t="s">
        <v>12579</v>
      </c>
      <c r="B3671" t="s">
        <v>12580</v>
      </c>
      <c r="F3671" s="2">
        <v>525292885</v>
      </c>
      <c r="G3671" s="2">
        <v>133844117</v>
      </c>
      <c r="H3671" t="s">
        <v>28</v>
      </c>
      <c r="I3671" t="s">
        <v>17</v>
      </c>
      <c r="J3671" t="s">
        <v>25</v>
      </c>
    </row>
    <row r="3672" spans="1:11" x14ac:dyDescent="0.2">
      <c r="A3672" t="s">
        <v>12581</v>
      </c>
      <c r="F3672" s="2">
        <v>525035329</v>
      </c>
      <c r="G3672" s="2">
        <v>133471667</v>
      </c>
      <c r="H3672" t="s">
        <v>28</v>
      </c>
      <c r="I3672" t="s">
        <v>17</v>
      </c>
      <c r="J3672" t="s">
        <v>25</v>
      </c>
    </row>
    <row r="3673" spans="1:11" x14ac:dyDescent="0.2">
      <c r="A3673" t="s">
        <v>12582</v>
      </c>
      <c r="B3673">
        <v>5641</v>
      </c>
      <c r="C3673" t="s">
        <v>12583</v>
      </c>
      <c r="E3673" t="s">
        <v>12584</v>
      </c>
      <c r="F3673" s="2">
        <v>442291986</v>
      </c>
      <c r="G3673" s="2">
        <v>-725523123</v>
      </c>
      <c r="H3673" t="s">
        <v>277</v>
      </c>
      <c r="I3673" t="s">
        <v>17</v>
      </c>
      <c r="J3673" t="s">
        <v>25</v>
      </c>
      <c r="K3673" t="s">
        <v>12585</v>
      </c>
    </row>
    <row r="3674" spans="1:11" x14ac:dyDescent="0.2">
      <c r="A3674" t="s">
        <v>12586</v>
      </c>
      <c r="F3674" s="2">
        <v>525660768</v>
      </c>
      <c r="G3674" s="2">
        <v>133634281</v>
      </c>
      <c r="H3674" t="s">
        <v>28</v>
      </c>
      <c r="I3674" t="s">
        <v>17</v>
      </c>
      <c r="J3674" t="s">
        <v>25</v>
      </c>
    </row>
    <row r="3675" spans="1:11" x14ac:dyDescent="0.2">
      <c r="A3675" t="s">
        <v>12587</v>
      </c>
      <c r="B3675" t="s">
        <v>12588</v>
      </c>
      <c r="C3675" t="s">
        <v>12589</v>
      </c>
      <c r="D3675" t="s">
        <v>12590</v>
      </c>
      <c r="E3675" t="s">
        <v>12591</v>
      </c>
      <c r="F3675" s="2">
        <v>525130243</v>
      </c>
      <c r="G3675" s="2">
        <v>13335772</v>
      </c>
      <c r="H3675" t="s">
        <v>24</v>
      </c>
      <c r="I3675" t="s">
        <v>17</v>
      </c>
      <c r="J3675" t="s">
        <v>25</v>
      </c>
    </row>
    <row r="3676" spans="1:11" x14ac:dyDescent="0.2">
      <c r="A3676" t="s">
        <v>12592</v>
      </c>
      <c r="B3676" t="s">
        <v>12593</v>
      </c>
      <c r="C3676" t="s">
        <v>12594</v>
      </c>
      <c r="D3676" t="s">
        <v>12595</v>
      </c>
      <c r="E3676" t="s">
        <v>12596</v>
      </c>
      <c r="F3676" s="2">
        <v>524354934</v>
      </c>
      <c r="G3676" s="2">
        <v>135335735</v>
      </c>
      <c r="H3676" t="s">
        <v>24</v>
      </c>
      <c r="I3676" t="s">
        <v>17</v>
      </c>
      <c r="J3676" t="s">
        <v>25</v>
      </c>
    </row>
    <row r="3677" spans="1:11" x14ac:dyDescent="0.2">
      <c r="A3677" t="s">
        <v>12597</v>
      </c>
      <c r="B3677" t="s">
        <v>12598</v>
      </c>
      <c r="C3677" t="s">
        <v>12599</v>
      </c>
      <c r="E3677" t="s">
        <v>12600</v>
      </c>
      <c r="F3677" s="2">
        <v>525532712</v>
      </c>
      <c r="G3677" s="2">
        <v>134336522</v>
      </c>
      <c r="H3677" t="s">
        <v>38</v>
      </c>
      <c r="I3677" t="s">
        <v>17</v>
      </c>
      <c r="J3677" t="s">
        <v>25</v>
      </c>
    </row>
    <row r="3678" spans="1:11" x14ac:dyDescent="0.2">
      <c r="A3678" t="s">
        <v>12601</v>
      </c>
      <c r="F3678" s="2">
        <v>525274585</v>
      </c>
      <c r="G3678" s="2">
        <v>133688841</v>
      </c>
      <c r="H3678" t="s">
        <v>28</v>
      </c>
      <c r="I3678" t="s">
        <v>17</v>
      </c>
      <c r="J3678" t="s">
        <v>25</v>
      </c>
    </row>
    <row r="3679" spans="1:11" x14ac:dyDescent="0.2">
      <c r="A3679" t="s">
        <v>12602</v>
      </c>
      <c r="B3679" t="s">
        <v>12603</v>
      </c>
      <c r="C3679" t="s">
        <v>12604</v>
      </c>
      <c r="E3679" t="s">
        <v>12605</v>
      </c>
      <c r="F3679" s="2">
        <v>525285551</v>
      </c>
      <c r="G3679" s="2">
        <v>133857927</v>
      </c>
      <c r="H3679" t="s">
        <v>277</v>
      </c>
      <c r="I3679" t="s">
        <v>17</v>
      </c>
      <c r="J3679" t="s">
        <v>25</v>
      </c>
      <c r="K3679" t="s">
        <v>12606</v>
      </c>
    </row>
    <row r="3680" spans="1:11" x14ac:dyDescent="0.2">
      <c r="A3680" t="s">
        <v>12607</v>
      </c>
      <c r="B3680" t="s">
        <v>12608</v>
      </c>
      <c r="E3680" t="s">
        <v>12609</v>
      </c>
      <c r="F3680" s="2">
        <v>525135529</v>
      </c>
      <c r="G3680" s="2">
        <v>132946457</v>
      </c>
      <c r="H3680" t="s">
        <v>34</v>
      </c>
      <c r="I3680" t="s">
        <v>17</v>
      </c>
      <c r="J3680" t="s">
        <v>25</v>
      </c>
    </row>
    <row r="3681" spans="1:11" x14ac:dyDescent="0.2">
      <c r="A3681" t="s">
        <v>12610</v>
      </c>
      <c r="B3681" t="s">
        <v>12611</v>
      </c>
      <c r="C3681" t="s">
        <v>12612</v>
      </c>
      <c r="E3681" t="s">
        <v>12613</v>
      </c>
      <c r="F3681" s="2">
        <v>525155384</v>
      </c>
      <c r="G3681" s="2">
        <v>132916821</v>
      </c>
      <c r="H3681" t="s">
        <v>38</v>
      </c>
      <c r="I3681" t="s">
        <v>17</v>
      </c>
      <c r="J3681" t="s">
        <v>25</v>
      </c>
    </row>
    <row r="3682" spans="1:11" x14ac:dyDescent="0.2">
      <c r="A3682" t="s">
        <v>12614</v>
      </c>
      <c r="B3682" t="s">
        <v>12615</v>
      </c>
      <c r="F3682" s="2">
        <v>52501157</v>
      </c>
      <c r="G3682" s="2">
        <v>134169959</v>
      </c>
      <c r="H3682" t="s">
        <v>28</v>
      </c>
      <c r="I3682" t="s">
        <v>17</v>
      </c>
      <c r="J3682" t="s">
        <v>25</v>
      </c>
    </row>
    <row r="3683" spans="1:11" x14ac:dyDescent="0.2">
      <c r="A3683" t="s">
        <v>12616</v>
      </c>
      <c r="B3683" t="s">
        <v>12617</v>
      </c>
      <c r="F3683" s="2">
        <v>525259824</v>
      </c>
      <c r="G3683" s="2">
        <v>133139903</v>
      </c>
      <c r="H3683" t="s">
        <v>28</v>
      </c>
      <c r="I3683" t="s">
        <v>17</v>
      </c>
      <c r="J3683" t="s">
        <v>25</v>
      </c>
    </row>
    <row r="3684" spans="1:11" x14ac:dyDescent="0.2">
      <c r="A3684" t="s">
        <v>12618</v>
      </c>
      <c r="C3684" t="s">
        <v>12619</v>
      </c>
      <c r="E3684" t="s">
        <v>12620</v>
      </c>
      <c r="F3684" s="2">
        <v>525306951</v>
      </c>
      <c r="G3684" s="2">
        <v>134017981</v>
      </c>
      <c r="H3684" t="s">
        <v>38</v>
      </c>
      <c r="I3684" t="s">
        <v>17</v>
      </c>
      <c r="J3684" t="s">
        <v>25</v>
      </c>
    </row>
    <row r="3685" spans="1:11" x14ac:dyDescent="0.2">
      <c r="A3685" t="s">
        <v>12621</v>
      </c>
      <c r="B3685" t="s">
        <v>12622</v>
      </c>
      <c r="F3685" s="2">
        <v>524951073</v>
      </c>
      <c r="G3685" s="2">
        <v>134196059</v>
      </c>
      <c r="H3685" t="s">
        <v>28</v>
      </c>
      <c r="I3685" t="s">
        <v>17</v>
      </c>
      <c r="J3685" t="s">
        <v>25</v>
      </c>
    </row>
    <row r="3686" spans="1:11" x14ac:dyDescent="0.2">
      <c r="A3686" t="s">
        <v>12623</v>
      </c>
      <c r="B3686" t="s">
        <v>12624</v>
      </c>
      <c r="C3686" t="s">
        <v>12625</v>
      </c>
      <c r="F3686" s="2">
        <v>525473046</v>
      </c>
      <c r="G3686" s="2">
        <v>134105859</v>
      </c>
      <c r="H3686" t="s">
        <v>38</v>
      </c>
      <c r="I3686" t="s">
        <v>17</v>
      </c>
      <c r="J3686" t="s">
        <v>25</v>
      </c>
    </row>
    <row r="3687" spans="1:11" x14ac:dyDescent="0.2">
      <c r="A3687" t="s">
        <v>12626</v>
      </c>
      <c r="B3687" t="s">
        <v>12627</v>
      </c>
      <c r="F3687" s="2">
        <v>525258167</v>
      </c>
      <c r="G3687" s="2">
        <v>134039277</v>
      </c>
      <c r="H3687" t="s">
        <v>28</v>
      </c>
      <c r="I3687" t="s">
        <v>17</v>
      </c>
      <c r="J3687" t="s">
        <v>25</v>
      </c>
    </row>
    <row r="3688" spans="1:11" x14ac:dyDescent="0.2">
      <c r="A3688" t="s">
        <v>12628</v>
      </c>
      <c r="B3688" t="s">
        <v>12629</v>
      </c>
      <c r="C3688" t="s">
        <v>12630</v>
      </c>
      <c r="F3688" s="2">
        <v>525066157</v>
      </c>
      <c r="G3688" s="2">
        <v>133744577</v>
      </c>
      <c r="H3688" t="s">
        <v>277</v>
      </c>
      <c r="I3688" t="s">
        <v>17</v>
      </c>
      <c r="J3688" t="s">
        <v>25</v>
      </c>
      <c r="K3688" t="s">
        <v>12631</v>
      </c>
    </row>
    <row r="3689" spans="1:11" x14ac:dyDescent="0.2">
      <c r="A3689" t="s">
        <v>12632</v>
      </c>
      <c r="B3689" t="s">
        <v>12633</v>
      </c>
      <c r="F3689" s="2">
        <v>525227208</v>
      </c>
      <c r="G3689" s="2">
        <v>134082447</v>
      </c>
      <c r="H3689" t="s">
        <v>28</v>
      </c>
      <c r="I3689" t="s">
        <v>17</v>
      </c>
      <c r="J3689" t="s">
        <v>25</v>
      </c>
    </row>
    <row r="3690" spans="1:11" x14ac:dyDescent="0.2">
      <c r="A3690" t="s">
        <v>12634</v>
      </c>
      <c r="F3690" s="2">
        <v>525124859</v>
      </c>
      <c r="G3690" s="2">
        <v>134109876</v>
      </c>
      <c r="H3690" t="s">
        <v>28</v>
      </c>
      <c r="I3690" t="s">
        <v>17</v>
      </c>
      <c r="J3690" t="s">
        <v>25</v>
      </c>
    </row>
    <row r="3691" spans="1:11" x14ac:dyDescent="0.2">
      <c r="A3691" t="s">
        <v>12635</v>
      </c>
      <c r="B3691" t="s">
        <v>12636</v>
      </c>
      <c r="C3691" t="s">
        <v>12637</v>
      </c>
      <c r="E3691" t="s">
        <v>12638</v>
      </c>
      <c r="F3691" s="2">
        <v>525264365</v>
      </c>
      <c r="G3691" s="2">
        <v>134077671</v>
      </c>
      <c r="H3691" t="s">
        <v>277</v>
      </c>
      <c r="I3691" t="s">
        <v>17</v>
      </c>
      <c r="J3691" t="s">
        <v>25</v>
      </c>
      <c r="K3691" t="s">
        <v>12639</v>
      </c>
    </row>
    <row r="3692" spans="1:11" x14ac:dyDescent="0.2">
      <c r="A3692" t="s">
        <v>12640</v>
      </c>
      <c r="F3692" s="2">
        <v>525489106</v>
      </c>
      <c r="G3692" s="2">
        <v>134196594</v>
      </c>
      <c r="H3692" t="s">
        <v>28</v>
      </c>
      <c r="I3692" t="s">
        <v>17</v>
      </c>
      <c r="J3692" t="s">
        <v>25</v>
      </c>
    </row>
    <row r="3693" spans="1:11" x14ac:dyDescent="0.2">
      <c r="A3693" t="s">
        <v>12641</v>
      </c>
      <c r="B3693" t="s">
        <v>12642</v>
      </c>
      <c r="C3693" t="s">
        <v>12643</v>
      </c>
      <c r="D3693" t="s">
        <v>12644</v>
      </c>
      <c r="E3693" t="s">
        <v>12645</v>
      </c>
      <c r="F3693" s="2">
        <v>525134739</v>
      </c>
      <c r="G3693" s="2">
        <v>134112212</v>
      </c>
      <c r="H3693" t="s">
        <v>51</v>
      </c>
      <c r="I3693" t="s">
        <v>17</v>
      </c>
      <c r="J3693" t="s">
        <v>25</v>
      </c>
      <c r="K3693" t="s">
        <v>12646</v>
      </c>
    </row>
    <row r="3694" spans="1:11" x14ac:dyDescent="0.2">
      <c r="A3694" t="s">
        <v>12647</v>
      </c>
      <c r="B3694" t="s">
        <v>12648</v>
      </c>
      <c r="C3694" t="s">
        <v>12649</v>
      </c>
      <c r="D3694" t="s">
        <v>12650</v>
      </c>
      <c r="E3694">
        <v>4916099616919</v>
      </c>
      <c r="F3694" s="2">
        <v>525058766</v>
      </c>
      <c r="G3694" s="2">
        <v>134663437</v>
      </c>
      <c r="H3694" t="s">
        <v>24</v>
      </c>
      <c r="I3694" t="s">
        <v>17</v>
      </c>
      <c r="J3694" t="s">
        <v>25</v>
      </c>
    </row>
    <row r="3695" spans="1:11" x14ac:dyDescent="0.2">
      <c r="A3695" t="s">
        <v>12651</v>
      </c>
      <c r="F3695" s="2">
        <v>526004158</v>
      </c>
      <c r="G3695" s="2">
        <v>132212261</v>
      </c>
      <c r="H3695" t="s">
        <v>28</v>
      </c>
      <c r="I3695" t="s">
        <v>17</v>
      </c>
      <c r="J3695" t="s">
        <v>25</v>
      </c>
    </row>
    <row r="3696" spans="1:11" x14ac:dyDescent="0.2">
      <c r="A3696" t="s">
        <v>12652</v>
      </c>
      <c r="B3696" t="s">
        <v>12653</v>
      </c>
      <c r="C3696" t="s">
        <v>12654</v>
      </c>
      <c r="D3696" t="s">
        <v>12655</v>
      </c>
      <c r="F3696" s="2">
        <v>525268438</v>
      </c>
      <c r="G3696" s="2">
        <v>134146891</v>
      </c>
      <c r="H3696" t="s">
        <v>24</v>
      </c>
      <c r="I3696" t="s">
        <v>17</v>
      </c>
      <c r="J3696" t="s">
        <v>25</v>
      </c>
    </row>
    <row r="3697" spans="1:11" x14ac:dyDescent="0.2">
      <c r="A3697" t="s">
        <v>12656</v>
      </c>
      <c r="B3697" t="s">
        <v>12657</v>
      </c>
      <c r="C3697" t="s">
        <v>12658</v>
      </c>
      <c r="D3697" t="s">
        <v>12659</v>
      </c>
      <c r="F3697" s="2">
        <v>525192649</v>
      </c>
      <c r="G3697" s="2">
        <v>134267402</v>
      </c>
      <c r="H3697" t="s">
        <v>304</v>
      </c>
      <c r="I3697" t="s">
        <v>17</v>
      </c>
      <c r="J3697" t="s">
        <v>25</v>
      </c>
      <c r="K3697" t="s">
        <v>12660</v>
      </c>
    </row>
    <row r="3698" spans="1:11" x14ac:dyDescent="0.2">
      <c r="A3698" t="s">
        <v>12661</v>
      </c>
      <c r="B3698" t="s">
        <v>12662</v>
      </c>
      <c r="E3698" t="s">
        <v>12663</v>
      </c>
      <c r="F3698" s="2">
        <v>525661725</v>
      </c>
      <c r="G3698" s="2">
        <v>133173498</v>
      </c>
      <c r="H3698" t="s">
        <v>34</v>
      </c>
      <c r="I3698" t="s">
        <v>17</v>
      </c>
      <c r="J3698" t="s">
        <v>25</v>
      </c>
    </row>
    <row r="3699" spans="1:11" x14ac:dyDescent="0.2">
      <c r="A3699" t="s">
        <v>12664</v>
      </c>
      <c r="B3699" t="s">
        <v>12665</v>
      </c>
      <c r="E3699" t="s">
        <v>12666</v>
      </c>
      <c r="F3699" s="2">
        <v>525663331</v>
      </c>
      <c r="G3699" s="2">
        <v>133174503</v>
      </c>
      <c r="H3699" t="s">
        <v>34</v>
      </c>
      <c r="I3699" t="s">
        <v>17</v>
      </c>
      <c r="J3699" t="s">
        <v>25</v>
      </c>
    </row>
    <row r="3700" spans="1:11" x14ac:dyDescent="0.2">
      <c r="A3700" t="s">
        <v>12667</v>
      </c>
      <c r="B3700" t="s">
        <v>12668</v>
      </c>
      <c r="C3700" t="s">
        <v>12669</v>
      </c>
      <c r="F3700" s="2">
        <v>525056861</v>
      </c>
      <c r="G3700" s="2">
        <v>133171608</v>
      </c>
      <c r="H3700" t="s">
        <v>277</v>
      </c>
      <c r="I3700" t="s">
        <v>17</v>
      </c>
      <c r="J3700" t="s">
        <v>25</v>
      </c>
      <c r="K3700" t="s">
        <v>12670</v>
      </c>
    </row>
    <row r="3701" spans="1:11" x14ac:dyDescent="0.2">
      <c r="A3701" t="s">
        <v>12671</v>
      </c>
      <c r="F3701" s="2">
        <v>524921825</v>
      </c>
      <c r="G3701" s="2">
        <v>134242377</v>
      </c>
      <c r="H3701" t="s">
        <v>28</v>
      </c>
      <c r="I3701" t="s">
        <v>17</v>
      </c>
      <c r="J3701" t="s">
        <v>25</v>
      </c>
    </row>
    <row r="3702" spans="1:11" x14ac:dyDescent="0.2">
      <c r="A3702" t="s">
        <v>12672</v>
      </c>
      <c r="F3702" s="2">
        <v>524922846</v>
      </c>
      <c r="G3702" s="2">
        <v>134253698</v>
      </c>
      <c r="H3702" t="s">
        <v>28</v>
      </c>
      <c r="I3702" t="s">
        <v>17</v>
      </c>
      <c r="J3702" t="s">
        <v>25</v>
      </c>
    </row>
    <row r="3703" spans="1:11" x14ac:dyDescent="0.2">
      <c r="A3703" t="s">
        <v>12673</v>
      </c>
      <c r="E3703" t="s">
        <v>12674</v>
      </c>
      <c r="F3703" s="2">
        <v>524646883</v>
      </c>
      <c r="G3703" s="2">
        <v>134324625</v>
      </c>
      <c r="H3703" t="s">
        <v>34</v>
      </c>
      <c r="I3703" t="s">
        <v>17</v>
      </c>
      <c r="J3703" t="s">
        <v>25</v>
      </c>
    </row>
    <row r="3704" spans="1:11" x14ac:dyDescent="0.2">
      <c r="A3704" t="s">
        <v>12675</v>
      </c>
      <c r="B3704" t="s">
        <v>12676</v>
      </c>
      <c r="C3704" t="s">
        <v>12677</v>
      </c>
      <c r="D3704" t="s">
        <v>12678</v>
      </c>
      <c r="F3704" s="2">
        <v>52517809</v>
      </c>
      <c r="G3704" s="2">
        <v>133884974</v>
      </c>
      <c r="H3704" t="s">
        <v>51</v>
      </c>
      <c r="I3704" t="s">
        <v>17</v>
      </c>
      <c r="J3704" t="s">
        <v>25</v>
      </c>
      <c r="K3704" t="s">
        <v>12679</v>
      </c>
    </row>
    <row r="3705" spans="1:11" x14ac:dyDescent="0.2">
      <c r="A3705" t="s">
        <v>12680</v>
      </c>
      <c r="C3705" t="s">
        <v>12681</v>
      </c>
      <c r="E3705" t="s">
        <v>12682</v>
      </c>
      <c r="F3705" s="2">
        <v>525358951</v>
      </c>
      <c r="G3705" s="2">
        <v>133004207</v>
      </c>
      <c r="H3705" t="s">
        <v>38</v>
      </c>
      <c r="I3705" t="s">
        <v>17</v>
      </c>
      <c r="J3705" t="s">
        <v>25</v>
      </c>
    </row>
    <row r="3706" spans="1:11" x14ac:dyDescent="0.2">
      <c r="A3706" t="s">
        <v>12683</v>
      </c>
      <c r="E3706" t="s">
        <v>12684</v>
      </c>
      <c r="F3706" s="2">
        <v>525358957</v>
      </c>
      <c r="G3706" s="2">
        <v>133005441</v>
      </c>
      <c r="H3706" t="s">
        <v>34</v>
      </c>
      <c r="I3706" t="s">
        <v>17</v>
      </c>
      <c r="J3706" t="s">
        <v>25</v>
      </c>
    </row>
    <row r="3707" spans="1:11" x14ac:dyDescent="0.2">
      <c r="A3707" t="s">
        <v>12685</v>
      </c>
      <c r="F3707" s="2">
        <v>525381446</v>
      </c>
      <c r="G3707" s="2">
        <v>134140025</v>
      </c>
      <c r="H3707" t="s">
        <v>28</v>
      </c>
      <c r="I3707" t="s">
        <v>17</v>
      </c>
      <c r="J3707" t="s">
        <v>25</v>
      </c>
    </row>
    <row r="3708" spans="1:11" x14ac:dyDescent="0.2">
      <c r="A3708" t="s">
        <v>12686</v>
      </c>
      <c r="F3708" s="2">
        <v>525391661</v>
      </c>
      <c r="G3708" s="2">
        <v>134208735</v>
      </c>
      <c r="H3708" t="s">
        <v>28</v>
      </c>
      <c r="I3708" t="s">
        <v>17</v>
      </c>
      <c r="J3708" t="s">
        <v>25</v>
      </c>
    </row>
    <row r="3709" spans="1:11" x14ac:dyDescent="0.2">
      <c r="A3709" t="s">
        <v>12687</v>
      </c>
      <c r="F3709" s="2">
        <v>5252371</v>
      </c>
      <c r="G3709" s="2">
        <v>134006134</v>
      </c>
      <c r="H3709" t="s">
        <v>28</v>
      </c>
      <c r="I3709" t="s">
        <v>17</v>
      </c>
      <c r="J3709" t="s">
        <v>25</v>
      </c>
    </row>
    <row r="3710" spans="1:11" x14ac:dyDescent="0.2">
      <c r="A3710" t="s">
        <v>12688</v>
      </c>
      <c r="B3710" t="s">
        <v>12689</v>
      </c>
      <c r="C3710" t="s">
        <v>12690</v>
      </c>
      <c r="D3710" t="s">
        <v>12691</v>
      </c>
      <c r="F3710" s="2">
        <v>525076324</v>
      </c>
      <c r="G3710" s="2">
        <v>133871626</v>
      </c>
      <c r="H3710" t="s">
        <v>51</v>
      </c>
      <c r="I3710" t="s">
        <v>17</v>
      </c>
      <c r="J3710" t="s">
        <v>25</v>
      </c>
      <c r="K3710" t="s">
        <v>12692</v>
      </c>
    </row>
    <row r="3711" spans="1:11" x14ac:dyDescent="0.2">
      <c r="A3711" t="s">
        <v>12693</v>
      </c>
      <c r="F3711" s="2">
        <v>525084959</v>
      </c>
      <c r="G3711" s="2">
        <v>134521826</v>
      </c>
      <c r="H3711" t="s">
        <v>28</v>
      </c>
      <c r="I3711" t="s">
        <v>17</v>
      </c>
      <c r="J3711" t="s">
        <v>25</v>
      </c>
    </row>
    <row r="3712" spans="1:11" x14ac:dyDescent="0.2">
      <c r="A3712" t="s">
        <v>12694</v>
      </c>
      <c r="B3712" t="s">
        <v>12695</v>
      </c>
      <c r="C3712" t="s">
        <v>12696</v>
      </c>
      <c r="F3712" s="2">
        <v>525454301</v>
      </c>
      <c r="G3712" s="2">
        <v>134168201</v>
      </c>
      <c r="H3712" t="s">
        <v>255</v>
      </c>
      <c r="I3712" t="s">
        <v>17</v>
      </c>
      <c r="J3712" t="s">
        <v>25</v>
      </c>
    </row>
    <row r="3713" spans="1:11" x14ac:dyDescent="0.2">
      <c r="A3713" t="s">
        <v>12697</v>
      </c>
      <c r="B3713" t="s">
        <v>12698</v>
      </c>
      <c r="C3713" t="s">
        <v>12699</v>
      </c>
      <c r="D3713" t="s">
        <v>12700</v>
      </c>
      <c r="F3713" s="2">
        <v>525270409</v>
      </c>
      <c r="G3713" s="2">
        <v>13414763</v>
      </c>
      <c r="H3713" t="s">
        <v>24</v>
      </c>
      <c r="I3713" t="s">
        <v>17</v>
      </c>
      <c r="J3713" t="s">
        <v>25</v>
      </c>
    </row>
    <row r="3714" spans="1:11" x14ac:dyDescent="0.2">
      <c r="A3714" t="s">
        <v>12701</v>
      </c>
      <c r="F3714" s="2">
        <v>525515828</v>
      </c>
      <c r="G3714" s="2">
        <v>1335556</v>
      </c>
      <c r="H3714" t="s">
        <v>28</v>
      </c>
      <c r="I3714" t="s">
        <v>17</v>
      </c>
      <c r="J3714" t="s">
        <v>25</v>
      </c>
    </row>
    <row r="3715" spans="1:11" x14ac:dyDescent="0.2">
      <c r="A3715" t="s">
        <v>12702</v>
      </c>
      <c r="B3715" t="s">
        <v>12703</v>
      </c>
      <c r="C3715" t="s">
        <v>12704</v>
      </c>
      <c r="D3715" t="s">
        <v>12705</v>
      </c>
      <c r="E3715" t="s">
        <v>12706</v>
      </c>
      <c r="F3715" s="2">
        <v>525198303</v>
      </c>
      <c r="G3715" s="2">
        <v>133779206</v>
      </c>
      <c r="H3715" t="s">
        <v>51</v>
      </c>
      <c r="I3715" t="s">
        <v>17</v>
      </c>
      <c r="J3715" t="s">
        <v>25</v>
      </c>
      <c r="K3715" t="s">
        <v>12707</v>
      </c>
    </row>
    <row r="3716" spans="1:11" x14ac:dyDescent="0.2">
      <c r="A3716" t="s">
        <v>12708</v>
      </c>
      <c r="B3716" t="s">
        <v>12709</v>
      </c>
      <c r="F3716" s="2">
        <v>52490185</v>
      </c>
      <c r="G3716" s="2">
        <v>133551469</v>
      </c>
      <c r="H3716" t="s">
        <v>28</v>
      </c>
      <c r="I3716" t="s">
        <v>17</v>
      </c>
      <c r="J3716" t="s">
        <v>25</v>
      </c>
    </row>
    <row r="3717" spans="1:11" x14ac:dyDescent="0.2">
      <c r="A3717" t="s">
        <v>12710</v>
      </c>
      <c r="B3717" t="s">
        <v>12711</v>
      </c>
      <c r="C3717" t="s">
        <v>12712</v>
      </c>
      <c r="D3717" t="s">
        <v>12713</v>
      </c>
      <c r="F3717" s="2">
        <v>524259313</v>
      </c>
      <c r="G3717" s="2">
        <v>133927493</v>
      </c>
      <c r="H3717" t="s">
        <v>51</v>
      </c>
      <c r="I3717" t="s">
        <v>17</v>
      </c>
      <c r="J3717" t="s">
        <v>25</v>
      </c>
      <c r="K3717" t="s">
        <v>12714</v>
      </c>
    </row>
    <row r="3718" spans="1:11" x14ac:dyDescent="0.2">
      <c r="A3718" t="s">
        <v>12715</v>
      </c>
      <c r="B3718" t="s">
        <v>12716</v>
      </c>
      <c r="C3718" t="s">
        <v>12717</v>
      </c>
      <c r="D3718" t="s">
        <v>12718</v>
      </c>
      <c r="E3718" t="s">
        <v>12719</v>
      </c>
      <c r="F3718" s="2">
        <v>52418624</v>
      </c>
      <c r="G3718" s="2">
        <v>131714636</v>
      </c>
      <c r="H3718" t="s">
        <v>24</v>
      </c>
      <c r="I3718" t="s">
        <v>17</v>
      </c>
      <c r="J3718" t="s">
        <v>25</v>
      </c>
    </row>
    <row r="3719" spans="1:11" x14ac:dyDescent="0.2">
      <c r="A3719" t="s">
        <v>12720</v>
      </c>
      <c r="B3719" t="s">
        <v>12721</v>
      </c>
      <c r="C3719" t="s">
        <v>12722</v>
      </c>
    </row>
    <row r="3720" spans="1:11" x14ac:dyDescent="0.2">
      <c r="A3720" t="s">
        <v>12723</v>
      </c>
      <c r="B3720" t="s">
        <v>12724</v>
      </c>
      <c r="C3720" t="s">
        <v>12725</v>
      </c>
      <c r="D3720" t="s">
        <v>12726</v>
      </c>
      <c r="E3720" t="s">
        <v>12727</v>
      </c>
      <c r="F3720" s="2">
        <v>525258244</v>
      </c>
      <c r="G3720" s="2">
        <v>134224421</v>
      </c>
      <c r="H3720" t="s">
        <v>51</v>
      </c>
      <c r="I3720" t="s">
        <v>17</v>
      </c>
      <c r="J3720" t="s">
        <v>25</v>
      </c>
      <c r="K3720" t="s">
        <v>12728</v>
      </c>
    </row>
    <row r="3721" spans="1:11" x14ac:dyDescent="0.2">
      <c r="A3721" t="s">
        <v>12729</v>
      </c>
      <c r="B3721" t="s">
        <v>12730</v>
      </c>
      <c r="F3721" s="2">
        <v>525185459</v>
      </c>
      <c r="G3721" s="2">
        <v>133422934</v>
      </c>
      <c r="H3721" t="s">
        <v>28</v>
      </c>
      <c r="I3721" t="s">
        <v>17</v>
      </c>
      <c r="J3721" t="s">
        <v>25</v>
      </c>
    </row>
    <row r="3722" spans="1:11" x14ac:dyDescent="0.2">
      <c r="A3722" t="s">
        <v>12731</v>
      </c>
      <c r="B3722" t="s">
        <v>12732</v>
      </c>
      <c r="E3722" t="s">
        <v>12733</v>
      </c>
      <c r="F3722" s="2">
        <v>524815704</v>
      </c>
      <c r="G3722" s="2">
        <v>134246465</v>
      </c>
      <c r="H3722" t="s">
        <v>34</v>
      </c>
      <c r="I3722" t="s">
        <v>17</v>
      </c>
      <c r="J3722" t="s">
        <v>25</v>
      </c>
    </row>
    <row r="3723" spans="1:11" x14ac:dyDescent="0.2">
      <c r="A3723" t="s">
        <v>12734</v>
      </c>
      <c r="B3723" t="s">
        <v>12735</v>
      </c>
      <c r="F3723" s="2">
        <v>525165975</v>
      </c>
      <c r="G3723" s="2">
        <v>134177268</v>
      </c>
      <c r="H3723" t="s">
        <v>28</v>
      </c>
      <c r="I3723" t="s">
        <v>17</v>
      </c>
      <c r="J3723" t="s">
        <v>25</v>
      </c>
    </row>
    <row r="3724" spans="1:11" x14ac:dyDescent="0.2">
      <c r="A3724" t="s">
        <v>12736</v>
      </c>
      <c r="B3724" t="s">
        <v>12737</v>
      </c>
      <c r="C3724" t="s">
        <v>12738</v>
      </c>
      <c r="D3724" t="s">
        <v>12739</v>
      </c>
      <c r="E3724" t="s">
        <v>12740</v>
      </c>
      <c r="F3724" s="2">
        <v>525010925</v>
      </c>
      <c r="G3724" s="2">
        <v>134655475</v>
      </c>
      <c r="H3724" t="s">
        <v>24</v>
      </c>
      <c r="I3724" t="s">
        <v>17</v>
      </c>
      <c r="J3724" t="s">
        <v>25</v>
      </c>
    </row>
    <row r="3725" spans="1:11" x14ac:dyDescent="0.2">
      <c r="A3725" t="s">
        <v>12741</v>
      </c>
      <c r="B3725" t="s">
        <v>12742</v>
      </c>
      <c r="F3725" s="2">
        <v>52524083</v>
      </c>
      <c r="G3725" s="2">
        <v>13332645</v>
      </c>
      <c r="H3725" t="s">
        <v>28</v>
      </c>
      <c r="I3725" t="s">
        <v>17</v>
      </c>
      <c r="J3725" t="s">
        <v>25</v>
      </c>
    </row>
    <row r="3726" spans="1:11" x14ac:dyDescent="0.2">
      <c r="A3726" t="s">
        <v>12743</v>
      </c>
      <c r="B3726" t="s">
        <v>12744</v>
      </c>
      <c r="F3726" s="2">
        <v>524931091</v>
      </c>
      <c r="G3726" s="2">
        <v>134655771</v>
      </c>
      <c r="H3726" t="s">
        <v>28</v>
      </c>
      <c r="I3726" t="s">
        <v>17</v>
      </c>
      <c r="J3726" t="s">
        <v>25</v>
      </c>
    </row>
    <row r="3727" spans="1:11" x14ac:dyDescent="0.2">
      <c r="A3727" t="s">
        <v>12745</v>
      </c>
      <c r="B3727" t="s">
        <v>12746</v>
      </c>
      <c r="C3727" t="s">
        <v>12747</v>
      </c>
      <c r="F3727" s="2">
        <v>525062078</v>
      </c>
      <c r="G3727" s="2">
        <v>133980606</v>
      </c>
      <c r="H3727" t="s">
        <v>255</v>
      </c>
      <c r="I3727" t="s">
        <v>17</v>
      </c>
      <c r="J3727" t="s">
        <v>25</v>
      </c>
    </row>
    <row r="3728" spans="1:11" x14ac:dyDescent="0.2">
      <c r="A3728" t="s">
        <v>12748</v>
      </c>
      <c r="C3728" t="s">
        <v>12749</v>
      </c>
      <c r="D3728" t="s">
        <v>12750</v>
      </c>
      <c r="F3728" s="2">
        <v>524712301</v>
      </c>
      <c r="G3728" s="2">
        <v>134851593</v>
      </c>
      <c r="H3728" t="s">
        <v>51</v>
      </c>
      <c r="I3728" t="s">
        <v>17</v>
      </c>
      <c r="J3728" t="s">
        <v>25</v>
      </c>
      <c r="K3728" t="s">
        <v>12751</v>
      </c>
    </row>
    <row r="3729" spans="1:11" x14ac:dyDescent="0.2">
      <c r="A3729" t="s">
        <v>12752</v>
      </c>
      <c r="F3729" s="2">
        <v>525185228</v>
      </c>
      <c r="G3729" s="2">
        <v>134511103</v>
      </c>
      <c r="H3729" t="s">
        <v>28</v>
      </c>
      <c r="I3729" t="s">
        <v>17</v>
      </c>
      <c r="J3729" t="s">
        <v>25</v>
      </c>
    </row>
    <row r="3730" spans="1:11" x14ac:dyDescent="0.2">
      <c r="A3730" t="s">
        <v>12753</v>
      </c>
      <c r="B3730" t="s">
        <v>12754</v>
      </c>
      <c r="C3730" t="s">
        <v>12755</v>
      </c>
      <c r="F3730" s="2">
        <v>524972018</v>
      </c>
      <c r="G3730" s="2">
        <v>132930354</v>
      </c>
      <c r="H3730" t="s">
        <v>277</v>
      </c>
      <c r="I3730" t="s">
        <v>17</v>
      </c>
      <c r="J3730" t="s">
        <v>25</v>
      </c>
      <c r="K3730" t="s">
        <v>12756</v>
      </c>
    </row>
    <row r="3731" spans="1:11" x14ac:dyDescent="0.2">
      <c r="A3731" t="s">
        <v>12757</v>
      </c>
      <c r="B3731" t="s">
        <v>12758</v>
      </c>
      <c r="C3731" t="s">
        <v>12759</v>
      </c>
      <c r="D3731" t="s">
        <v>12760</v>
      </c>
      <c r="E3731" t="s">
        <v>12761</v>
      </c>
      <c r="F3731" s="2">
        <v>525064674</v>
      </c>
      <c r="G3731" s="2">
        <v>134651471</v>
      </c>
      <c r="H3731" t="s">
        <v>51</v>
      </c>
      <c r="I3731" t="s">
        <v>17</v>
      </c>
      <c r="J3731" t="s">
        <v>25</v>
      </c>
      <c r="K3731" t="s">
        <v>12762</v>
      </c>
    </row>
    <row r="3732" spans="1:11" x14ac:dyDescent="0.2">
      <c r="A3732" t="s">
        <v>12763</v>
      </c>
      <c r="B3732" t="s">
        <v>12764</v>
      </c>
      <c r="F3732" s="2">
        <v>524816368</v>
      </c>
      <c r="G3732" s="2">
        <v>134373155</v>
      </c>
      <c r="H3732" t="s">
        <v>28</v>
      </c>
      <c r="I3732" t="s">
        <v>17</v>
      </c>
      <c r="J3732" t="s">
        <v>25</v>
      </c>
    </row>
    <row r="3733" spans="1:11" x14ac:dyDescent="0.2">
      <c r="A3733" t="s">
        <v>12765</v>
      </c>
      <c r="B3733" t="s">
        <v>12766</v>
      </c>
      <c r="C3733" t="s">
        <v>12767</v>
      </c>
      <c r="D3733" t="s">
        <v>12768</v>
      </c>
      <c r="E3733" t="s">
        <v>12769</v>
      </c>
      <c r="F3733" s="2">
        <v>524581815</v>
      </c>
      <c r="G3733" s="2">
        <v>133280109</v>
      </c>
      <c r="H3733" t="s">
        <v>24</v>
      </c>
      <c r="I3733" t="s">
        <v>17</v>
      </c>
      <c r="J3733" t="s">
        <v>25</v>
      </c>
    </row>
    <row r="3734" spans="1:11" x14ac:dyDescent="0.2">
      <c r="A3734" t="s">
        <v>12770</v>
      </c>
      <c r="C3734" t="s">
        <v>12771</v>
      </c>
      <c r="F3734" s="2">
        <v>525363593</v>
      </c>
      <c r="G3734" s="2">
        <v>133761658</v>
      </c>
      <c r="H3734" t="s">
        <v>255</v>
      </c>
      <c r="I3734" t="s">
        <v>17</v>
      </c>
      <c r="J3734" t="s">
        <v>25</v>
      </c>
    </row>
    <row r="3735" spans="1:11" x14ac:dyDescent="0.2">
      <c r="A3735" t="s">
        <v>12772</v>
      </c>
      <c r="B3735" t="s">
        <v>12773</v>
      </c>
      <c r="D3735" t="s">
        <v>12774</v>
      </c>
      <c r="E3735">
        <v>4930266438068</v>
      </c>
      <c r="F3735" s="2">
        <v>525081764</v>
      </c>
      <c r="G3735" s="2">
        <v>133713952</v>
      </c>
      <c r="H3735" t="s">
        <v>1107</v>
      </c>
      <c r="I3735" t="s">
        <v>17</v>
      </c>
      <c r="J3735" t="s">
        <v>25</v>
      </c>
    </row>
    <row r="3736" spans="1:11" x14ac:dyDescent="0.2">
      <c r="A3736" t="s">
        <v>12775</v>
      </c>
      <c r="B3736" t="s">
        <v>12776</v>
      </c>
      <c r="C3736" t="s">
        <v>12777</v>
      </c>
      <c r="D3736" t="s">
        <v>12778</v>
      </c>
      <c r="F3736" s="2">
        <v>5250855</v>
      </c>
      <c r="G3736" s="2">
        <v>132938985</v>
      </c>
      <c r="H3736" t="s">
        <v>51</v>
      </c>
      <c r="I3736" t="s">
        <v>17</v>
      </c>
      <c r="J3736" t="s">
        <v>25</v>
      </c>
      <c r="K3736" t="s">
        <v>12779</v>
      </c>
    </row>
    <row r="3737" spans="1:11" x14ac:dyDescent="0.2">
      <c r="A3737" t="s">
        <v>12780</v>
      </c>
      <c r="B3737" t="s">
        <v>12781</v>
      </c>
      <c r="F3737" s="2">
        <v>525076859</v>
      </c>
      <c r="G3737" s="2">
        <v>133928507</v>
      </c>
      <c r="H3737" t="s">
        <v>28</v>
      </c>
      <c r="I3737" t="s">
        <v>17</v>
      </c>
      <c r="J3737" t="s">
        <v>25</v>
      </c>
    </row>
    <row r="3738" spans="1:11" x14ac:dyDescent="0.2">
      <c r="A3738" t="s">
        <v>12782</v>
      </c>
      <c r="B3738" t="s">
        <v>12783</v>
      </c>
      <c r="F3738" s="2">
        <v>524978033</v>
      </c>
      <c r="G3738" s="2">
        <v>134679427</v>
      </c>
      <c r="H3738" t="s">
        <v>28</v>
      </c>
      <c r="I3738" t="s">
        <v>17</v>
      </c>
      <c r="J3738" t="s">
        <v>25</v>
      </c>
    </row>
    <row r="3739" spans="1:11" x14ac:dyDescent="0.2">
      <c r="A3739" t="s">
        <v>12784</v>
      </c>
      <c r="F3739" s="2">
        <v>524887168</v>
      </c>
      <c r="G3739" s="2">
        <v>134235195</v>
      </c>
      <c r="H3739" t="s">
        <v>28</v>
      </c>
      <c r="I3739" t="s">
        <v>17</v>
      </c>
      <c r="J3739" t="s">
        <v>25</v>
      </c>
    </row>
    <row r="3740" spans="1:11" x14ac:dyDescent="0.2">
      <c r="A3740" t="s">
        <v>12785</v>
      </c>
      <c r="B3740" t="s">
        <v>12786</v>
      </c>
      <c r="C3740" t="s">
        <v>12787</v>
      </c>
      <c r="D3740" t="s">
        <v>12788</v>
      </c>
      <c r="E3740">
        <v>493045950405</v>
      </c>
      <c r="F3740" s="2">
        <v>525259722</v>
      </c>
      <c r="G3740" s="2">
        <v>133876283</v>
      </c>
      <c r="H3740" t="s">
        <v>51</v>
      </c>
      <c r="I3740" t="s">
        <v>17</v>
      </c>
      <c r="J3740" t="s">
        <v>25</v>
      </c>
      <c r="K3740" t="s">
        <v>12789</v>
      </c>
    </row>
    <row r="3741" spans="1:11" x14ac:dyDescent="0.2">
      <c r="A3741" t="s">
        <v>12790</v>
      </c>
      <c r="B3741" t="s">
        <v>12791</v>
      </c>
      <c r="C3741" t="s">
        <v>12792</v>
      </c>
      <c r="F3741" s="2">
        <v>524951751</v>
      </c>
      <c r="G3741" s="2">
        <v>134264158</v>
      </c>
      <c r="H3741" t="s">
        <v>255</v>
      </c>
      <c r="I3741" t="s">
        <v>17</v>
      </c>
      <c r="J3741" t="s">
        <v>25</v>
      </c>
    </row>
    <row r="3742" spans="1:11" x14ac:dyDescent="0.2">
      <c r="A3742" t="s">
        <v>12793</v>
      </c>
      <c r="F3742" s="2">
        <v>525333595</v>
      </c>
      <c r="G3742" s="2">
        <v>134290459</v>
      </c>
      <c r="H3742" t="s">
        <v>28</v>
      </c>
      <c r="I3742" t="s">
        <v>17</v>
      </c>
      <c r="J3742" t="s">
        <v>25</v>
      </c>
    </row>
    <row r="3743" spans="1:11" x14ac:dyDescent="0.2">
      <c r="A3743" t="s">
        <v>12794</v>
      </c>
      <c r="B3743" t="s">
        <v>12795</v>
      </c>
      <c r="C3743" t="s">
        <v>12796</v>
      </c>
      <c r="D3743" t="s">
        <v>12797</v>
      </c>
      <c r="F3743" s="2">
        <v>524805281</v>
      </c>
      <c r="G3743" s="2">
        <v>133157383</v>
      </c>
      <c r="H3743" t="s">
        <v>16</v>
      </c>
      <c r="I3743" t="s">
        <v>17</v>
      </c>
      <c r="J3743" t="s">
        <v>25</v>
      </c>
    </row>
    <row r="3744" spans="1:11" x14ac:dyDescent="0.2">
      <c r="A3744" t="s">
        <v>12798</v>
      </c>
      <c r="B3744" t="s">
        <v>12799</v>
      </c>
      <c r="E3744" t="s">
        <v>12800</v>
      </c>
      <c r="F3744" s="2">
        <v>525090237</v>
      </c>
      <c r="G3744" s="2">
        <v>134020769</v>
      </c>
      <c r="H3744" t="s">
        <v>34</v>
      </c>
      <c r="I3744" t="s">
        <v>17</v>
      </c>
      <c r="J3744" t="s">
        <v>25</v>
      </c>
    </row>
    <row r="3745" spans="1:11" x14ac:dyDescent="0.2">
      <c r="A3745" t="s">
        <v>12801</v>
      </c>
      <c r="B3745" t="s">
        <v>12802</v>
      </c>
      <c r="C3745" t="s">
        <v>12803</v>
      </c>
      <c r="D3745" t="s">
        <v>12804</v>
      </c>
      <c r="E3745" t="s">
        <v>12805</v>
      </c>
      <c r="F3745" s="2">
        <v>525080093</v>
      </c>
      <c r="G3745" s="2">
        <v>133263259</v>
      </c>
      <c r="H3745" t="s">
        <v>51</v>
      </c>
      <c r="I3745" t="s">
        <v>17</v>
      </c>
      <c r="J3745" t="s">
        <v>25</v>
      </c>
      <c r="K3745" t="s">
        <v>12806</v>
      </c>
    </row>
    <row r="3746" spans="1:11" x14ac:dyDescent="0.2">
      <c r="A3746" t="s">
        <v>12807</v>
      </c>
      <c r="B3746" t="s">
        <v>12808</v>
      </c>
      <c r="C3746" t="s">
        <v>12809</v>
      </c>
      <c r="D3746" t="s">
        <v>12810</v>
      </c>
      <c r="F3746" s="2">
        <v>524973779</v>
      </c>
      <c r="G3746" s="2">
        <v>134623009</v>
      </c>
      <c r="H3746" t="s">
        <v>51</v>
      </c>
      <c r="I3746" t="s">
        <v>17</v>
      </c>
      <c r="J3746" t="s">
        <v>25</v>
      </c>
      <c r="K3746" t="s">
        <v>12811</v>
      </c>
    </row>
    <row r="3747" spans="1:11" x14ac:dyDescent="0.2">
      <c r="A3747" t="s">
        <v>12812</v>
      </c>
      <c r="B3747" t="s">
        <v>12813</v>
      </c>
      <c r="F3747" s="2">
        <v>525494645</v>
      </c>
      <c r="G3747" s="2">
        <v>133492964</v>
      </c>
      <c r="H3747" t="s">
        <v>28</v>
      </c>
      <c r="I3747" t="s">
        <v>17</v>
      </c>
      <c r="J3747" t="s">
        <v>25</v>
      </c>
    </row>
    <row r="3748" spans="1:11" x14ac:dyDescent="0.2">
      <c r="A3748" t="s">
        <v>12814</v>
      </c>
      <c r="F3748" s="2">
        <v>525119579</v>
      </c>
      <c r="G3748" s="2">
        <v>134125011</v>
      </c>
      <c r="H3748" t="s">
        <v>28</v>
      </c>
      <c r="I3748" t="s">
        <v>17</v>
      </c>
      <c r="J3748" t="s">
        <v>25</v>
      </c>
    </row>
    <row r="3749" spans="1:11" x14ac:dyDescent="0.2">
      <c r="A3749" t="s">
        <v>12815</v>
      </c>
      <c r="F3749" s="2">
        <v>524951529</v>
      </c>
      <c r="G3749" s="2">
        <v>134323105</v>
      </c>
      <c r="H3749" t="s">
        <v>28</v>
      </c>
      <c r="I3749" t="s">
        <v>17</v>
      </c>
      <c r="J3749" t="s">
        <v>25</v>
      </c>
    </row>
    <row r="3750" spans="1:11" x14ac:dyDescent="0.2">
      <c r="A3750">
        <v>86</v>
      </c>
      <c r="B3750" t="s">
        <v>12816</v>
      </c>
      <c r="C3750" t="s">
        <v>12817</v>
      </c>
      <c r="F3750" s="2">
        <v>525052642</v>
      </c>
      <c r="G3750" s="2">
        <v>133197957</v>
      </c>
      <c r="H3750" t="s">
        <v>38</v>
      </c>
      <c r="I3750" t="s">
        <v>17</v>
      </c>
      <c r="J3750" t="s">
        <v>25</v>
      </c>
    </row>
    <row r="3751" spans="1:11" x14ac:dyDescent="0.2">
      <c r="A3751" t="s">
        <v>12818</v>
      </c>
      <c r="B3751" t="s">
        <v>12819</v>
      </c>
      <c r="C3751" t="s">
        <v>12820</v>
      </c>
      <c r="D3751" t="s">
        <v>12821</v>
      </c>
      <c r="E3751" t="s">
        <v>12822</v>
      </c>
      <c r="F3751" s="2">
        <v>524765071</v>
      </c>
      <c r="G3751" s="2">
        <v>136009521</v>
      </c>
      <c r="H3751" t="s">
        <v>24</v>
      </c>
      <c r="I3751" t="s">
        <v>17</v>
      </c>
      <c r="J3751" t="s">
        <v>25</v>
      </c>
    </row>
    <row r="3752" spans="1:11" x14ac:dyDescent="0.2">
      <c r="A3752" t="s">
        <v>12823</v>
      </c>
      <c r="F3752" s="2">
        <v>525084992</v>
      </c>
      <c r="G3752" s="2">
        <v>134659615</v>
      </c>
      <c r="H3752" t="s">
        <v>28</v>
      </c>
      <c r="I3752" t="s">
        <v>17</v>
      </c>
      <c r="J3752" t="s">
        <v>25</v>
      </c>
    </row>
    <row r="3753" spans="1:11" x14ac:dyDescent="0.2">
      <c r="A3753" t="s">
        <v>12824</v>
      </c>
      <c r="B3753" t="s">
        <v>12825</v>
      </c>
      <c r="E3753" t="s">
        <v>12826</v>
      </c>
      <c r="F3753" s="2">
        <v>526118112</v>
      </c>
      <c r="G3753" s="2">
        <v>133175217</v>
      </c>
      <c r="H3753" t="s">
        <v>34</v>
      </c>
      <c r="I3753" t="s">
        <v>17</v>
      </c>
      <c r="J3753" t="s">
        <v>25</v>
      </c>
    </row>
    <row r="3754" spans="1:11" x14ac:dyDescent="0.2">
      <c r="A3754" t="s">
        <v>12827</v>
      </c>
      <c r="F3754" s="2">
        <v>525158112</v>
      </c>
      <c r="G3754" s="2">
        <v>134065449</v>
      </c>
      <c r="H3754" t="s">
        <v>28</v>
      </c>
      <c r="I3754" t="s">
        <v>17</v>
      </c>
      <c r="J3754" t="s">
        <v>25</v>
      </c>
    </row>
    <row r="3755" spans="1:11" x14ac:dyDescent="0.2">
      <c r="A3755" t="s">
        <v>12828</v>
      </c>
      <c r="F3755" s="2">
        <v>525160012</v>
      </c>
      <c r="G3755" s="2">
        <v>134059385</v>
      </c>
      <c r="H3755" t="s">
        <v>28</v>
      </c>
      <c r="I3755" t="s">
        <v>17</v>
      </c>
      <c r="J3755" t="s">
        <v>25</v>
      </c>
    </row>
    <row r="3756" spans="1:11" x14ac:dyDescent="0.2">
      <c r="A3756" t="s">
        <v>12829</v>
      </c>
      <c r="B3756" t="s">
        <v>12830</v>
      </c>
      <c r="F3756" s="2">
        <v>525340736</v>
      </c>
      <c r="G3756" s="2">
        <v>133986292</v>
      </c>
      <c r="H3756" t="s">
        <v>28</v>
      </c>
      <c r="I3756" t="s">
        <v>17</v>
      </c>
      <c r="J3756" t="s">
        <v>25</v>
      </c>
    </row>
    <row r="3757" spans="1:11" x14ac:dyDescent="0.2">
      <c r="A3757" t="s">
        <v>12831</v>
      </c>
      <c r="F3757" s="2">
        <v>525700123</v>
      </c>
      <c r="G3757" s="2">
        <v>13410589</v>
      </c>
      <c r="H3757" t="s">
        <v>28</v>
      </c>
      <c r="I3757" t="s">
        <v>17</v>
      </c>
      <c r="J3757" t="s">
        <v>25</v>
      </c>
    </row>
    <row r="3758" spans="1:11" x14ac:dyDescent="0.2">
      <c r="A3758" t="s">
        <v>12832</v>
      </c>
      <c r="B3758" t="s">
        <v>12833</v>
      </c>
      <c r="F3758" s="2">
        <v>52553535</v>
      </c>
      <c r="G3758" s="2">
        <v>13411124</v>
      </c>
      <c r="H3758" t="s">
        <v>28</v>
      </c>
      <c r="I3758" t="s">
        <v>17</v>
      </c>
      <c r="J3758" t="s">
        <v>25</v>
      </c>
    </row>
    <row r="3759" spans="1:11" x14ac:dyDescent="0.2">
      <c r="A3759" t="s">
        <v>12834</v>
      </c>
      <c r="B3759" t="s">
        <v>12835</v>
      </c>
      <c r="C3759" t="s">
        <v>12836</v>
      </c>
      <c r="F3759" s="2">
        <v>52573353</v>
      </c>
      <c r="G3759" s="2">
        <v>134123455</v>
      </c>
      <c r="H3759" t="s">
        <v>255</v>
      </c>
      <c r="I3759" t="s">
        <v>17</v>
      </c>
      <c r="J3759" t="s">
        <v>25</v>
      </c>
    </row>
    <row r="3760" spans="1:11" x14ac:dyDescent="0.2">
      <c r="A3760" t="s">
        <v>12837</v>
      </c>
      <c r="B3760" t="s">
        <v>12838</v>
      </c>
      <c r="C3760" t="s">
        <v>12839</v>
      </c>
      <c r="F3760" s="2">
        <v>525071621</v>
      </c>
      <c r="G3760" s="2">
        <v>134685492</v>
      </c>
      <c r="H3760" t="s">
        <v>255</v>
      </c>
      <c r="I3760" t="s">
        <v>17</v>
      </c>
      <c r="J3760" t="s">
        <v>25</v>
      </c>
    </row>
    <row r="3761" spans="1:10" x14ac:dyDescent="0.2">
      <c r="A3761" t="s">
        <v>12840</v>
      </c>
      <c r="C3761" t="s">
        <v>12841</v>
      </c>
      <c r="D3761" t="s">
        <v>12842</v>
      </c>
      <c r="E3761" t="s">
        <v>12843</v>
      </c>
      <c r="F3761" s="2">
        <v>525102556</v>
      </c>
      <c r="G3761" s="2">
        <v>132794426</v>
      </c>
      <c r="H3761" t="s">
        <v>24</v>
      </c>
      <c r="I3761" t="s">
        <v>17</v>
      </c>
      <c r="J3761" t="s">
        <v>25</v>
      </c>
    </row>
    <row r="3762" spans="1:10" x14ac:dyDescent="0.2">
      <c r="A3762" t="s">
        <v>12844</v>
      </c>
      <c r="F3762" s="2">
        <v>525357226</v>
      </c>
      <c r="G3762" s="2">
        <v>133980359</v>
      </c>
      <c r="H3762" t="s">
        <v>28</v>
      </c>
      <c r="I3762" t="s">
        <v>17</v>
      </c>
      <c r="J3762" t="s">
        <v>25</v>
      </c>
    </row>
    <row r="3763" spans="1:10" x14ac:dyDescent="0.2">
      <c r="A3763" t="s">
        <v>12845</v>
      </c>
      <c r="B3763" t="s">
        <v>12846</v>
      </c>
      <c r="F3763" s="2">
        <v>524982172</v>
      </c>
      <c r="G3763" s="2">
        <v>133247789</v>
      </c>
      <c r="H3763" t="s">
        <v>28</v>
      </c>
      <c r="I3763" t="s">
        <v>17</v>
      </c>
      <c r="J3763" t="s">
        <v>25</v>
      </c>
    </row>
    <row r="3764" spans="1:10" x14ac:dyDescent="0.2">
      <c r="A3764" t="s">
        <v>12847</v>
      </c>
      <c r="F3764" s="2">
        <v>524543172</v>
      </c>
      <c r="G3764" s="2">
        <v>13328721</v>
      </c>
      <c r="H3764" t="s">
        <v>28</v>
      </c>
      <c r="I3764" t="s">
        <v>17</v>
      </c>
      <c r="J3764" t="s">
        <v>25</v>
      </c>
    </row>
    <row r="3765" spans="1:10" x14ac:dyDescent="0.2">
      <c r="A3765" t="s">
        <v>12848</v>
      </c>
      <c r="B3765" t="s">
        <v>12849</v>
      </c>
      <c r="F3765" s="2">
        <v>524946526</v>
      </c>
      <c r="G3765" s="2">
        <v>134382824</v>
      </c>
      <c r="H3765" t="s">
        <v>28</v>
      </c>
      <c r="I3765" t="s">
        <v>17</v>
      </c>
      <c r="J3765" t="s">
        <v>25</v>
      </c>
    </row>
    <row r="3766" spans="1:10" x14ac:dyDescent="0.2">
      <c r="A3766" t="s">
        <v>12850</v>
      </c>
      <c r="F3766" s="2">
        <v>524514126</v>
      </c>
      <c r="G3766" s="2">
        <v>13146969</v>
      </c>
      <c r="H3766" t="s">
        <v>28</v>
      </c>
      <c r="I3766" t="s">
        <v>17</v>
      </c>
      <c r="J3766" t="s">
        <v>25</v>
      </c>
    </row>
    <row r="3767" spans="1:10" x14ac:dyDescent="0.2">
      <c r="A3767" t="s">
        <v>12851</v>
      </c>
      <c r="F3767" s="2">
        <v>524517359</v>
      </c>
      <c r="G3767" s="2">
        <v>131471662</v>
      </c>
      <c r="H3767" t="s">
        <v>28</v>
      </c>
      <c r="I3767" t="s">
        <v>17</v>
      </c>
      <c r="J3767" t="s">
        <v>25</v>
      </c>
    </row>
    <row r="3768" spans="1:10" x14ac:dyDescent="0.2">
      <c r="A3768" t="s">
        <v>12852</v>
      </c>
      <c r="B3768" t="s">
        <v>12853</v>
      </c>
      <c r="E3768" t="s">
        <v>12854</v>
      </c>
      <c r="F3768" s="2">
        <v>52485612</v>
      </c>
      <c r="G3768" s="2">
        <v>13432094</v>
      </c>
      <c r="H3768" t="s">
        <v>34</v>
      </c>
      <c r="I3768" t="s">
        <v>17</v>
      </c>
      <c r="J3768" t="s">
        <v>25</v>
      </c>
    </row>
    <row r="3769" spans="1:10" x14ac:dyDescent="0.2">
      <c r="A3769" t="s">
        <v>12855</v>
      </c>
      <c r="B3769" t="s">
        <v>12856</v>
      </c>
      <c r="F3769" s="2">
        <v>524786861</v>
      </c>
      <c r="G3769" s="2">
        <v>134457443</v>
      </c>
      <c r="H3769" t="s">
        <v>28</v>
      </c>
      <c r="I3769" t="s">
        <v>17</v>
      </c>
      <c r="J3769" t="s">
        <v>25</v>
      </c>
    </row>
    <row r="3770" spans="1:10" x14ac:dyDescent="0.2">
      <c r="A3770" t="s">
        <v>12857</v>
      </c>
      <c r="C3770" t="s">
        <v>12858</v>
      </c>
      <c r="E3770" t="s">
        <v>12859</v>
      </c>
      <c r="F3770" s="2">
        <v>525325305</v>
      </c>
      <c r="G3770" s="2">
        <v>131487171</v>
      </c>
      <c r="H3770" t="s">
        <v>38</v>
      </c>
      <c r="I3770" t="s">
        <v>17</v>
      </c>
      <c r="J3770" t="s">
        <v>25</v>
      </c>
    </row>
    <row r="3771" spans="1:10" x14ac:dyDescent="0.2">
      <c r="A3771" t="s">
        <v>12860</v>
      </c>
      <c r="B3771" t="s">
        <v>12861</v>
      </c>
      <c r="C3771" t="s">
        <v>12862</v>
      </c>
      <c r="F3771" s="2">
        <v>524996801</v>
      </c>
      <c r="G3771" s="2">
        <v>134297201</v>
      </c>
      <c r="H3771" t="s">
        <v>255</v>
      </c>
      <c r="I3771" t="s">
        <v>17</v>
      </c>
      <c r="J3771" t="s">
        <v>25</v>
      </c>
    </row>
    <row r="3772" spans="1:10" x14ac:dyDescent="0.2">
      <c r="A3772" t="s">
        <v>12863</v>
      </c>
      <c r="B3772" t="s">
        <v>12864</v>
      </c>
      <c r="C3772" t="s">
        <v>12865</v>
      </c>
      <c r="F3772" s="2">
        <v>525334483</v>
      </c>
      <c r="G3772" s="2">
        <v>135074854</v>
      </c>
      <c r="H3772" t="s">
        <v>255</v>
      </c>
      <c r="I3772" t="s">
        <v>17</v>
      </c>
      <c r="J3772" t="s">
        <v>25</v>
      </c>
    </row>
    <row r="3773" spans="1:10" x14ac:dyDescent="0.2">
      <c r="A3773" t="s">
        <v>12866</v>
      </c>
      <c r="B3773" t="s">
        <v>12867</v>
      </c>
      <c r="C3773" t="s">
        <v>12868</v>
      </c>
      <c r="D3773" t="s">
        <v>12869</v>
      </c>
      <c r="E3773" t="s">
        <v>12870</v>
      </c>
      <c r="F3773" s="2">
        <v>525437913</v>
      </c>
      <c r="G3773" s="2">
        <v>134119699</v>
      </c>
      <c r="H3773" t="s">
        <v>24</v>
      </c>
      <c r="I3773" t="s">
        <v>17</v>
      </c>
      <c r="J3773" t="s">
        <v>25</v>
      </c>
    </row>
    <row r="3774" spans="1:10" x14ac:dyDescent="0.2">
      <c r="A3774" t="s">
        <v>12871</v>
      </c>
      <c r="F3774" s="2">
        <v>525047878</v>
      </c>
      <c r="G3774" s="2">
        <v>134418242</v>
      </c>
      <c r="H3774" t="s">
        <v>28</v>
      </c>
      <c r="I3774" t="s">
        <v>17</v>
      </c>
      <c r="J3774" t="s">
        <v>25</v>
      </c>
    </row>
    <row r="3775" spans="1:10" x14ac:dyDescent="0.2">
      <c r="A3775" t="s">
        <v>12872</v>
      </c>
      <c r="F3775" s="2">
        <v>524030542</v>
      </c>
      <c r="G3775" s="2">
        <v>135060224</v>
      </c>
      <c r="H3775" t="s">
        <v>28</v>
      </c>
      <c r="I3775" t="s">
        <v>17</v>
      </c>
      <c r="J3775" t="s">
        <v>25</v>
      </c>
    </row>
    <row r="3776" spans="1:10" x14ac:dyDescent="0.2">
      <c r="A3776" t="s">
        <v>12873</v>
      </c>
      <c r="B3776" t="s">
        <v>3336</v>
      </c>
      <c r="C3776" t="s">
        <v>12874</v>
      </c>
      <c r="E3776" t="s">
        <v>12875</v>
      </c>
      <c r="F3776" s="2">
        <v>525015605</v>
      </c>
      <c r="G3776" s="2">
        <v>134178417</v>
      </c>
      <c r="H3776" t="s">
        <v>38</v>
      </c>
      <c r="I3776" t="s">
        <v>17</v>
      </c>
      <c r="J3776" t="s">
        <v>25</v>
      </c>
    </row>
    <row r="3777" spans="1:11" x14ac:dyDescent="0.2">
      <c r="A3777" t="s">
        <v>12876</v>
      </c>
      <c r="B3777" t="s">
        <v>12877</v>
      </c>
      <c r="F3777" s="2">
        <v>525246373</v>
      </c>
      <c r="G3777" s="2">
        <v>13393423</v>
      </c>
      <c r="H3777" t="s">
        <v>28</v>
      </c>
      <c r="I3777" t="s">
        <v>17</v>
      </c>
      <c r="J3777" t="s">
        <v>25</v>
      </c>
    </row>
    <row r="3778" spans="1:11" x14ac:dyDescent="0.2">
      <c r="A3778" t="s">
        <v>12878</v>
      </c>
      <c r="B3778" t="s">
        <v>6265</v>
      </c>
      <c r="F3778" s="2">
        <v>525052377</v>
      </c>
      <c r="G3778" s="2">
        <v>133011347</v>
      </c>
      <c r="H3778" t="s">
        <v>28</v>
      </c>
      <c r="I3778" t="s">
        <v>17</v>
      </c>
      <c r="J3778" t="s">
        <v>25</v>
      </c>
    </row>
    <row r="3779" spans="1:11" x14ac:dyDescent="0.2">
      <c r="A3779" t="s">
        <v>12879</v>
      </c>
      <c r="F3779" s="2">
        <v>525090055</v>
      </c>
      <c r="G3779" s="2">
        <v>133043203</v>
      </c>
      <c r="H3779" t="s">
        <v>28</v>
      </c>
      <c r="I3779" t="s">
        <v>17</v>
      </c>
      <c r="J3779" t="s">
        <v>25</v>
      </c>
    </row>
    <row r="3780" spans="1:11" x14ac:dyDescent="0.2">
      <c r="A3780" t="s">
        <v>12880</v>
      </c>
      <c r="F3780" s="2">
        <v>524580273</v>
      </c>
      <c r="G3780" s="2">
        <v>135785524</v>
      </c>
      <c r="H3780" t="s">
        <v>28</v>
      </c>
      <c r="I3780" t="s">
        <v>17</v>
      </c>
      <c r="J3780" t="s">
        <v>25</v>
      </c>
    </row>
    <row r="3781" spans="1:11" x14ac:dyDescent="0.2">
      <c r="A3781" t="s">
        <v>12881</v>
      </c>
      <c r="B3781" t="s">
        <v>12882</v>
      </c>
      <c r="F3781" s="2">
        <v>525538066</v>
      </c>
      <c r="G3781" s="2">
        <v>134171807</v>
      </c>
      <c r="H3781" t="s">
        <v>28</v>
      </c>
      <c r="I3781" t="s">
        <v>17</v>
      </c>
      <c r="J3781" t="s">
        <v>25</v>
      </c>
    </row>
    <row r="3782" spans="1:11" x14ac:dyDescent="0.2">
      <c r="A3782" t="s">
        <v>12883</v>
      </c>
      <c r="B3782" t="s">
        <v>12884</v>
      </c>
      <c r="F3782" s="2">
        <v>525261082</v>
      </c>
      <c r="G3782" s="2">
        <v>134982044</v>
      </c>
      <c r="H3782" t="s">
        <v>28</v>
      </c>
      <c r="I3782" t="s">
        <v>17</v>
      </c>
      <c r="J3782" t="s">
        <v>25</v>
      </c>
    </row>
    <row r="3783" spans="1:11" x14ac:dyDescent="0.2">
      <c r="A3783" t="s">
        <v>12885</v>
      </c>
      <c r="B3783" t="s">
        <v>12886</v>
      </c>
      <c r="F3783" s="2">
        <v>52519321</v>
      </c>
      <c r="G3783" s="2">
        <v>132577037</v>
      </c>
      <c r="H3783" t="s">
        <v>28</v>
      </c>
      <c r="I3783" t="s">
        <v>17</v>
      </c>
      <c r="J3783" t="s">
        <v>25</v>
      </c>
    </row>
    <row r="3784" spans="1:11" x14ac:dyDescent="0.2">
      <c r="A3784" t="s">
        <v>12887</v>
      </c>
      <c r="F3784" s="2">
        <v>525098628</v>
      </c>
      <c r="G3784" s="2">
        <v>133727732</v>
      </c>
      <c r="H3784" t="s">
        <v>28</v>
      </c>
      <c r="I3784" t="s">
        <v>17</v>
      </c>
      <c r="J3784" t="s">
        <v>25</v>
      </c>
    </row>
    <row r="3785" spans="1:11" x14ac:dyDescent="0.2">
      <c r="A3785" t="s">
        <v>12888</v>
      </c>
      <c r="B3785" t="s">
        <v>12889</v>
      </c>
      <c r="F3785" s="2">
        <v>525100125</v>
      </c>
      <c r="G3785" s="2">
        <v>133729081</v>
      </c>
      <c r="H3785" t="s">
        <v>28</v>
      </c>
      <c r="I3785" t="s">
        <v>17</v>
      </c>
      <c r="J3785" t="s">
        <v>25</v>
      </c>
    </row>
    <row r="3786" spans="1:11" x14ac:dyDescent="0.2">
      <c r="A3786" t="s">
        <v>12890</v>
      </c>
      <c r="F3786" s="2">
        <v>525173536</v>
      </c>
      <c r="G3786" s="2">
        <v>134078601</v>
      </c>
      <c r="H3786" t="s">
        <v>28</v>
      </c>
      <c r="I3786" t="s">
        <v>17</v>
      </c>
      <c r="J3786" t="s">
        <v>25</v>
      </c>
    </row>
    <row r="3787" spans="1:11" x14ac:dyDescent="0.2">
      <c r="A3787" t="s">
        <v>12891</v>
      </c>
      <c r="F3787" s="2">
        <v>52515815</v>
      </c>
      <c r="G3787" s="2">
        <v>134646424</v>
      </c>
      <c r="H3787" t="s">
        <v>28</v>
      </c>
      <c r="I3787" t="s">
        <v>17</v>
      </c>
      <c r="J3787" t="s">
        <v>25</v>
      </c>
    </row>
    <row r="3788" spans="1:11" x14ac:dyDescent="0.2">
      <c r="A3788" t="s">
        <v>12892</v>
      </c>
      <c r="F3788" s="2">
        <v>525069373</v>
      </c>
      <c r="G3788" s="2">
        <v>133027307</v>
      </c>
      <c r="H3788" t="s">
        <v>28</v>
      </c>
      <c r="I3788" t="s">
        <v>17</v>
      </c>
      <c r="J3788" t="s">
        <v>25</v>
      </c>
    </row>
    <row r="3789" spans="1:11" x14ac:dyDescent="0.2">
      <c r="A3789" t="s">
        <v>12893</v>
      </c>
      <c r="F3789" s="2">
        <v>52504992</v>
      </c>
      <c r="G3789" s="2">
        <v>134482616</v>
      </c>
      <c r="H3789" t="s">
        <v>28</v>
      </c>
      <c r="I3789" t="s">
        <v>17</v>
      </c>
      <c r="J3789" t="s">
        <v>25</v>
      </c>
    </row>
    <row r="3790" spans="1:11" x14ac:dyDescent="0.2">
      <c r="A3790" t="s">
        <v>12894</v>
      </c>
      <c r="B3790" t="s">
        <v>12895</v>
      </c>
      <c r="F3790" s="2">
        <v>525371522</v>
      </c>
      <c r="G3790" s="2">
        <v>134119018</v>
      </c>
      <c r="H3790" t="s">
        <v>28</v>
      </c>
      <c r="I3790" t="s">
        <v>17</v>
      </c>
      <c r="J3790" t="s">
        <v>25</v>
      </c>
    </row>
    <row r="3791" spans="1:11" x14ac:dyDescent="0.2">
      <c r="A3791" t="s">
        <v>12896</v>
      </c>
      <c r="B3791" t="s">
        <v>12897</v>
      </c>
      <c r="E3791" t="s">
        <v>12898</v>
      </c>
      <c r="F3791" s="2">
        <v>524821679</v>
      </c>
      <c r="G3791" s="2">
        <v>134405184</v>
      </c>
      <c r="H3791" t="s">
        <v>34</v>
      </c>
      <c r="I3791" t="s">
        <v>17</v>
      </c>
      <c r="J3791" t="s">
        <v>25</v>
      </c>
    </row>
    <row r="3792" spans="1:11" x14ac:dyDescent="0.2">
      <c r="A3792" t="s">
        <v>12899</v>
      </c>
      <c r="B3792" t="s">
        <v>12900</v>
      </c>
      <c r="C3792" t="s">
        <v>12901</v>
      </c>
      <c r="D3792" t="s">
        <v>12902</v>
      </c>
      <c r="E3792" t="s">
        <v>12903</v>
      </c>
      <c r="F3792" s="2">
        <v>524762589</v>
      </c>
      <c r="G3792" s="2">
        <v>133603232</v>
      </c>
      <c r="H3792" t="s">
        <v>51</v>
      </c>
      <c r="I3792" t="s">
        <v>17</v>
      </c>
      <c r="J3792" t="s">
        <v>25</v>
      </c>
      <c r="K3792" t="s">
        <v>12904</v>
      </c>
    </row>
    <row r="3793" spans="1:11" x14ac:dyDescent="0.2">
      <c r="A3793" t="s">
        <v>12905</v>
      </c>
      <c r="B3793" t="s">
        <v>12906</v>
      </c>
      <c r="F3793" s="2">
        <v>525310471</v>
      </c>
      <c r="G3793" s="2">
        <v>134101305</v>
      </c>
      <c r="H3793" t="s">
        <v>28</v>
      </c>
      <c r="I3793" t="s">
        <v>17</v>
      </c>
      <c r="J3793" t="s">
        <v>25</v>
      </c>
    </row>
    <row r="3794" spans="1:11" x14ac:dyDescent="0.2">
      <c r="A3794" t="s">
        <v>12907</v>
      </c>
      <c r="B3794" t="s">
        <v>12908</v>
      </c>
      <c r="E3794" t="s">
        <v>12909</v>
      </c>
      <c r="F3794" s="2">
        <v>52494766</v>
      </c>
      <c r="G3794" s="2">
        <v>134064619</v>
      </c>
      <c r="H3794" t="s">
        <v>34</v>
      </c>
      <c r="I3794" t="s">
        <v>17</v>
      </c>
      <c r="J3794" t="s">
        <v>25</v>
      </c>
    </row>
    <row r="3795" spans="1:11" x14ac:dyDescent="0.2">
      <c r="A3795" t="s">
        <v>12910</v>
      </c>
      <c r="F3795" s="2">
        <v>525072957</v>
      </c>
      <c r="G3795" s="2">
        <v>13373694</v>
      </c>
      <c r="H3795" t="s">
        <v>28</v>
      </c>
      <c r="I3795" t="s">
        <v>17</v>
      </c>
      <c r="J3795" t="s">
        <v>25</v>
      </c>
    </row>
    <row r="3796" spans="1:11" x14ac:dyDescent="0.2">
      <c r="A3796" t="s">
        <v>12911</v>
      </c>
      <c r="C3796" t="s">
        <v>12912</v>
      </c>
      <c r="D3796" t="s">
        <v>12913</v>
      </c>
      <c r="E3796" t="s">
        <v>12914</v>
      </c>
      <c r="F3796" s="2">
        <v>524663667</v>
      </c>
      <c r="G3796" s="2">
        <v>132561325</v>
      </c>
      <c r="H3796" t="s">
        <v>24</v>
      </c>
      <c r="I3796" t="s">
        <v>17</v>
      </c>
      <c r="J3796" t="s">
        <v>25</v>
      </c>
    </row>
    <row r="3797" spans="1:11" x14ac:dyDescent="0.2">
      <c r="A3797" t="s">
        <v>12915</v>
      </c>
      <c r="B3797" t="s">
        <v>12916</v>
      </c>
      <c r="C3797" t="s">
        <v>12917</v>
      </c>
      <c r="E3797" t="s">
        <v>12918</v>
      </c>
      <c r="F3797" s="2">
        <v>525232231</v>
      </c>
      <c r="G3797" s="2">
        <v>133442014</v>
      </c>
      <c r="H3797" t="s">
        <v>38</v>
      </c>
      <c r="I3797" t="s">
        <v>17</v>
      </c>
      <c r="J3797" t="s">
        <v>25</v>
      </c>
    </row>
    <row r="3798" spans="1:11" x14ac:dyDescent="0.2">
      <c r="A3798" t="s">
        <v>12919</v>
      </c>
      <c r="F3798" s="2">
        <v>525035701</v>
      </c>
      <c r="G3798" s="2">
        <v>133471215</v>
      </c>
      <c r="H3798" t="s">
        <v>28</v>
      </c>
      <c r="I3798" t="s">
        <v>17</v>
      </c>
      <c r="J3798" t="s">
        <v>25</v>
      </c>
    </row>
    <row r="3799" spans="1:11" x14ac:dyDescent="0.2">
      <c r="A3799" t="s">
        <v>12920</v>
      </c>
      <c r="B3799" t="s">
        <v>12921</v>
      </c>
      <c r="C3799" t="s">
        <v>12922</v>
      </c>
      <c r="D3799" t="s">
        <v>12923</v>
      </c>
      <c r="F3799" s="2">
        <v>525104074</v>
      </c>
      <c r="G3799" s="2">
        <v>133787618</v>
      </c>
      <c r="H3799" t="s">
        <v>51</v>
      </c>
      <c r="I3799" t="s">
        <v>17</v>
      </c>
      <c r="J3799" t="s">
        <v>25</v>
      </c>
      <c r="K3799" t="s">
        <v>12924</v>
      </c>
    </row>
    <row r="3800" spans="1:11" x14ac:dyDescent="0.2">
      <c r="A3800" t="s">
        <v>12925</v>
      </c>
      <c r="F3800" s="2">
        <v>52593844</v>
      </c>
      <c r="G3800" s="2">
        <v>133340931</v>
      </c>
      <c r="H3800" t="s">
        <v>28</v>
      </c>
      <c r="I3800" t="s">
        <v>17</v>
      </c>
      <c r="J3800" t="s">
        <v>25</v>
      </c>
    </row>
    <row r="3801" spans="1:11" x14ac:dyDescent="0.2">
      <c r="A3801" t="s">
        <v>12926</v>
      </c>
      <c r="B3801" t="s">
        <v>10788</v>
      </c>
      <c r="C3801" t="s">
        <v>12927</v>
      </c>
      <c r="D3801" t="s">
        <v>12928</v>
      </c>
      <c r="E3801" t="s">
        <v>12929</v>
      </c>
      <c r="F3801" s="2">
        <v>524759049</v>
      </c>
      <c r="G3801" s="2">
        <v>134261019</v>
      </c>
      <c r="H3801" t="s">
        <v>51</v>
      </c>
      <c r="I3801" t="s">
        <v>17</v>
      </c>
      <c r="J3801" t="s">
        <v>25</v>
      </c>
      <c r="K3801" t="s">
        <v>12930</v>
      </c>
    </row>
    <row r="3802" spans="1:11" x14ac:dyDescent="0.2">
      <c r="A3802" t="s">
        <v>12931</v>
      </c>
      <c r="B3802" t="s">
        <v>12932</v>
      </c>
      <c r="F3802" s="2">
        <v>525066392</v>
      </c>
      <c r="G3802" s="2">
        <v>132968972</v>
      </c>
      <c r="H3802" t="s">
        <v>28</v>
      </c>
      <c r="I3802" t="s">
        <v>17</v>
      </c>
      <c r="J3802" t="s">
        <v>25</v>
      </c>
    </row>
    <row r="3803" spans="1:11" x14ac:dyDescent="0.2">
      <c r="A3803" t="s">
        <v>12933</v>
      </c>
      <c r="F3803" s="2">
        <v>525261165</v>
      </c>
      <c r="G3803" s="2">
        <v>134083841</v>
      </c>
      <c r="H3803" t="s">
        <v>28</v>
      </c>
      <c r="I3803" t="s">
        <v>17</v>
      </c>
      <c r="J3803" t="s">
        <v>25</v>
      </c>
    </row>
    <row r="3804" spans="1:11" x14ac:dyDescent="0.2">
      <c r="A3804" t="s">
        <v>12934</v>
      </c>
      <c r="B3804" t="s">
        <v>12935</v>
      </c>
      <c r="C3804" t="s">
        <v>12936</v>
      </c>
      <c r="F3804" s="2">
        <v>524526562</v>
      </c>
      <c r="G3804" s="2">
        <v>131400709</v>
      </c>
      <c r="H3804" t="s">
        <v>3120</v>
      </c>
      <c r="I3804" t="s">
        <v>17</v>
      </c>
      <c r="J3804" t="s">
        <v>25</v>
      </c>
      <c r="K3804" t="s">
        <v>12937</v>
      </c>
    </row>
    <row r="3805" spans="1:11" x14ac:dyDescent="0.2">
      <c r="A3805" t="s">
        <v>12938</v>
      </c>
      <c r="C3805" t="s">
        <v>12939</v>
      </c>
      <c r="D3805" t="s">
        <v>12940</v>
      </c>
      <c r="F3805" s="2">
        <v>524655965</v>
      </c>
      <c r="G3805" s="2">
        <v>131642356</v>
      </c>
      <c r="H3805" t="s">
        <v>16</v>
      </c>
      <c r="I3805" t="s">
        <v>17</v>
      </c>
      <c r="J3805" t="s">
        <v>25</v>
      </c>
    </row>
    <row r="3806" spans="1:11" x14ac:dyDescent="0.2">
      <c r="A3806" t="s">
        <v>12941</v>
      </c>
      <c r="B3806" t="s">
        <v>12942</v>
      </c>
      <c r="C3806" t="s">
        <v>12943</v>
      </c>
      <c r="D3806" t="s">
        <v>12944</v>
      </c>
      <c r="E3806">
        <v>49306188098</v>
      </c>
      <c r="F3806" s="2">
        <v>525023656</v>
      </c>
      <c r="G3806" s="2">
        <v>134305424</v>
      </c>
      <c r="H3806" t="s">
        <v>24</v>
      </c>
      <c r="I3806" t="s">
        <v>17</v>
      </c>
      <c r="J3806" t="s">
        <v>25</v>
      </c>
    </row>
    <row r="3807" spans="1:11" x14ac:dyDescent="0.2">
      <c r="A3807" t="s">
        <v>12945</v>
      </c>
      <c r="F3807" s="2">
        <v>524669872</v>
      </c>
      <c r="G3807" s="2">
        <v>134313852</v>
      </c>
      <c r="H3807" t="s">
        <v>28</v>
      </c>
      <c r="I3807" t="s">
        <v>17</v>
      </c>
      <c r="J3807" t="s">
        <v>25</v>
      </c>
    </row>
    <row r="3808" spans="1:11" x14ac:dyDescent="0.2">
      <c r="A3808" t="s">
        <v>12946</v>
      </c>
      <c r="B3808" t="s">
        <v>12947</v>
      </c>
      <c r="C3808" t="s">
        <v>12948</v>
      </c>
      <c r="E3808" t="s">
        <v>12949</v>
      </c>
      <c r="F3808" s="2">
        <v>524991877</v>
      </c>
      <c r="G3808" s="2">
        <v>133575309</v>
      </c>
      <c r="H3808" t="s">
        <v>38</v>
      </c>
      <c r="I3808" t="s">
        <v>17</v>
      </c>
      <c r="J3808" t="s">
        <v>25</v>
      </c>
    </row>
    <row r="3809" spans="1:11" x14ac:dyDescent="0.2">
      <c r="A3809" t="s">
        <v>12950</v>
      </c>
      <c r="B3809" t="s">
        <v>12951</v>
      </c>
      <c r="C3809" t="s">
        <v>12952</v>
      </c>
      <c r="F3809" s="2">
        <v>525352334</v>
      </c>
      <c r="G3809" s="2">
        <v>133556047</v>
      </c>
      <c r="H3809" t="s">
        <v>255</v>
      </c>
      <c r="I3809" t="s">
        <v>17</v>
      </c>
      <c r="J3809" t="s">
        <v>25</v>
      </c>
    </row>
    <row r="3810" spans="1:11" x14ac:dyDescent="0.2">
      <c r="A3810" t="s">
        <v>12953</v>
      </c>
      <c r="B3810" t="s">
        <v>12954</v>
      </c>
      <c r="C3810" t="s">
        <v>12955</v>
      </c>
      <c r="E3810" t="s">
        <v>12956</v>
      </c>
      <c r="F3810" s="2">
        <v>525284223</v>
      </c>
      <c r="G3810" s="2">
        <v>133925933</v>
      </c>
      <c r="H3810" t="s">
        <v>38</v>
      </c>
      <c r="I3810" t="s">
        <v>17</v>
      </c>
      <c r="J3810" t="s">
        <v>25</v>
      </c>
    </row>
    <row r="3811" spans="1:11" x14ac:dyDescent="0.2">
      <c r="A3811" t="s">
        <v>12957</v>
      </c>
      <c r="F3811" s="2">
        <v>525204722</v>
      </c>
      <c r="G3811" s="2">
        <v>134135383</v>
      </c>
      <c r="H3811" t="s">
        <v>28</v>
      </c>
      <c r="I3811" t="s">
        <v>17</v>
      </c>
      <c r="J3811" t="s">
        <v>25</v>
      </c>
    </row>
    <row r="3812" spans="1:11" x14ac:dyDescent="0.2">
      <c r="A3812" t="s">
        <v>12958</v>
      </c>
      <c r="B3812" t="s">
        <v>12959</v>
      </c>
      <c r="C3812" t="s">
        <v>12960</v>
      </c>
      <c r="D3812" t="s">
        <v>12961</v>
      </c>
      <c r="E3812" t="s">
        <v>12962</v>
      </c>
      <c r="F3812" s="2">
        <v>524923286</v>
      </c>
      <c r="G3812" s="2">
        <v>133889542</v>
      </c>
      <c r="H3812" t="s">
        <v>51</v>
      </c>
      <c r="I3812" t="s">
        <v>17</v>
      </c>
      <c r="J3812" t="s">
        <v>25</v>
      </c>
      <c r="K3812" t="s">
        <v>12963</v>
      </c>
    </row>
    <row r="3813" spans="1:11" x14ac:dyDescent="0.2">
      <c r="A3813" t="s">
        <v>12964</v>
      </c>
      <c r="F3813" s="2">
        <v>524940597</v>
      </c>
      <c r="G3813" s="2">
        <v>134187613</v>
      </c>
      <c r="H3813" t="s">
        <v>28</v>
      </c>
      <c r="I3813" t="s">
        <v>17</v>
      </c>
      <c r="J3813" t="s">
        <v>25</v>
      </c>
    </row>
    <row r="3814" spans="1:11" x14ac:dyDescent="0.2">
      <c r="A3814" t="s">
        <v>12965</v>
      </c>
      <c r="B3814" t="s">
        <v>12966</v>
      </c>
      <c r="F3814" s="2">
        <v>524954084</v>
      </c>
      <c r="G3814" s="2">
        <v>134214565</v>
      </c>
      <c r="H3814" t="s">
        <v>28</v>
      </c>
      <c r="I3814" t="s">
        <v>17</v>
      </c>
      <c r="J3814" t="s">
        <v>25</v>
      </c>
    </row>
    <row r="3815" spans="1:11" x14ac:dyDescent="0.2">
      <c r="A3815" t="s">
        <v>12967</v>
      </c>
      <c r="B3815" t="s">
        <v>12968</v>
      </c>
      <c r="C3815" t="s">
        <v>12969</v>
      </c>
      <c r="D3815" t="s">
        <v>12970</v>
      </c>
      <c r="F3815" s="2">
        <v>524929569</v>
      </c>
      <c r="G3815" s="2">
        <v>134174842</v>
      </c>
      <c r="H3815" t="s">
        <v>304</v>
      </c>
      <c r="I3815" t="s">
        <v>17</v>
      </c>
      <c r="J3815" t="s">
        <v>25</v>
      </c>
      <c r="K3815" t="s">
        <v>12971</v>
      </c>
    </row>
    <row r="3816" spans="1:11" x14ac:dyDescent="0.2">
      <c r="A3816" t="s">
        <v>12972</v>
      </c>
      <c r="B3816" t="s">
        <v>12973</v>
      </c>
      <c r="F3816" s="2">
        <v>524848494</v>
      </c>
      <c r="G3816" s="2">
        <v>133832892</v>
      </c>
      <c r="H3816" t="s">
        <v>28</v>
      </c>
      <c r="I3816" t="s">
        <v>17</v>
      </c>
      <c r="J3816" t="s">
        <v>25</v>
      </c>
    </row>
    <row r="3817" spans="1:11" x14ac:dyDescent="0.2">
      <c r="A3817" t="s">
        <v>12974</v>
      </c>
      <c r="F3817" s="2">
        <v>525000034</v>
      </c>
      <c r="G3817" s="2">
        <v>134443768</v>
      </c>
      <c r="H3817" t="s">
        <v>28</v>
      </c>
      <c r="I3817" t="s">
        <v>17</v>
      </c>
      <c r="J3817" t="s">
        <v>25</v>
      </c>
    </row>
    <row r="3818" spans="1:11" x14ac:dyDescent="0.2">
      <c r="A3818" t="s">
        <v>12975</v>
      </c>
      <c r="F3818" s="2">
        <v>525000439</v>
      </c>
      <c r="G3818" s="2">
        <v>134442972</v>
      </c>
      <c r="H3818" t="s">
        <v>28</v>
      </c>
      <c r="I3818" t="s">
        <v>17</v>
      </c>
      <c r="J3818" t="s">
        <v>25</v>
      </c>
    </row>
    <row r="3819" spans="1:11" x14ac:dyDescent="0.2">
      <c r="A3819" t="s">
        <v>12976</v>
      </c>
      <c r="F3819" s="2">
        <v>525243246</v>
      </c>
      <c r="G3819" s="2">
        <v>134485664</v>
      </c>
      <c r="H3819" t="s">
        <v>28</v>
      </c>
      <c r="I3819" t="s">
        <v>17</v>
      </c>
      <c r="J3819" t="s">
        <v>25</v>
      </c>
    </row>
    <row r="3820" spans="1:11" x14ac:dyDescent="0.2">
      <c r="A3820" t="s">
        <v>12977</v>
      </c>
      <c r="B3820" t="s">
        <v>12978</v>
      </c>
      <c r="C3820" t="s">
        <v>12979</v>
      </c>
      <c r="D3820" t="s">
        <v>12980</v>
      </c>
      <c r="F3820" s="2">
        <v>524663385</v>
      </c>
      <c r="G3820" s="2">
        <v>133852681</v>
      </c>
      <c r="H3820" t="s">
        <v>51</v>
      </c>
      <c r="I3820" t="s">
        <v>17</v>
      </c>
      <c r="J3820" t="s">
        <v>25</v>
      </c>
      <c r="K3820" t="s">
        <v>12981</v>
      </c>
    </row>
    <row r="3821" spans="1:11" x14ac:dyDescent="0.2">
      <c r="A3821" t="s">
        <v>12982</v>
      </c>
      <c r="B3821" t="s">
        <v>12983</v>
      </c>
      <c r="C3821" t="s">
        <v>12984</v>
      </c>
      <c r="D3821" t="s">
        <v>12985</v>
      </c>
      <c r="E3821" t="s">
        <v>12986</v>
      </c>
      <c r="F3821" s="2">
        <v>524316587</v>
      </c>
      <c r="G3821" s="2">
        <v>133381148</v>
      </c>
      <c r="H3821" t="s">
        <v>16</v>
      </c>
      <c r="I3821" t="s">
        <v>17</v>
      </c>
      <c r="J3821" t="s">
        <v>25</v>
      </c>
    </row>
    <row r="3822" spans="1:11" x14ac:dyDescent="0.2">
      <c r="A3822" t="s">
        <v>12987</v>
      </c>
      <c r="F3822" s="2">
        <v>525275233</v>
      </c>
      <c r="G3822" s="2">
        <v>134153207</v>
      </c>
      <c r="H3822" t="s">
        <v>28</v>
      </c>
      <c r="I3822" t="s">
        <v>17</v>
      </c>
      <c r="J3822" t="s">
        <v>25</v>
      </c>
    </row>
    <row r="3823" spans="1:11" x14ac:dyDescent="0.2">
      <c r="A3823" t="s">
        <v>12988</v>
      </c>
      <c r="B3823" t="s">
        <v>12989</v>
      </c>
      <c r="C3823" t="s">
        <v>12990</v>
      </c>
      <c r="F3823" s="2">
        <v>524799245</v>
      </c>
      <c r="G3823" s="2">
        <v>134248717</v>
      </c>
      <c r="H3823" t="s">
        <v>255</v>
      </c>
      <c r="I3823" t="s">
        <v>17</v>
      </c>
      <c r="J3823" t="s">
        <v>25</v>
      </c>
    </row>
    <row r="3824" spans="1:11" x14ac:dyDescent="0.2">
      <c r="A3824" t="s">
        <v>12991</v>
      </c>
      <c r="B3824" t="s">
        <v>12992</v>
      </c>
      <c r="C3824" t="s">
        <v>12993</v>
      </c>
      <c r="D3824" t="s">
        <v>12994</v>
      </c>
      <c r="F3824" s="2">
        <v>525248567</v>
      </c>
      <c r="G3824" s="2">
        <v>134477374</v>
      </c>
      <c r="H3824" t="s">
        <v>51</v>
      </c>
      <c r="I3824" t="s">
        <v>17</v>
      </c>
      <c r="J3824" t="s">
        <v>25</v>
      </c>
      <c r="K3824" t="s">
        <v>12995</v>
      </c>
    </row>
    <row r="3825" spans="1:11" x14ac:dyDescent="0.2">
      <c r="A3825" t="s">
        <v>12996</v>
      </c>
      <c r="C3825" t="s">
        <v>12997</v>
      </c>
      <c r="D3825" t="s">
        <v>12998</v>
      </c>
      <c r="E3825" t="s">
        <v>12999</v>
      </c>
      <c r="H3825" t="s">
        <v>24</v>
      </c>
      <c r="I3825" t="s">
        <v>17</v>
      </c>
      <c r="J3825" t="s">
        <v>25</v>
      </c>
    </row>
    <row r="3826" spans="1:11" x14ac:dyDescent="0.2">
      <c r="A3826" t="s">
        <v>13000</v>
      </c>
      <c r="B3826" t="s">
        <v>13001</v>
      </c>
      <c r="C3826" t="s">
        <v>13002</v>
      </c>
      <c r="E3826" t="s">
        <v>13003</v>
      </c>
      <c r="H3826" t="s">
        <v>38</v>
      </c>
      <c r="I3826" t="s">
        <v>17</v>
      </c>
      <c r="J3826" t="s">
        <v>25</v>
      </c>
    </row>
    <row r="3827" spans="1:11" x14ac:dyDescent="0.2">
      <c r="A3827" t="s">
        <v>13004</v>
      </c>
      <c r="B3827" t="s">
        <v>13005</v>
      </c>
      <c r="C3827" t="s">
        <v>13006</v>
      </c>
      <c r="E3827" t="s">
        <v>13007</v>
      </c>
      <c r="H3827" t="s">
        <v>38</v>
      </c>
      <c r="I3827" t="s">
        <v>17</v>
      </c>
      <c r="J3827" t="s">
        <v>25</v>
      </c>
    </row>
    <row r="3828" spans="1:11" x14ac:dyDescent="0.2">
      <c r="A3828" t="s">
        <v>13008</v>
      </c>
      <c r="H3828" t="s">
        <v>28</v>
      </c>
      <c r="I3828" t="s">
        <v>17</v>
      </c>
      <c r="J3828" t="s">
        <v>25</v>
      </c>
    </row>
    <row r="3829" spans="1:11" x14ac:dyDescent="0.2">
      <c r="A3829" t="s">
        <v>13009</v>
      </c>
      <c r="B3829" t="s">
        <v>13010</v>
      </c>
      <c r="C3829" t="s">
        <v>13011</v>
      </c>
      <c r="D3829" t="s">
        <v>13012</v>
      </c>
      <c r="E3829" t="s">
        <v>13013</v>
      </c>
      <c r="H3829" t="s">
        <v>51</v>
      </c>
      <c r="I3829" t="s">
        <v>17</v>
      </c>
      <c r="J3829" t="s">
        <v>25</v>
      </c>
      <c r="K3829" t="s">
        <v>13014</v>
      </c>
    </row>
    <row r="3830" spans="1:11" x14ac:dyDescent="0.2">
      <c r="A3830" t="s">
        <v>13015</v>
      </c>
      <c r="E3830" t="s">
        <v>13016</v>
      </c>
      <c r="H3830" t="s">
        <v>34</v>
      </c>
      <c r="I3830" t="s">
        <v>17</v>
      </c>
      <c r="J3830" t="s">
        <v>25</v>
      </c>
    </row>
    <row r="3831" spans="1:11" x14ac:dyDescent="0.2">
      <c r="A3831" t="s">
        <v>13017</v>
      </c>
      <c r="E3831" t="s">
        <v>13018</v>
      </c>
      <c r="H3831" t="s">
        <v>34</v>
      </c>
      <c r="I3831" t="s">
        <v>17</v>
      </c>
      <c r="J3831" t="s">
        <v>25</v>
      </c>
    </row>
    <row r="3832" spans="1:11" x14ac:dyDescent="0.2">
      <c r="A3832" t="s">
        <v>13019</v>
      </c>
      <c r="B3832" t="s">
        <v>13020</v>
      </c>
      <c r="C3832" t="s">
        <v>13021</v>
      </c>
      <c r="D3832" t="s">
        <v>13022</v>
      </c>
      <c r="E3832" t="s">
        <v>13023</v>
      </c>
      <c r="H3832" t="s">
        <v>51</v>
      </c>
      <c r="I3832" t="s">
        <v>17</v>
      </c>
      <c r="J3832" t="s">
        <v>25</v>
      </c>
      <c r="K3832" t="s">
        <v>13024</v>
      </c>
    </row>
    <row r="3833" spans="1:11" x14ac:dyDescent="0.2">
      <c r="A3833" t="s">
        <v>13025</v>
      </c>
      <c r="H3833" t="s">
        <v>28</v>
      </c>
      <c r="I3833" t="s">
        <v>17</v>
      </c>
      <c r="J3833" t="s">
        <v>25</v>
      </c>
    </row>
    <row r="3834" spans="1:11" x14ac:dyDescent="0.2">
      <c r="A3834" t="s">
        <v>13026</v>
      </c>
      <c r="B3834" t="s">
        <v>13027</v>
      </c>
      <c r="H3834" t="s">
        <v>28</v>
      </c>
      <c r="I3834" t="s">
        <v>17</v>
      </c>
      <c r="J3834" t="s">
        <v>25</v>
      </c>
    </row>
    <row r="3835" spans="1:11" x14ac:dyDescent="0.2">
      <c r="A3835" t="s">
        <v>13028</v>
      </c>
      <c r="B3835" t="s">
        <v>13029</v>
      </c>
      <c r="C3835" t="s">
        <v>13030</v>
      </c>
      <c r="E3835" t="s">
        <v>13031</v>
      </c>
      <c r="H3835" t="s">
        <v>38</v>
      </c>
      <c r="I3835" t="s">
        <v>17</v>
      </c>
      <c r="J3835" t="s">
        <v>25</v>
      </c>
    </row>
    <row r="3836" spans="1:11" x14ac:dyDescent="0.2">
      <c r="A3836" t="s">
        <v>13032</v>
      </c>
      <c r="B3836" t="s">
        <v>13033</v>
      </c>
      <c r="H3836" t="s">
        <v>28</v>
      </c>
      <c r="I3836" t="s">
        <v>17</v>
      </c>
      <c r="J3836" t="s">
        <v>25</v>
      </c>
    </row>
    <row r="3837" spans="1:11" x14ac:dyDescent="0.2">
      <c r="A3837" t="s">
        <v>13034</v>
      </c>
      <c r="B3837" t="s">
        <v>12711</v>
      </c>
      <c r="C3837" t="s">
        <v>13035</v>
      </c>
      <c r="D3837" t="s">
        <v>12713</v>
      </c>
      <c r="E3837" t="s">
        <v>13036</v>
      </c>
      <c r="H3837" t="s">
        <v>51</v>
      </c>
      <c r="I3837" t="s">
        <v>17</v>
      </c>
      <c r="J3837" t="s">
        <v>25</v>
      </c>
      <c r="K3837" t="s">
        <v>12714</v>
      </c>
    </row>
    <row r="3838" spans="1:11" x14ac:dyDescent="0.2">
      <c r="A3838" t="s">
        <v>13037</v>
      </c>
      <c r="B3838" t="s">
        <v>13038</v>
      </c>
      <c r="C3838" t="s">
        <v>13039</v>
      </c>
      <c r="D3838" t="s">
        <v>206</v>
      </c>
      <c r="E3838" t="s">
        <v>13040</v>
      </c>
      <c r="H3838" t="s">
        <v>51</v>
      </c>
      <c r="I3838" t="s">
        <v>17</v>
      </c>
      <c r="J3838" t="s">
        <v>25</v>
      </c>
      <c r="K3838" t="s">
        <v>5362</v>
      </c>
    </row>
    <row r="3839" spans="1:11" x14ac:dyDescent="0.2">
      <c r="A3839" t="s">
        <v>13041</v>
      </c>
      <c r="B3839" t="s">
        <v>13042</v>
      </c>
      <c r="C3839" t="s">
        <v>13043</v>
      </c>
      <c r="D3839" t="s">
        <v>13044</v>
      </c>
      <c r="E3839">
        <v>493036468156</v>
      </c>
      <c r="H3839" t="s">
        <v>51</v>
      </c>
      <c r="I3839" t="s">
        <v>17</v>
      </c>
      <c r="J3839" t="s">
        <v>25</v>
      </c>
      <c r="K3839" t="s">
        <v>6113</v>
      </c>
    </row>
    <row r="3840" spans="1:11" x14ac:dyDescent="0.2">
      <c r="A3840" t="s">
        <v>13045</v>
      </c>
      <c r="B3840" t="s">
        <v>13046</v>
      </c>
      <c r="C3840" t="s">
        <v>13047</v>
      </c>
      <c r="D3840" t="s">
        <v>13048</v>
      </c>
      <c r="E3840" t="s">
        <v>13049</v>
      </c>
      <c r="H3840" t="s">
        <v>51</v>
      </c>
      <c r="I3840" t="s">
        <v>17</v>
      </c>
      <c r="J3840" t="s">
        <v>25</v>
      </c>
      <c r="K3840" t="s">
        <v>13050</v>
      </c>
    </row>
    <row r="3841" spans="1:11" x14ac:dyDescent="0.2">
      <c r="A3841" t="s">
        <v>13051</v>
      </c>
      <c r="C3841" t="s">
        <v>13052</v>
      </c>
      <c r="D3841" t="s">
        <v>13053</v>
      </c>
      <c r="E3841" t="s">
        <v>13054</v>
      </c>
      <c r="H3841" t="s">
        <v>24</v>
      </c>
      <c r="I3841" t="s">
        <v>17</v>
      </c>
      <c r="J3841" t="s">
        <v>25</v>
      </c>
    </row>
    <row r="3842" spans="1:11" x14ac:dyDescent="0.2">
      <c r="A3842" t="s">
        <v>13055</v>
      </c>
      <c r="B3842" t="s">
        <v>13056</v>
      </c>
      <c r="C3842" t="s">
        <v>13057</v>
      </c>
      <c r="D3842" t="s">
        <v>13058</v>
      </c>
      <c r="E3842" t="s">
        <v>13059</v>
      </c>
      <c r="H3842" t="s">
        <v>24</v>
      </c>
      <c r="I3842" t="s">
        <v>17</v>
      </c>
      <c r="J3842" t="s">
        <v>25</v>
      </c>
    </row>
    <row r="3843" spans="1:11" x14ac:dyDescent="0.2">
      <c r="A3843" t="s">
        <v>13060</v>
      </c>
      <c r="B3843" t="s">
        <v>13061</v>
      </c>
      <c r="C3843" t="s">
        <v>13062</v>
      </c>
      <c r="D3843" t="s">
        <v>13063</v>
      </c>
      <c r="E3843" t="s">
        <v>13064</v>
      </c>
      <c r="H3843" t="s">
        <v>51</v>
      </c>
      <c r="I3843" t="s">
        <v>17</v>
      </c>
      <c r="J3843" t="s">
        <v>25</v>
      </c>
      <c r="K3843" t="s">
        <v>13065</v>
      </c>
    </row>
    <row r="3844" spans="1:11" x14ac:dyDescent="0.2">
      <c r="A3844" t="s">
        <v>13066</v>
      </c>
      <c r="B3844" t="s">
        <v>13067</v>
      </c>
      <c r="C3844" t="s">
        <v>13068</v>
      </c>
      <c r="D3844" t="s">
        <v>13069</v>
      </c>
      <c r="E3844" t="s">
        <v>13070</v>
      </c>
      <c r="H3844" t="s">
        <v>24</v>
      </c>
      <c r="I3844" t="s">
        <v>17</v>
      </c>
      <c r="J3844" t="s">
        <v>25</v>
      </c>
    </row>
    <row r="3845" spans="1:11" x14ac:dyDescent="0.2">
      <c r="A3845" t="s">
        <v>13071</v>
      </c>
      <c r="B3845" t="s">
        <v>13072</v>
      </c>
      <c r="C3845" t="s">
        <v>13073</v>
      </c>
      <c r="E3845">
        <v>493047511830</v>
      </c>
      <c r="H3845" t="s">
        <v>38</v>
      </c>
      <c r="I3845" t="s">
        <v>17</v>
      </c>
      <c r="J3845" t="s">
        <v>25</v>
      </c>
    </row>
    <row r="3846" spans="1:11" x14ac:dyDescent="0.2">
      <c r="A3846" t="s">
        <v>13074</v>
      </c>
      <c r="B3846" t="s">
        <v>13075</v>
      </c>
      <c r="C3846" t="s">
        <v>13076</v>
      </c>
      <c r="D3846" t="s">
        <v>13077</v>
      </c>
      <c r="E3846" t="s">
        <v>13078</v>
      </c>
      <c r="H3846" t="s">
        <v>24</v>
      </c>
      <c r="I3846" t="s">
        <v>17</v>
      </c>
      <c r="J3846" t="s">
        <v>25</v>
      </c>
    </row>
    <row r="3847" spans="1:11" x14ac:dyDescent="0.2">
      <c r="A3847" t="s">
        <v>13079</v>
      </c>
      <c r="H3847" t="s">
        <v>28</v>
      </c>
      <c r="I3847" t="s">
        <v>17</v>
      </c>
      <c r="J3847" t="s">
        <v>25</v>
      </c>
    </row>
    <row r="3848" spans="1:11" x14ac:dyDescent="0.2">
      <c r="A3848" t="s">
        <v>13080</v>
      </c>
      <c r="B3848" t="s">
        <v>13081</v>
      </c>
      <c r="C3848" t="s">
        <v>13082</v>
      </c>
      <c r="D3848" t="s">
        <v>13083</v>
      </c>
      <c r="E3848" t="s">
        <v>13084</v>
      </c>
      <c r="H3848" t="s">
        <v>51</v>
      </c>
      <c r="I3848" t="s">
        <v>17</v>
      </c>
      <c r="J3848" t="s">
        <v>25</v>
      </c>
      <c r="K3848" t="s">
        <v>13085</v>
      </c>
    </row>
    <row r="3849" spans="1:11" x14ac:dyDescent="0.2">
      <c r="A3849" t="s">
        <v>13086</v>
      </c>
      <c r="B3849" t="s">
        <v>13087</v>
      </c>
      <c r="C3849" t="s">
        <v>13088</v>
      </c>
      <c r="E3849" t="s">
        <v>13089</v>
      </c>
      <c r="H3849" t="s">
        <v>277</v>
      </c>
      <c r="I3849" t="s">
        <v>17</v>
      </c>
      <c r="J3849" t="s">
        <v>25</v>
      </c>
      <c r="K3849" t="s">
        <v>13090</v>
      </c>
    </row>
    <row r="3850" spans="1:11" x14ac:dyDescent="0.2">
      <c r="A3850" t="s">
        <v>13091</v>
      </c>
      <c r="E3850" t="s">
        <v>13092</v>
      </c>
      <c r="H3850" t="s">
        <v>34</v>
      </c>
      <c r="I3850" t="s">
        <v>17</v>
      </c>
      <c r="J3850" t="s">
        <v>25</v>
      </c>
    </row>
    <row r="3851" spans="1:11" x14ac:dyDescent="0.2">
      <c r="A3851" t="s">
        <v>13093</v>
      </c>
      <c r="B3851" t="s">
        <v>13094</v>
      </c>
      <c r="H3851" t="s">
        <v>28</v>
      </c>
      <c r="I3851" t="s">
        <v>17</v>
      </c>
      <c r="J3851" t="s">
        <v>25</v>
      </c>
    </row>
    <row r="3852" spans="1:11" x14ac:dyDescent="0.2">
      <c r="A3852" t="s">
        <v>13095</v>
      </c>
      <c r="B3852" t="s">
        <v>13096</v>
      </c>
      <c r="C3852" t="s">
        <v>13097</v>
      </c>
      <c r="D3852" t="s">
        <v>13098</v>
      </c>
      <c r="E3852" t="s">
        <v>13099</v>
      </c>
      <c r="H3852" t="s">
        <v>24</v>
      </c>
      <c r="I3852" t="s">
        <v>17</v>
      </c>
      <c r="J3852" t="s">
        <v>25</v>
      </c>
    </row>
    <row r="3853" spans="1:11" x14ac:dyDescent="0.2">
      <c r="A3853" t="s">
        <v>13100</v>
      </c>
      <c r="B3853" t="s">
        <v>13101</v>
      </c>
      <c r="C3853" t="s">
        <v>13102</v>
      </c>
      <c r="D3853" t="s">
        <v>13103</v>
      </c>
      <c r="E3853" t="s">
        <v>13104</v>
      </c>
      <c r="H3853" t="s">
        <v>24</v>
      </c>
      <c r="I3853" t="s">
        <v>17</v>
      </c>
      <c r="J3853" t="s">
        <v>25</v>
      </c>
    </row>
    <row r="3854" spans="1:11" x14ac:dyDescent="0.2">
      <c r="A3854" t="s">
        <v>13105</v>
      </c>
      <c r="B3854" t="s">
        <v>13106</v>
      </c>
      <c r="H3854" t="s">
        <v>28</v>
      </c>
      <c r="I3854" t="s">
        <v>17</v>
      </c>
      <c r="J3854" t="s">
        <v>25</v>
      </c>
    </row>
    <row r="3855" spans="1:11" x14ac:dyDescent="0.2">
      <c r="A3855" t="s">
        <v>13107</v>
      </c>
      <c r="B3855" t="s">
        <v>13108</v>
      </c>
      <c r="C3855" t="s">
        <v>13109</v>
      </c>
      <c r="E3855" t="s">
        <v>13110</v>
      </c>
      <c r="H3855" t="s">
        <v>38</v>
      </c>
      <c r="I3855" t="s">
        <v>17</v>
      </c>
      <c r="J3855" t="s">
        <v>25</v>
      </c>
    </row>
    <row r="3856" spans="1:11" x14ac:dyDescent="0.2">
      <c r="A3856" t="s">
        <v>13111</v>
      </c>
      <c r="B3856" t="s">
        <v>13112</v>
      </c>
      <c r="C3856" t="s">
        <v>13113</v>
      </c>
      <c r="D3856" t="s">
        <v>13114</v>
      </c>
      <c r="E3856" t="s">
        <v>13115</v>
      </c>
      <c r="H3856" t="s">
        <v>51</v>
      </c>
      <c r="I3856" t="s">
        <v>17</v>
      </c>
      <c r="J3856" t="s">
        <v>25</v>
      </c>
      <c r="K3856" t="s">
        <v>13116</v>
      </c>
    </row>
    <row r="3857" spans="1:11" x14ac:dyDescent="0.2">
      <c r="A3857" t="s">
        <v>13117</v>
      </c>
      <c r="H3857" t="s">
        <v>28</v>
      </c>
      <c r="I3857" t="s">
        <v>17</v>
      </c>
      <c r="J3857" t="s">
        <v>25</v>
      </c>
    </row>
    <row r="3858" spans="1:11" x14ac:dyDescent="0.2">
      <c r="A3858" t="s">
        <v>13118</v>
      </c>
      <c r="H3858" t="s">
        <v>28</v>
      </c>
      <c r="I3858" t="s">
        <v>17</v>
      </c>
      <c r="J3858" t="s">
        <v>25</v>
      </c>
    </row>
    <row r="3859" spans="1:11" x14ac:dyDescent="0.2">
      <c r="A3859" t="s">
        <v>13119</v>
      </c>
      <c r="B3859" t="s">
        <v>13120</v>
      </c>
      <c r="C3859" t="s">
        <v>13121</v>
      </c>
      <c r="H3859" t="s">
        <v>255</v>
      </c>
      <c r="I3859" t="s">
        <v>17</v>
      </c>
      <c r="J3859" t="s">
        <v>25</v>
      </c>
    </row>
    <row r="3860" spans="1:11" x14ac:dyDescent="0.2">
      <c r="A3860" t="s">
        <v>13122</v>
      </c>
      <c r="B3860" t="s">
        <v>13123</v>
      </c>
      <c r="C3860" t="s">
        <v>13124</v>
      </c>
      <c r="E3860" t="s">
        <v>13125</v>
      </c>
      <c r="H3860" t="s">
        <v>38</v>
      </c>
      <c r="I3860" t="s">
        <v>17</v>
      </c>
      <c r="J3860" t="s">
        <v>25</v>
      </c>
    </row>
    <row r="3861" spans="1:11" x14ac:dyDescent="0.2">
      <c r="A3861" t="s">
        <v>13126</v>
      </c>
      <c r="B3861" t="s">
        <v>13127</v>
      </c>
      <c r="C3861" t="s">
        <v>13128</v>
      </c>
      <c r="D3861" t="s">
        <v>13129</v>
      </c>
      <c r="E3861" t="s">
        <v>13130</v>
      </c>
      <c r="H3861" t="s">
        <v>24</v>
      </c>
      <c r="I3861" t="s">
        <v>17</v>
      </c>
      <c r="J3861" t="s">
        <v>25</v>
      </c>
    </row>
    <row r="3862" spans="1:11" x14ac:dyDescent="0.2">
      <c r="A3862" t="s">
        <v>13131</v>
      </c>
      <c r="B3862" t="s">
        <v>13132</v>
      </c>
      <c r="C3862" t="s">
        <v>13133</v>
      </c>
      <c r="D3862" t="s">
        <v>13134</v>
      </c>
      <c r="H3862" t="s">
        <v>51</v>
      </c>
      <c r="I3862" t="s">
        <v>17</v>
      </c>
      <c r="J3862" t="s">
        <v>25</v>
      </c>
      <c r="K3862" t="s">
        <v>13135</v>
      </c>
    </row>
    <row r="3863" spans="1:11" x14ac:dyDescent="0.2">
      <c r="A3863" t="s">
        <v>13136</v>
      </c>
      <c r="B3863" t="s">
        <v>13137</v>
      </c>
      <c r="C3863" t="s">
        <v>13138</v>
      </c>
      <c r="D3863" t="s">
        <v>13139</v>
      </c>
      <c r="E3863" t="s">
        <v>13140</v>
      </c>
      <c r="H3863" t="s">
        <v>51</v>
      </c>
      <c r="I3863" t="s">
        <v>17</v>
      </c>
      <c r="J3863" t="s">
        <v>25</v>
      </c>
      <c r="K3863" t="s">
        <v>13141</v>
      </c>
    </row>
    <row r="3864" spans="1:11" x14ac:dyDescent="0.2">
      <c r="A3864" t="s">
        <v>13142</v>
      </c>
      <c r="B3864" t="s">
        <v>13143</v>
      </c>
      <c r="C3864" t="s">
        <v>13144</v>
      </c>
      <c r="D3864" t="s">
        <v>13145</v>
      </c>
      <c r="E3864" t="s">
        <v>13146</v>
      </c>
      <c r="H3864" t="s">
        <v>24</v>
      </c>
      <c r="I3864" t="s">
        <v>17</v>
      </c>
      <c r="J3864" t="s">
        <v>25</v>
      </c>
    </row>
    <row r="3865" spans="1:11" x14ac:dyDescent="0.2">
      <c r="A3865" t="s">
        <v>13147</v>
      </c>
      <c r="B3865" t="s">
        <v>13148</v>
      </c>
      <c r="C3865" t="s">
        <v>13149</v>
      </c>
      <c r="E3865" t="s">
        <v>13150</v>
      </c>
      <c r="H3865" t="s">
        <v>38</v>
      </c>
      <c r="I3865" t="s">
        <v>17</v>
      </c>
      <c r="J3865" t="s">
        <v>25</v>
      </c>
    </row>
    <row r="3866" spans="1:11" x14ac:dyDescent="0.2">
      <c r="A3866" t="s">
        <v>13151</v>
      </c>
      <c r="C3866" t="s">
        <v>13152</v>
      </c>
      <c r="H3866" t="s">
        <v>255</v>
      </c>
      <c r="I3866" t="s">
        <v>17</v>
      </c>
      <c r="J3866" t="s">
        <v>25</v>
      </c>
    </row>
    <row r="3867" spans="1:11" x14ac:dyDescent="0.2">
      <c r="A3867" t="s">
        <v>13153</v>
      </c>
      <c r="B3867" t="s">
        <v>13154</v>
      </c>
      <c r="H3867" t="s">
        <v>28</v>
      </c>
      <c r="I3867" t="s">
        <v>17</v>
      </c>
      <c r="J3867" t="s">
        <v>25</v>
      </c>
    </row>
    <row r="3868" spans="1:11" x14ac:dyDescent="0.2">
      <c r="A3868" t="s">
        <v>13155</v>
      </c>
      <c r="B3868" t="s">
        <v>13156</v>
      </c>
      <c r="C3868" t="s">
        <v>13157</v>
      </c>
      <c r="D3868" t="s">
        <v>13158</v>
      </c>
      <c r="E3868" t="s">
        <v>13159</v>
      </c>
      <c r="H3868" t="s">
        <v>51</v>
      </c>
      <c r="I3868" t="s">
        <v>17</v>
      </c>
      <c r="J3868" t="s">
        <v>25</v>
      </c>
      <c r="K3868" t="s">
        <v>13160</v>
      </c>
    </row>
    <row r="3869" spans="1:11" x14ac:dyDescent="0.2">
      <c r="A3869" t="s">
        <v>13161</v>
      </c>
      <c r="B3869" t="s">
        <v>13162</v>
      </c>
      <c r="C3869" t="s">
        <v>13163</v>
      </c>
      <c r="H3869" t="s">
        <v>255</v>
      </c>
      <c r="I3869" t="s">
        <v>17</v>
      </c>
      <c r="J3869" t="s">
        <v>25</v>
      </c>
    </row>
    <row r="3870" spans="1:11" x14ac:dyDescent="0.2">
      <c r="A3870" t="s">
        <v>13164</v>
      </c>
      <c r="B3870" t="s">
        <v>13165</v>
      </c>
      <c r="C3870" t="s">
        <v>13166</v>
      </c>
      <c r="D3870" t="s">
        <v>13167</v>
      </c>
      <c r="E3870" t="s">
        <v>13168</v>
      </c>
      <c r="H3870" t="s">
        <v>51</v>
      </c>
      <c r="I3870" t="s">
        <v>17</v>
      </c>
      <c r="J3870" t="s">
        <v>25</v>
      </c>
      <c r="K3870" t="s">
        <v>13169</v>
      </c>
    </row>
    <row r="3871" spans="1:11" x14ac:dyDescent="0.2">
      <c r="A3871" t="s">
        <v>13170</v>
      </c>
      <c r="B3871" t="s">
        <v>13171</v>
      </c>
      <c r="C3871" t="s">
        <v>13172</v>
      </c>
      <c r="D3871" t="s">
        <v>13173</v>
      </c>
      <c r="E3871" t="s">
        <v>13174</v>
      </c>
      <c r="H3871" t="s">
        <v>51</v>
      </c>
      <c r="I3871" t="s">
        <v>17</v>
      </c>
      <c r="J3871" t="s">
        <v>25</v>
      </c>
      <c r="K3871" t="s">
        <v>13175</v>
      </c>
    </row>
    <row r="3872" spans="1:11" x14ac:dyDescent="0.2">
      <c r="A3872" t="s">
        <v>13176</v>
      </c>
      <c r="B3872" t="s">
        <v>13177</v>
      </c>
      <c r="C3872" t="s">
        <v>13178</v>
      </c>
      <c r="D3872" t="s">
        <v>13179</v>
      </c>
      <c r="E3872" t="s">
        <v>13180</v>
      </c>
      <c r="H3872" t="s">
        <v>16</v>
      </c>
      <c r="I3872" t="s">
        <v>17</v>
      </c>
      <c r="J3872" t="s">
        <v>25</v>
      </c>
    </row>
    <row r="3873" spans="1:11" x14ac:dyDescent="0.2">
      <c r="A3873" t="s">
        <v>13181</v>
      </c>
      <c r="B3873" t="s">
        <v>13182</v>
      </c>
      <c r="C3873" t="s">
        <v>13183</v>
      </c>
      <c r="D3873" t="s">
        <v>13184</v>
      </c>
      <c r="E3873" t="s">
        <v>13185</v>
      </c>
      <c r="H3873" t="s">
        <v>16</v>
      </c>
      <c r="I3873" t="s">
        <v>17</v>
      </c>
      <c r="J3873" t="s">
        <v>25</v>
      </c>
    </row>
    <row r="3874" spans="1:11" x14ac:dyDescent="0.2">
      <c r="A3874" t="s">
        <v>13186</v>
      </c>
      <c r="B3874" t="s">
        <v>13187</v>
      </c>
      <c r="C3874" t="s">
        <v>13188</v>
      </c>
      <c r="D3874" t="s">
        <v>13189</v>
      </c>
      <c r="E3874" t="s">
        <v>13190</v>
      </c>
      <c r="H3874" t="s">
        <v>51</v>
      </c>
      <c r="I3874" t="s">
        <v>17</v>
      </c>
      <c r="J3874" t="s">
        <v>25</v>
      </c>
      <c r="K3874" t="s">
        <v>13191</v>
      </c>
    </row>
    <row r="3875" spans="1:11" x14ac:dyDescent="0.2">
      <c r="A3875" t="s">
        <v>13192</v>
      </c>
      <c r="C3875" t="s">
        <v>13193</v>
      </c>
      <c r="D3875" t="s">
        <v>13194</v>
      </c>
      <c r="E3875" t="s">
        <v>13195</v>
      </c>
      <c r="H3875" t="s">
        <v>24</v>
      </c>
      <c r="I3875" t="s">
        <v>17</v>
      </c>
      <c r="J3875" t="s">
        <v>25</v>
      </c>
    </row>
    <row r="3876" spans="1:11" x14ac:dyDescent="0.2">
      <c r="A3876" t="s">
        <v>13196</v>
      </c>
      <c r="H3876" t="s">
        <v>28</v>
      </c>
      <c r="I3876" t="s">
        <v>17</v>
      </c>
      <c r="J3876" t="s">
        <v>25</v>
      </c>
    </row>
    <row r="3877" spans="1:11" x14ac:dyDescent="0.2">
      <c r="A3877" t="s">
        <v>13197</v>
      </c>
      <c r="C3877" t="s">
        <v>13198</v>
      </c>
      <c r="D3877" t="s">
        <v>13199</v>
      </c>
      <c r="E3877" t="s">
        <v>13200</v>
      </c>
      <c r="H3877" t="s">
        <v>51</v>
      </c>
      <c r="I3877" t="s">
        <v>17</v>
      </c>
      <c r="J3877" t="s">
        <v>25</v>
      </c>
      <c r="K3877" t="s">
        <v>13201</v>
      </c>
    </row>
    <row r="3878" spans="1:11" x14ac:dyDescent="0.2">
      <c r="A3878" t="s">
        <v>13202</v>
      </c>
      <c r="B3878" t="s">
        <v>13203</v>
      </c>
      <c r="E3878" t="s">
        <v>13204</v>
      </c>
      <c r="H3878" t="s">
        <v>34</v>
      </c>
      <c r="I3878" t="s">
        <v>17</v>
      </c>
      <c r="J3878" t="s">
        <v>25</v>
      </c>
    </row>
    <row r="3879" spans="1:11" x14ac:dyDescent="0.2">
      <c r="A3879" t="s">
        <v>13205</v>
      </c>
      <c r="B3879" t="s">
        <v>13206</v>
      </c>
      <c r="E3879" t="s">
        <v>13207</v>
      </c>
      <c r="H3879" t="s">
        <v>34</v>
      </c>
      <c r="I3879" t="s">
        <v>17</v>
      </c>
      <c r="J3879" t="s">
        <v>25</v>
      </c>
    </row>
    <row r="3880" spans="1:11" x14ac:dyDescent="0.2">
      <c r="A3880" t="s">
        <v>13208</v>
      </c>
      <c r="B3880" t="s">
        <v>13209</v>
      </c>
      <c r="C3880" t="s">
        <v>13210</v>
      </c>
      <c r="E3880" t="s">
        <v>13211</v>
      </c>
      <c r="H3880" t="s">
        <v>38</v>
      </c>
      <c r="I3880" t="s">
        <v>17</v>
      </c>
      <c r="J3880" t="s">
        <v>25</v>
      </c>
    </row>
    <row r="3881" spans="1:11" x14ac:dyDescent="0.2">
      <c r="A3881" t="s">
        <v>13212</v>
      </c>
      <c r="B3881" t="s">
        <v>13213</v>
      </c>
      <c r="E3881" t="s">
        <v>13214</v>
      </c>
      <c r="H3881" t="s">
        <v>34</v>
      </c>
      <c r="I3881" t="s">
        <v>17</v>
      </c>
      <c r="J3881" t="s">
        <v>25</v>
      </c>
    </row>
    <row r="3882" spans="1:11" x14ac:dyDescent="0.2">
      <c r="A3882" t="s">
        <v>13215</v>
      </c>
      <c r="B3882" t="s">
        <v>13216</v>
      </c>
      <c r="C3882" t="s">
        <v>13217</v>
      </c>
      <c r="D3882" t="s">
        <v>13218</v>
      </c>
      <c r="E3882" t="s">
        <v>13219</v>
      </c>
      <c r="H3882" t="s">
        <v>24</v>
      </c>
      <c r="I3882" t="s">
        <v>17</v>
      </c>
      <c r="J3882" t="s">
        <v>25</v>
      </c>
    </row>
    <row r="3883" spans="1:11" x14ac:dyDescent="0.2">
      <c r="A3883" t="s">
        <v>13220</v>
      </c>
      <c r="B3883" t="s">
        <v>13221</v>
      </c>
      <c r="C3883" t="s">
        <v>13222</v>
      </c>
      <c r="H3883" t="s">
        <v>255</v>
      </c>
      <c r="I3883" t="s">
        <v>17</v>
      </c>
      <c r="J3883" t="s">
        <v>25</v>
      </c>
    </row>
    <row r="3884" spans="1:11" x14ac:dyDescent="0.2">
      <c r="A3884" t="s">
        <v>13223</v>
      </c>
      <c r="H3884" t="s">
        <v>28</v>
      </c>
      <c r="I3884" t="s">
        <v>17</v>
      </c>
      <c r="J3884" t="s">
        <v>25</v>
      </c>
    </row>
    <row r="3885" spans="1:11" x14ac:dyDescent="0.2">
      <c r="A3885" t="s">
        <v>13224</v>
      </c>
      <c r="B3885" t="s">
        <v>13225</v>
      </c>
      <c r="H3885" t="s">
        <v>28</v>
      </c>
      <c r="I3885" t="s">
        <v>17</v>
      </c>
      <c r="J3885" t="s">
        <v>25</v>
      </c>
    </row>
    <row r="3886" spans="1:11" x14ac:dyDescent="0.2">
      <c r="A3886" t="s">
        <v>13226</v>
      </c>
      <c r="B3886" t="s">
        <v>13227</v>
      </c>
      <c r="C3886" t="s">
        <v>13228</v>
      </c>
      <c r="D3886" t="s">
        <v>13229</v>
      </c>
      <c r="E3886" t="s">
        <v>13230</v>
      </c>
      <c r="H3886" t="s">
        <v>51</v>
      </c>
      <c r="I3886" t="s">
        <v>17</v>
      </c>
      <c r="J3886" t="s">
        <v>25</v>
      </c>
      <c r="K3886" t="s">
        <v>13231</v>
      </c>
    </row>
    <row r="3887" spans="1:11" x14ac:dyDescent="0.2">
      <c r="A3887" t="s">
        <v>13232</v>
      </c>
      <c r="B3887" t="s">
        <v>13233</v>
      </c>
      <c r="C3887" t="s">
        <v>13234</v>
      </c>
      <c r="D3887" t="s">
        <v>13235</v>
      </c>
      <c r="E3887" t="s">
        <v>13236</v>
      </c>
      <c r="H3887" t="s">
        <v>304</v>
      </c>
      <c r="I3887" t="s">
        <v>17</v>
      </c>
      <c r="J3887" t="s">
        <v>25</v>
      </c>
      <c r="K3887" t="s">
        <v>13237</v>
      </c>
    </row>
    <row r="3888" spans="1:11" x14ac:dyDescent="0.2">
      <c r="A3888" t="s">
        <v>13238</v>
      </c>
      <c r="B3888" t="s">
        <v>13239</v>
      </c>
      <c r="C3888" t="s">
        <v>13240</v>
      </c>
      <c r="D3888" t="s">
        <v>13241</v>
      </c>
      <c r="E3888" t="s">
        <v>13242</v>
      </c>
      <c r="H3888" t="s">
        <v>24</v>
      </c>
      <c r="I3888" t="s">
        <v>17</v>
      </c>
      <c r="J3888" t="s">
        <v>25</v>
      </c>
    </row>
    <row r="3889" spans="1:11" x14ac:dyDescent="0.2">
      <c r="A3889" t="s">
        <v>13243</v>
      </c>
      <c r="B3889" t="s">
        <v>13244</v>
      </c>
      <c r="C3889" t="s">
        <v>13245</v>
      </c>
      <c r="D3889" t="s">
        <v>13246</v>
      </c>
      <c r="H3889" t="s">
        <v>51</v>
      </c>
      <c r="I3889" t="s">
        <v>17</v>
      </c>
      <c r="J3889" t="s">
        <v>25</v>
      </c>
      <c r="K3889" t="s">
        <v>13247</v>
      </c>
    </row>
    <row r="3890" spans="1:11" x14ac:dyDescent="0.2">
      <c r="A3890" t="s">
        <v>13248</v>
      </c>
      <c r="B3890" t="s">
        <v>13249</v>
      </c>
      <c r="E3890" t="s">
        <v>13250</v>
      </c>
      <c r="H3890" t="s">
        <v>34</v>
      </c>
      <c r="I3890" t="s">
        <v>17</v>
      </c>
      <c r="J3890" t="s">
        <v>25</v>
      </c>
    </row>
    <row r="3891" spans="1:11" x14ac:dyDescent="0.2">
      <c r="A3891" t="s">
        <v>13251</v>
      </c>
      <c r="B3891" t="s">
        <v>13252</v>
      </c>
      <c r="C3891" t="s">
        <v>13253</v>
      </c>
      <c r="D3891" t="s">
        <v>13254</v>
      </c>
      <c r="E3891">
        <v>49306736004</v>
      </c>
      <c r="H3891" t="s">
        <v>16</v>
      </c>
      <c r="I3891" t="s">
        <v>17</v>
      </c>
      <c r="J3891" t="s">
        <v>25</v>
      </c>
    </row>
    <row r="3892" spans="1:11" x14ac:dyDescent="0.2">
      <c r="A3892" t="s">
        <v>13255</v>
      </c>
      <c r="B3892" t="s">
        <v>13256</v>
      </c>
      <c r="C3892" t="s">
        <v>13257</v>
      </c>
      <c r="D3892" t="s">
        <v>13258</v>
      </c>
      <c r="E3892" t="s">
        <v>13259</v>
      </c>
      <c r="H3892" t="s">
        <v>51</v>
      </c>
      <c r="I3892" t="s">
        <v>17</v>
      </c>
      <c r="J3892" t="s">
        <v>25</v>
      </c>
      <c r="K3892" t="s">
        <v>13260</v>
      </c>
    </row>
    <row r="3893" spans="1:11" x14ac:dyDescent="0.2">
      <c r="A3893" t="s">
        <v>13261</v>
      </c>
      <c r="B3893" t="s">
        <v>13262</v>
      </c>
      <c r="C3893" t="s">
        <v>13263</v>
      </c>
      <c r="D3893" t="s">
        <v>13264</v>
      </c>
      <c r="E3893" t="s">
        <v>13265</v>
      </c>
      <c r="H3893" t="s">
        <v>51</v>
      </c>
      <c r="I3893" t="s">
        <v>17</v>
      </c>
      <c r="J3893" t="s">
        <v>25</v>
      </c>
      <c r="K3893" t="s">
        <v>13266</v>
      </c>
    </row>
    <row r="3894" spans="1:11" x14ac:dyDescent="0.2">
      <c r="A3894" t="s">
        <v>13267</v>
      </c>
      <c r="B3894" t="s">
        <v>13268</v>
      </c>
      <c r="C3894" t="s">
        <v>13269</v>
      </c>
      <c r="D3894" t="s">
        <v>13270</v>
      </c>
      <c r="E3894">
        <v>493024538807</v>
      </c>
      <c r="H3894" t="s">
        <v>304</v>
      </c>
      <c r="I3894" t="s">
        <v>17</v>
      </c>
      <c r="J3894" t="s">
        <v>25</v>
      </c>
      <c r="K3894" t="s">
        <v>13271</v>
      </c>
    </row>
    <row r="3895" spans="1:11" x14ac:dyDescent="0.2">
      <c r="A3895" t="s">
        <v>13272</v>
      </c>
      <c r="C3895" t="s">
        <v>13273</v>
      </c>
      <c r="D3895" t="s">
        <v>13274</v>
      </c>
      <c r="H3895" t="s">
        <v>51</v>
      </c>
      <c r="I3895" t="s">
        <v>17</v>
      </c>
      <c r="J3895" t="s">
        <v>25</v>
      </c>
      <c r="K3895" t="s">
        <v>13275</v>
      </c>
    </row>
    <row r="3896" spans="1:11" x14ac:dyDescent="0.2">
      <c r="A3896" t="s">
        <v>13276</v>
      </c>
      <c r="B3896" t="s">
        <v>13277</v>
      </c>
      <c r="C3896" t="s">
        <v>13278</v>
      </c>
      <c r="D3896" t="s">
        <v>13279</v>
      </c>
      <c r="E3896" t="s">
        <v>13280</v>
      </c>
      <c r="H3896" t="s">
        <v>24</v>
      </c>
      <c r="I3896" t="s">
        <v>17</v>
      </c>
      <c r="J3896" t="s">
        <v>25</v>
      </c>
    </row>
    <row r="3897" spans="1:11" x14ac:dyDescent="0.2">
      <c r="A3897" t="s">
        <v>13281</v>
      </c>
      <c r="B3897" t="s">
        <v>13282</v>
      </c>
      <c r="C3897" t="s">
        <v>13283</v>
      </c>
      <c r="E3897" t="s">
        <v>13284</v>
      </c>
      <c r="H3897" t="s">
        <v>38</v>
      </c>
      <c r="I3897" t="s">
        <v>17</v>
      </c>
      <c r="J3897" t="s">
        <v>25</v>
      </c>
    </row>
    <row r="3898" spans="1:11" x14ac:dyDescent="0.2">
      <c r="A3898" t="s">
        <v>13285</v>
      </c>
      <c r="B3898" t="s">
        <v>13286</v>
      </c>
      <c r="C3898" t="s">
        <v>13287</v>
      </c>
      <c r="D3898" t="s">
        <v>13288</v>
      </c>
      <c r="E3898" t="s">
        <v>13289</v>
      </c>
      <c r="H3898" t="s">
        <v>24</v>
      </c>
      <c r="I3898" t="s">
        <v>17</v>
      </c>
      <c r="J3898" t="s">
        <v>25</v>
      </c>
    </row>
    <row r="3899" spans="1:11" x14ac:dyDescent="0.2">
      <c r="A3899" t="s">
        <v>13290</v>
      </c>
      <c r="B3899" t="s">
        <v>13291</v>
      </c>
      <c r="E3899">
        <v>49303040595</v>
      </c>
      <c r="H3899" t="s">
        <v>34</v>
      </c>
      <c r="I3899" t="s">
        <v>17</v>
      </c>
      <c r="J3899" t="s">
        <v>25</v>
      </c>
    </row>
    <row r="3900" spans="1:11" x14ac:dyDescent="0.2">
      <c r="A3900" t="s">
        <v>13292</v>
      </c>
      <c r="B3900" t="s">
        <v>13293</v>
      </c>
      <c r="C3900" t="s">
        <v>13294</v>
      </c>
      <c r="D3900" t="s">
        <v>13295</v>
      </c>
      <c r="E3900" t="s">
        <v>13296</v>
      </c>
      <c r="H3900" t="s">
        <v>51</v>
      </c>
      <c r="I3900" t="s">
        <v>17</v>
      </c>
      <c r="J3900" t="s">
        <v>25</v>
      </c>
      <c r="K3900" t="s">
        <v>13297</v>
      </c>
    </row>
    <row r="3901" spans="1:11" x14ac:dyDescent="0.2">
      <c r="A3901" t="s">
        <v>13298</v>
      </c>
      <c r="B3901" t="s">
        <v>13299</v>
      </c>
      <c r="C3901" t="s">
        <v>13300</v>
      </c>
      <c r="D3901" t="s">
        <v>13301</v>
      </c>
      <c r="H3901" t="s">
        <v>304</v>
      </c>
      <c r="I3901" t="s">
        <v>17</v>
      </c>
      <c r="J3901" t="s">
        <v>25</v>
      </c>
      <c r="K3901" t="s">
        <v>13302</v>
      </c>
    </row>
    <row r="3902" spans="1:11" x14ac:dyDescent="0.2">
      <c r="A3902" t="s">
        <v>13303</v>
      </c>
      <c r="B3902" t="s">
        <v>13304</v>
      </c>
      <c r="E3902" t="s">
        <v>13305</v>
      </c>
      <c r="H3902" t="s">
        <v>34</v>
      </c>
      <c r="I3902" t="s">
        <v>17</v>
      </c>
      <c r="J3902" t="s">
        <v>25</v>
      </c>
    </row>
    <row r="3903" spans="1:11" x14ac:dyDescent="0.2">
      <c r="A3903" t="s">
        <v>13306</v>
      </c>
      <c r="H3903" t="s">
        <v>28</v>
      </c>
      <c r="I3903" t="s">
        <v>17</v>
      </c>
      <c r="J3903" t="s">
        <v>25</v>
      </c>
    </row>
    <row r="3904" spans="1:11" x14ac:dyDescent="0.2">
      <c r="A3904" t="s">
        <v>13307</v>
      </c>
      <c r="B3904" t="s">
        <v>13308</v>
      </c>
      <c r="H3904" t="s">
        <v>28</v>
      </c>
      <c r="I3904" t="s">
        <v>17</v>
      </c>
      <c r="J3904" t="s">
        <v>25</v>
      </c>
    </row>
    <row r="3905" spans="1:11" x14ac:dyDescent="0.2">
      <c r="A3905" t="s">
        <v>13309</v>
      </c>
      <c r="B3905" t="s">
        <v>13310</v>
      </c>
      <c r="C3905" t="s">
        <v>13311</v>
      </c>
      <c r="E3905" t="s">
        <v>13312</v>
      </c>
      <c r="H3905" t="s">
        <v>277</v>
      </c>
      <c r="I3905" t="s">
        <v>17</v>
      </c>
      <c r="J3905" t="s">
        <v>25</v>
      </c>
      <c r="K3905" t="s">
        <v>13313</v>
      </c>
    </row>
    <row r="3906" spans="1:11" x14ac:dyDescent="0.2">
      <c r="A3906" t="s">
        <v>13314</v>
      </c>
      <c r="B3906" t="s">
        <v>13315</v>
      </c>
      <c r="C3906" t="s">
        <v>13316</v>
      </c>
      <c r="D3906" t="s">
        <v>13317</v>
      </c>
      <c r="E3906" t="s">
        <v>13318</v>
      </c>
      <c r="H3906" t="s">
        <v>24</v>
      </c>
      <c r="I3906" t="s">
        <v>17</v>
      </c>
      <c r="J3906" t="s">
        <v>25</v>
      </c>
    </row>
    <row r="3907" spans="1:11" x14ac:dyDescent="0.2">
      <c r="A3907" t="s">
        <v>13319</v>
      </c>
      <c r="E3907" t="s">
        <v>13320</v>
      </c>
      <c r="H3907" t="s">
        <v>34</v>
      </c>
      <c r="I3907" t="s">
        <v>17</v>
      </c>
      <c r="J3907" t="s">
        <v>25</v>
      </c>
    </row>
    <row r="3908" spans="1:11" x14ac:dyDescent="0.2">
      <c r="A3908" t="s">
        <v>13321</v>
      </c>
      <c r="B3908" t="s">
        <v>13322</v>
      </c>
      <c r="C3908" t="s">
        <v>13323</v>
      </c>
      <c r="H3908" t="s">
        <v>255</v>
      </c>
      <c r="I3908" t="s">
        <v>17</v>
      </c>
      <c r="J3908" t="s">
        <v>25</v>
      </c>
    </row>
    <row r="3909" spans="1:11" x14ac:dyDescent="0.2">
      <c r="A3909" t="s">
        <v>13324</v>
      </c>
      <c r="B3909" t="s">
        <v>13325</v>
      </c>
      <c r="C3909" t="s">
        <v>13326</v>
      </c>
      <c r="D3909" t="s">
        <v>13327</v>
      </c>
      <c r="E3909" t="s">
        <v>13328</v>
      </c>
      <c r="H3909" t="s">
        <v>304</v>
      </c>
      <c r="I3909" t="s">
        <v>17</v>
      </c>
      <c r="J3909" t="s">
        <v>25</v>
      </c>
      <c r="K3909" t="s">
        <v>13329</v>
      </c>
    </row>
    <row r="3910" spans="1:11" x14ac:dyDescent="0.2">
      <c r="A3910" t="s">
        <v>13330</v>
      </c>
      <c r="H3910" t="s">
        <v>28</v>
      </c>
      <c r="I3910" t="s">
        <v>17</v>
      </c>
      <c r="J3910" t="s">
        <v>25</v>
      </c>
    </row>
    <row r="3911" spans="1:11" x14ac:dyDescent="0.2">
      <c r="A3911" t="s">
        <v>13331</v>
      </c>
      <c r="B3911" t="s">
        <v>13332</v>
      </c>
      <c r="C3911" t="s">
        <v>13333</v>
      </c>
      <c r="D3911" t="s">
        <v>13334</v>
      </c>
      <c r="E3911" t="s">
        <v>13335</v>
      </c>
      <c r="H3911" t="s">
        <v>24</v>
      </c>
      <c r="I3911" t="s">
        <v>17</v>
      </c>
      <c r="J3911" t="s">
        <v>25</v>
      </c>
    </row>
    <row r="3912" spans="1:11" x14ac:dyDescent="0.2">
      <c r="A3912" t="s">
        <v>13336</v>
      </c>
      <c r="B3912" t="s">
        <v>13337</v>
      </c>
      <c r="E3912" t="s">
        <v>13338</v>
      </c>
      <c r="H3912" t="s">
        <v>34</v>
      </c>
      <c r="I3912" t="s">
        <v>17</v>
      </c>
      <c r="J3912" t="s">
        <v>25</v>
      </c>
    </row>
    <row r="3913" spans="1:11" x14ac:dyDescent="0.2">
      <c r="A3913" t="s">
        <v>13339</v>
      </c>
      <c r="B3913" t="s">
        <v>414</v>
      </c>
      <c r="C3913" t="s">
        <v>13340</v>
      </c>
      <c r="D3913" t="s">
        <v>13341</v>
      </c>
      <c r="H3913" t="s">
        <v>16</v>
      </c>
      <c r="I3913" t="s">
        <v>17</v>
      </c>
      <c r="J3913" t="s">
        <v>25</v>
      </c>
    </row>
    <row r="3914" spans="1:11" x14ac:dyDescent="0.2">
      <c r="A3914" t="s">
        <v>13342</v>
      </c>
      <c r="B3914" t="s">
        <v>13343</v>
      </c>
      <c r="H3914" t="s">
        <v>28</v>
      </c>
      <c r="I3914" t="s">
        <v>17</v>
      </c>
      <c r="J3914" t="s">
        <v>25</v>
      </c>
    </row>
    <row r="3915" spans="1:11" x14ac:dyDescent="0.2">
      <c r="A3915" t="s">
        <v>13344</v>
      </c>
      <c r="B3915" t="s">
        <v>13345</v>
      </c>
      <c r="C3915" t="s">
        <v>13346</v>
      </c>
      <c r="D3915" t="s">
        <v>13347</v>
      </c>
      <c r="E3915" t="s">
        <v>13348</v>
      </c>
      <c r="H3915" t="s">
        <v>51</v>
      </c>
      <c r="I3915" t="s">
        <v>17</v>
      </c>
      <c r="J3915" t="s">
        <v>25</v>
      </c>
      <c r="K3915" t="s">
        <v>13349</v>
      </c>
    </row>
    <row r="3916" spans="1:11" x14ac:dyDescent="0.2">
      <c r="A3916" t="s">
        <v>13350</v>
      </c>
      <c r="B3916" t="s">
        <v>13351</v>
      </c>
      <c r="C3916" t="s">
        <v>13352</v>
      </c>
      <c r="D3916" t="s">
        <v>13353</v>
      </c>
      <c r="E3916" t="s">
        <v>13354</v>
      </c>
      <c r="H3916" t="s">
        <v>51</v>
      </c>
      <c r="I3916" t="s">
        <v>17</v>
      </c>
      <c r="J3916" t="s">
        <v>25</v>
      </c>
      <c r="K3916" t="s">
        <v>13355</v>
      </c>
    </row>
    <row r="3917" spans="1:11" x14ac:dyDescent="0.2">
      <c r="A3917" t="s">
        <v>13356</v>
      </c>
      <c r="B3917" t="s">
        <v>13357</v>
      </c>
      <c r="C3917" t="s">
        <v>13358</v>
      </c>
      <c r="D3917" t="s">
        <v>13359</v>
      </c>
      <c r="E3917" t="s">
        <v>13360</v>
      </c>
      <c r="H3917" t="s">
        <v>51</v>
      </c>
      <c r="I3917" t="s">
        <v>17</v>
      </c>
      <c r="J3917" t="s">
        <v>25</v>
      </c>
      <c r="K3917" t="s">
        <v>13361</v>
      </c>
    </row>
    <row r="3918" spans="1:11" x14ac:dyDescent="0.2">
      <c r="A3918" t="s">
        <v>13362</v>
      </c>
      <c r="B3918" t="s">
        <v>13363</v>
      </c>
      <c r="C3918" t="s">
        <v>13364</v>
      </c>
      <c r="E3918" t="s">
        <v>13365</v>
      </c>
      <c r="H3918" t="s">
        <v>38</v>
      </c>
      <c r="I3918" t="s">
        <v>17</v>
      </c>
      <c r="J3918" t="s">
        <v>25</v>
      </c>
    </row>
    <row r="3919" spans="1:11" x14ac:dyDescent="0.2">
      <c r="A3919" t="s">
        <v>13366</v>
      </c>
      <c r="B3919" t="s">
        <v>13367</v>
      </c>
      <c r="C3919" t="s">
        <v>13368</v>
      </c>
      <c r="E3919" t="s">
        <v>13369</v>
      </c>
      <c r="H3919" t="s">
        <v>38</v>
      </c>
      <c r="I3919" t="s">
        <v>17</v>
      </c>
      <c r="J3919" t="s">
        <v>25</v>
      </c>
    </row>
    <row r="3920" spans="1:11" x14ac:dyDescent="0.2">
      <c r="A3920" t="s">
        <v>13370</v>
      </c>
      <c r="B3920" t="s">
        <v>13371</v>
      </c>
      <c r="C3920" t="s">
        <v>13372</v>
      </c>
      <c r="D3920" t="s">
        <v>13373</v>
      </c>
      <c r="H3920" t="s">
        <v>24</v>
      </c>
      <c r="I3920" t="s">
        <v>17</v>
      </c>
      <c r="J3920" t="s">
        <v>25</v>
      </c>
    </row>
    <row r="3921" spans="1:11" x14ac:dyDescent="0.2">
      <c r="A3921" t="s">
        <v>13374</v>
      </c>
      <c r="B3921" t="s">
        <v>13375</v>
      </c>
      <c r="H3921" t="s">
        <v>28</v>
      </c>
      <c r="I3921" t="s">
        <v>17</v>
      </c>
      <c r="J3921" t="s">
        <v>25</v>
      </c>
    </row>
    <row r="3922" spans="1:11" x14ac:dyDescent="0.2">
      <c r="A3922" t="s">
        <v>13376</v>
      </c>
      <c r="B3922" t="s">
        <v>13377</v>
      </c>
      <c r="H3922" t="s">
        <v>28</v>
      </c>
      <c r="I3922" t="s">
        <v>17</v>
      </c>
      <c r="J3922" t="s">
        <v>25</v>
      </c>
    </row>
    <row r="3923" spans="1:11" x14ac:dyDescent="0.2">
      <c r="A3923" t="s">
        <v>13378</v>
      </c>
      <c r="B3923" t="s">
        <v>13379</v>
      </c>
      <c r="C3923" t="s">
        <v>13380</v>
      </c>
      <c r="E3923" t="s">
        <v>13381</v>
      </c>
      <c r="H3923" t="s">
        <v>277</v>
      </c>
      <c r="I3923" t="s">
        <v>17</v>
      </c>
      <c r="J3923" t="s">
        <v>25</v>
      </c>
      <c r="K3923" t="s">
        <v>13382</v>
      </c>
    </row>
    <row r="3924" spans="1:11" x14ac:dyDescent="0.2">
      <c r="A3924" t="s">
        <v>13383</v>
      </c>
      <c r="B3924" t="s">
        <v>13384</v>
      </c>
      <c r="C3924" t="s">
        <v>13385</v>
      </c>
      <c r="E3924" t="s">
        <v>13386</v>
      </c>
      <c r="H3924" t="s">
        <v>277</v>
      </c>
      <c r="I3924" t="s">
        <v>17</v>
      </c>
      <c r="J3924" t="s">
        <v>25</v>
      </c>
      <c r="K3924" t="s">
        <v>13387</v>
      </c>
    </row>
    <row r="3925" spans="1:11" x14ac:dyDescent="0.2">
      <c r="A3925" t="s">
        <v>13388</v>
      </c>
      <c r="B3925" t="s">
        <v>13389</v>
      </c>
      <c r="H3925" t="s">
        <v>28</v>
      </c>
      <c r="I3925" t="s">
        <v>17</v>
      </c>
      <c r="J3925" t="s">
        <v>25</v>
      </c>
    </row>
    <row r="3926" spans="1:11" x14ac:dyDescent="0.2">
      <c r="A3926" t="s">
        <v>13390</v>
      </c>
      <c r="C3926" t="s">
        <v>13391</v>
      </c>
      <c r="D3926" t="s">
        <v>13392</v>
      </c>
      <c r="E3926" t="s">
        <v>13393</v>
      </c>
      <c r="H3926" t="s">
        <v>24</v>
      </c>
      <c r="I3926" t="s">
        <v>17</v>
      </c>
      <c r="J3926" t="s">
        <v>25</v>
      </c>
    </row>
    <row r="3927" spans="1:11" x14ac:dyDescent="0.2">
      <c r="A3927" t="s">
        <v>13394</v>
      </c>
      <c r="B3927" t="s">
        <v>13395</v>
      </c>
      <c r="C3927" t="s">
        <v>13396</v>
      </c>
      <c r="H3927" t="s">
        <v>38</v>
      </c>
      <c r="I3927" t="s">
        <v>17</v>
      </c>
      <c r="J3927" t="s">
        <v>25</v>
      </c>
    </row>
    <row r="3928" spans="1:11" x14ac:dyDescent="0.2">
      <c r="A3928" t="s">
        <v>13397</v>
      </c>
      <c r="H3928" t="s">
        <v>28</v>
      </c>
      <c r="I3928" t="s">
        <v>17</v>
      </c>
      <c r="J3928" t="s">
        <v>25</v>
      </c>
    </row>
    <row r="3929" spans="1:11" x14ac:dyDescent="0.2">
      <c r="A3929" t="s">
        <v>13398</v>
      </c>
      <c r="B3929" t="s">
        <v>13399</v>
      </c>
      <c r="C3929" t="s">
        <v>13400</v>
      </c>
      <c r="E3929" t="s">
        <v>13401</v>
      </c>
      <c r="H3929" t="s">
        <v>38</v>
      </c>
      <c r="I3929" t="s">
        <v>17</v>
      </c>
      <c r="J3929" t="s">
        <v>25</v>
      </c>
    </row>
    <row r="3930" spans="1:11" x14ac:dyDescent="0.2">
      <c r="A3930" t="s">
        <v>13402</v>
      </c>
      <c r="B3930" t="s">
        <v>13403</v>
      </c>
      <c r="C3930" t="s">
        <v>13404</v>
      </c>
      <c r="E3930">
        <f>1-410-973-2102</f>
        <v>-3484</v>
      </c>
      <c r="H3930" t="s">
        <v>38</v>
      </c>
      <c r="I3930" t="s">
        <v>17</v>
      </c>
      <c r="J3930" t="s">
        <v>25</v>
      </c>
    </row>
    <row r="3931" spans="1:11" x14ac:dyDescent="0.2">
      <c r="A3931" t="s">
        <v>13405</v>
      </c>
      <c r="H3931" t="s">
        <v>28</v>
      </c>
      <c r="I3931" t="s">
        <v>17</v>
      </c>
      <c r="J3931" t="s">
        <v>25</v>
      </c>
    </row>
    <row r="3932" spans="1:11" x14ac:dyDescent="0.2">
      <c r="A3932" t="s">
        <v>13406</v>
      </c>
      <c r="B3932" t="s">
        <v>13407</v>
      </c>
      <c r="H3932" t="s">
        <v>28</v>
      </c>
      <c r="I3932" t="s">
        <v>17</v>
      </c>
      <c r="J3932" t="s">
        <v>25</v>
      </c>
    </row>
    <row r="3933" spans="1:11" x14ac:dyDescent="0.2">
      <c r="A3933" t="s">
        <v>13408</v>
      </c>
      <c r="B3933" t="s">
        <v>13409</v>
      </c>
      <c r="E3933" t="s">
        <v>13410</v>
      </c>
      <c r="H3933" t="s">
        <v>34</v>
      </c>
      <c r="I3933" t="s">
        <v>17</v>
      </c>
      <c r="J3933" t="s">
        <v>25</v>
      </c>
    </row>
    <row r="3934" spans="1:11" x14ac:dyDescent="0.2">
      <c r="A3934" t="s">
        <v>13411</v>
      </c>
      <c r="H3934" t="s">
        <v>28</v>
      </c>
      <c r="I3934" t="s">
        <v>17</v>
      </c>
      <c r="J3934" t="s">
        <v>25</v>
      </c>
    </row>
    <row r="3935" spans="1:11" x14ac:dyDescent="0.2">
      <c r="A3935" t="s">
        <v>13412</v>
      </c>
      <c r="B3935" t="s">
        <v>13413</v>
      </c>
      <c r="E3935" t="s">
        <v>13414</v>
      </c>
      <c r="H3935" t="s">
        <v>34</v>
      </c>
      <c r="I3935" t="s">
        <v>17</v>
      </c>
      <c r="J3935" t="s">
        <v>25</v>
      </c>
    </row>
    <row r="3936" spans="1:11" x14ac:dyDescent="0.2">
      <c r="A3936" t="s">
        <v>13415</v>
      </c>
      <c r="H3936" t="s">
        <v>28</v>
      </c>
      <c r="I3936" t="s">
        <v>17</v>
      </c>
      <c r="J3936" t="s">
        <v>25</v>
      </c>
    </row>
    <row r="3937" spans="1:11" x14ac:dyDescent="0.2">
      <c r="A3937" t="s">
        <v>13416</v>
      </c>
      <c r="B3937" t="s">
        <v>13417</v>
      </c>
      <c r="E3937" t="s">
        <v>13418</v>
      </c>
      <c r="H3937" t="s">
        <v>34</v>
      </c>
      <c r="I3937" t="s">
        <v>17</v>
      </c>
      <c r="J3937" t="s">
        <v>25</v>
      </c>
    </row>
    <row r="3938" spans="1:11" x14ac:dyDescent="0.2">
      <c r="A3938" t="s">
        <v>13419</v>
      </c>
      <c r="B3938" t="s">
        <v>13420</v>
      </c>
      <c r="E3938" t="s">
        <v>13421</v>
      </c>
      <c r="H3938" t="s">
        <v>34</v>
      </c>
      <c r="I3938" t="s">
        <v>17</v>
      </c>
      <c r="J3938" t="s">
        <v>25</v>
      </c>
    </row>
    <row r="3939" spans="1:11" x14ac:dyDescent="0.2">
      <c r="A3939" t="s">
        <v>13422</v>
      </c>
      <c r="B3939" t="s">
        <v>13423</v>
      </c>
      <c r="C3939" t="s">
        <v>13424</v>
      </c>
      <c r="D3939" t="s">
        <v>13425</v>
      </c>
      <c r="H3939" t="s">
        <v>51</v>
      </c>
      <c r="I3939" t="s">
        <v>17</v>
      </c>
      <c r="J3939" t="s">
        <v>25</v>
      </c>
      <c r="K3939" t="s">
        <v>13426</v>
      </c>
    </row>
    <row r="3940" spans="1:11" x14ac:dyDescent="0.2">
      <c r="A3940" t="s">
        <v>13427</v>
      </c>
      <c r="H3940" t="s">
        <v>28</v>
      </c>
      <c r="I3940" t="s">
        <v>17</v>
      </c>
      <c r="J3940" t="s">
        <v>25</v>
      </c>
    </row>
    <row r="3941" spans="1:11" x14ac:dyDescent="0.2">
      <c r="A3941" t="s">
        <v>13428</v>
      </c>
      <c r="C3941" t="s">
        <v>13429</v>
      </c>
      <c r="D3941" t="s">
        <v>13430</v>
      </c>
      <c r="E3941" t="s">
        <v>13431</v>
      </c>
      <c r="H3941" t="s">
        <v>51</v>
      </c>
      <c r="I3941" t="s">
        <v>17</v>
      </c>
      <c r="J3941" t="s">
        <v>25</v>
      </c>
      <c r="K3941" t="s">
        <v>13432</v>
      </c>
    </row>
    <row r="3942" spans="1:11" x14ac:dyDescent="0.2">
      <c r="A3942" t="s">
        <v>13433</v>
      </c>
      <c r="H3942" t="s">
        <v>28</v>
      </c>
      <c r="I3942" t="s">
        <v>17</v>
      </c>
      <c r="J3942" t="s">
        <v>25</v>
      </c>
    </row>
    <row r="3943" spans="1:11" x14ac:dyDescent="0.2">
      <c r="A3943" t="s">
        <v>13434</v>
      </c>
      <c r="H3943" t="s">
        <v>28</v>
      </c>
      <c r="I3943" t="s">
        <v>17</v>
      </c>
      <c r="J3943" t="s">
        <v>25</v>
      </c>
    </row>
    <row r="3944" spans="1:11" x14ac:dyDescent="0.2">
      <c r="A3944" t="s">
        <v>13435</v>
      </c>
      <c r="B3944" t="s">
        <v>13436</v>
      </c>
      <c r="C3944" t="s">
        <v>13437</v>
      </c>
      <c r="D3944" t="s">
        <v>13438</v>
      </c>
      <c r="E3944" t="s">
        <v>13439</v>
      </c>
      <c r="H3944" t="s">
        <v>51</v>
      </c>
      <c r="I3944" t="s">
        <v>17</v>
      </c>
      <c r="J3944" t="s">
        <v>25</v>
      </c>
      <c r="K3944" t="s">
        <v>13440</v>
      </c>
    </row>
    <row r="3945" spans="1:11" x14ac:dyDescent="0.2">
      <c r="A3945" t="s">
        <v>13441</v>
      </c>
      <c r="H3945" t="s">
        <v>28</v>
      </c>
      <c r="I3945" t="s">
        <v>17</v>
      </c>
      <c r="J3945" t="s">
        <v>25</v>
      </c>
    </row>
    <row r="3946" spans="1:11" x14ac:dyDescent="0.2">
      <c r="A3946" t="s">
        <v>13442</v>
      </c>
      <c r="B3946" t="s">
        <v>13443</v>
      </c>
      <c r="C3946" t="s">
        <v>13444</v>
      </c>
      <c r="E3946" t="s">
        <v>13445</v>
      </c>
      <c r="H3946" t="s">
        <v>38</v>
      </c>
      <c r="I3946" t="s">
        <v>17</v>
      </c>
      <c r="J3946" t="s">
        <v>25</v>
      </c>
    </row>
    <row r="3947" spans="1:11" x14ac:dyDescent="0.2">
      <c r="A3947" t="s">
        <v>13446</v>
      </c>
      <c r="B3947" t="s">
        <v>13447</v>
      </c>
    </row>
    <row r="3948" spans="1:11" x14ac:dyDescent="0.2">
      <c r="A3948" t="s">
        <v>13448</v>
      </c>
      <c r="B3948" t="s">
        <v>13449</v>
      </c>
      <c r="H3948" t="s">
        <v>28</v>
      </c>
      <c r="I3948" t="s">
        <v>17</v>
      </c>
      <c r="J3948" t="s">
        <v>25</v>
      </c>
    </row>
    <row r="3949" spans="1:11" x14ac:dyDescent="0.2">
      <c r="A3949" t="s">
        <v>13450</v>
      </c>
      <c r="B3949" t="s">
        <v>13451</v>
      </c>
      <c r="C3949" t="s">
        <v>13452</v>
      </c>
      <c r="H3949" t="s">
        <v>255</v>
      </c>
      <c r="I3949" t="s">
        <v>17</v>
      </c>
      <c r="J3949" t="s">
        <v>25</v>
      </c>
    </row>
    <row r="3950" spans="1:11" x14ac:dyDescent="0.2">
      <c r="A3950" t="s">
        <v>13453</v>
      </c>
      <c r="H3950" t="s">
        <v>28</v>
      </c>
      <c r="I3950" t="s">
        <v>17</v>
      </c>
      <c r="J3950" t="s">
        <v>25</v>
      </c>
    </row>
    <row r="3951" spans="1:11" x14ac:dyDescent="0.2">
      <c r="A3951" t="s">
        <v>13454</v>
      </c>
      <c r="H3951" t="s">
        <v>28</v>
      </c>
      <c r="I3951" t="s">
        <v>17</v>
      </c>
      <c r="J3951" t="s">
        <v>25</v>
      </c>
    </row>
    <row r="3952" spans="1:11" x14ac:dyDescent="0.2">
      <c r="A3952" t="s">
        <v>13455</v>
      </c>
      <c r="B3952" t="s">
        <v>13456</v>
      </c>
      <c r="E3952">
        <v>18567687222</v>
      </c>
      <c r="H3952" t="s">
        <v>34</v>
      </c>
      <c r="I3952" t="s">
        <v>17</v>
      </c>
      <c r="J3952" t="s">
        <v>25</v>
      </c>
    </row>
    <row r="3953" spans="1:11" x14ac:dyDescent="0.2">
      <c r="A3953" t="s">
        <v>13457</v>
      </c>
      <c r="B3953" t="s">
        <v>13458</v>
      </c>
      <c r="H3953" t="s">
        <v>28</v>
      </c>
      <c r="I3953" t="s">
        <v>17</v>
      </c>
      <c r="J3953" t="s">
        <v>25</v>
      </c>
    </row>
    <row r="3954" spans="1:11" x14ac:dyDescent="0.2">
      <c r="A3954" t="s">
        <v>13459</v>
      </c>
      <c r="B3954" t="s">
        <v>13460</v>
      </c>
      <c r="H3954" t="s">
        <v>28</v>
      </c>
      <c r="I3954" t="s">
        <v>17</v>
      </c>
      <c r="J3954" t="s">
        <v>25</v>
      </c>
    </row>
    <row r="3955" spans="1:11" x14ac:dyDescent="0.2">
      <c r="A3955" t="s">
        <v>13461</v>
      </c>
      <c r="B3955" t="s">
        <v>13462</v>
      </c>
      <c r="H3955" t="s">
        <v>28</v>
      </c>
      <c r="I3955" t="s">
        <v>17</v>
      </c>
      <c r="J3955" t="s">
        <v>25</v>
      </c>
    </row>
    <row r="3956" spans="1:11" x14ac:dyDescent="0.2">
      <c r="A3956" t="s">
        <v>13463</v>
      </c>
      <c r="B3956" t="s">
        <v>13464</v>
      </c>
      <c r="H3956" t="s">
        <v>28</v>
      </c>
      <c r="I3956" t="s">
        <v>17</v>
      </c>
      <c r="J3956" t="s">
        <v>25</v>
      </c>
    </row>
    <row r="3957" spans="1:11" x14ac:dyDescent="0.2">
      <c r="A3957" t="s">
        <v>13465</v>
      </c>
      <c r="H3957" t="s">
        <v>28</v>
      </c>
      <c r="I3957" t="s">
        <v>17</v>
      </c>
      <c r="J3957" t="s">
        <v>25</v>
      </c>
    </row>
    <row r="3958" spans="1:11" x14ac:dyDescent="0.2">
      <c r="A3958" t="s">
        <v>13466</v>
      </c>
      <c r="B3958" t="s">
        <v>13467</v>
      </c>
      <c r="H3958" t="s">
        <v>28</v>
      </c>
      <c r="I3958" t="s">
        <v>17</v>
      </c>
      <c r="J3958" t="s">
        <v>25</v>
      </c>
    </row>
    <row r="3959" spans="1:11" x14ac:dyDescent="0.2">
      <c r="A3959" t="s">
        <v>13468</v>
      </c>
      <c r="H3959" t="s">
        <v>28</v>
      </c>
      <c r="I3959" t="s">
        <v>17</v>
      </c>
      <c r="J3959" t="s">
        <v>25</v>
      </c>
    </row>
    <row r="3960" spans="1:11" x14ac:dyDescent="0.2">
      <c r="A3960" t="s">
        <v>13469</v>
      </c>
      <c r="B3960" t="s">
        <v>13470</v>
      </c>
      <c r="C3960" t="s">
        <v>13471</v>
      </c>
      <c r="D3960" t="s">
        <v>13472</v>
      </c>
      <c r="E3960" t="s">
        <v>13473</v>
      </c>
      <c r="H3960" t="s">
        <v>51</v>
      </c>
      <c r="I3960" t="s">
        <v>17</v>
      </c>
      <c r="J3960" t="s">
        <v>25</v>
      </c>
      <c r="K3960" t="s">
        <v>13474</v>
      </c>
    </row>
    <row r="3961" spans="1:11" x14ac:dyDescent="0.2">
      <c r="A3961" t="s">
        <v>13475</v>
      </c>
      <c r="H3961" t="s">
        <v>28</v>
      </c>
      <c r="I3961" t="s">
        <v>17</v>
      </c>
      <c r="J3961" t="s">
        <v>25</v>
      </c>
    </row>
    <row r="3962" spans="1:11" x14ac:dyDescent="0.2">
      <c r="A3962" t="s">
        <v>13476</v>
      </c>
      <c r="H3962" t="s">
        <v>28</v>
      </c>
      <c r="I3962" t="s">
        <v>17</v>
      </c>
      <c r="J3962" t="s">
        <v>25</v>
      </c>
    </row>
    <row r="3963" spans="1:11" x14ac:dyDescent="0.2">
      <c r="A3963" t="s">
        <v>13477</v>
      </c>
      <c r="H3963" t="s">
        <v>28</v>
      </c>
      <c r="I3963" t="s">
        <v>17</v>
      </c>
      <c r="J3963" t="s">
        <v>25</v>
      </c>
    </row>
    <row r="3964" spans="1:11" x14ac:dyDescent="0.2">
      <c r="A3964" t="s">
        <v>13478</v>
      </c>
      <c r="H3964" t="s">
        <v>28</v>
      </c>
      <c r="I3964" t="s">
        <v>17</v>
      </c>
      <c r="J3964" t="s">
        <v>25</v>
      </c>
    </row>
    <row r="3965" spans="1:11" x14ac:dyDescent="0.2">
      <c r="A3965" t="s">
        <v>13479</v>
      </c>
      <c r="B3965" t="s">
        <v>13480</v>
      </c>
      <c r="C3965" t="s">
        <v>13481</v>
      </c>
      <c r="D3965" t="s">
        <v>13482</v>
      </c>
      <c r="E3965" t="s">
        <v>13483</v>
      </c>
      <c r="H3965" t="s">
        <v>24</v>
      </c>
      <c r="I3965" t="s">
        <v>17</v>
      </c>
      <c r="J3965" t="s">
        <v>25</v>
      </c>
    </row>
    <row r="3966" spans="1:11" x14ac:dyDescent="0.2">
      <c r="A3966" t="s">
        <v>13484</v>
      </c>
      <c r="B3966" t="s">
        <v>13485</v>
      </c>
      <c r="H3966" t="s">
        <v>28</v>
      </c>
      <c r="I3966" t="s">
        <v>17</v>
      </c>
      <c r="J3966" t="s">
        <v>25</v>
      </c>
    </row>
    <row r="3967" spans="1:11" x14ac:dyDescent="0.2">
      <c r="A3967" t="s">
        <v>13486</v>
      </c>
      <c r="H3967" t="s">
        <v>28</v>
      </c>
      <c r="I3967" t="s">
        <v>17</v>
      </c>
      <c r="J3967" t="s">
        <v>25</v>
      </c>
    </row>
    <row r="3968" spans="1:11" x14ac:dyDescent="0.2">
      <c r="A3968" t="s">
        <v>13487</v>
      </c>
      <c r="B3968" t="s">
        <v>13488</v>
      </c>
      <c r="C3968" t="s">
        <v>13489</v>
      </c>
      <c r="D3968" t="s">
        <v>13490</v>
      </c>
      <c r="E3968" t="s">
        <v>13491</v>
      </c>
      <c r="H3968" t="s">
        <v>51</v>
      </c>
      <c r="I3968" t="s">
        <v>17</v>
      </c>
      <c r="J3968" t="s">
        <v>25</v>
      </c>
      <c r="K3968" t="s">
        <v>13492</v>
      </c>
    </row>
    <row r="3969" spans="1:11" x14ac:dyDescent="0.2">
      <c r="A3969" t="s">
        <v>13493</v>
      </c>
      <c r="C3969" t="s">
        <v>13494</v>
      </c>
      <c r="D3969" t="s">
        <v>13495</v>
      </c>
      <c r="E3969" t="s">
        <v>13496</v>
      </c>
      <c r="H3969" t="s">
        <v>24</v>
      </c>
      <c r="I3969" t="s">
        <v>17</v>
      </c>
      <c r="J3969" t="s">
        <v>25</v>
      </c>
    </row>
    <row r="3970" spans="1:11" x14ac:dyDescent="0.2">
      <c r="A3970" t="s">
        <v>13497</v>
      </c>
      <c r="H3970" t="s">
        <v>28</v>
      </c>
      <c r="I3970" t="s">
        <v>17</v>
      </c>
      <c r="J3970" t="s">
        <v>25</v>
      </c>
    </row>
    <row r="3971" spans="1:11" x14ac:dyDescent="0.2">
      <c r="A3971" t="s">
        <v>13498</v>
      </c>
      <c r="B3971" t="s">
        <v>13499</v>
      </c>
      <c r="E3971">
        <f>1-814-267-3313</f>
        <v>-4393</v>
      </c>
      <c r="H3971" t="s">
        <v>34</v>
      </c>
      <c r="I3971" t="s">
        <v>17</v>
      </c>
      <c r="J3971" t="s">
        <v>25</v>
      </c>
    </row>
    <row r="3972" spans="1:11" x14ac:dyDescent="0.2">
      <c r="A3972" t="s">
        <v>13500</v>
      </c>
      <c r="B3972" t="s">
        <v>13501</v>
      </c>
      <c r="C3972" t="s">
        <v>13502</v>
      </c>
      <c r="E3972">
        <v>18024768880</v>
      </c>
      <c r="H3972" t="s">
        <v>38</v>
      </c>
      <c r="I3972" t="s">
        <v>17</v>
      </c>
      <c r="J3972" t="s">
        <v>25</v>
      </c>
    </row>
    <row r="3973" spans="1:11" x14ac:dyDescent="0.2">
      <c r="A3973" t="s">
        <v>13503</v>
      </c>
      <c r="H3973" t="s">
        <v>28</v>
      </c>
      <c r="I3973" t="s">
        <v>17</v>
      </c>
      <c r="J3973" t="s">
        <v>25</v>
      </c>
    </row>
    <row r="3974" spans="1:11" x14ac:dyDescent="0.2">
      <c r="A3974" t="s">
        <v>13504</v>
      </c>
      <c r="B3974" t="s">
        <v>13505</v>
      </c>
      <c r="C3974" t="s">
        <v>13506</v>
      </c>
      <c r="E3974" t="s">
        <v>13507</v>
      </c>
      <c r="H3974" t="s">
        <v>277</v>
      </c>
      <c r="I3974" t="s">
        <v>17</v>
      </c>
      <c r="J3974" t="s">
        <v>25</v>
      </c>
      <c r="K3974" t="s">
        <v>13508</v>
      </c>
    </row>
    <row r="3975" spans="1:11" x14ac:dyDescent="0.2">
      <c r="A3975" t="s">
        <v>13509</v>
      </c>
      <c r="H3975" t="s">
        <v>28</v>
      </c>
      <c r="I3975" t="s">
        <v>17</v>
      </c>
      <c r="J3975" t="s">
        <v>25</v>
      </c>
    </row>
    <row r="3976" spans="1:11" x14ac:dyDescent="0.2">
      <c r="A3976" t="s">
        <v>13510</v>
      </c>
      <c r="B3976" t="s">
        <v>13511</v>
      </c>
      <c r="H3976" t="s">
        <v>28</v>
      </c>
      <c r="I3976" t="s">
        <v>17</v>
      </c>
      <c r="J3976" t="s">
        <v>25</v>
      </c>
    </row>
    <row r="3977" spans="1:11" x14ac:dyDescent="0.2">
      <c r="A3977" t="s">
        <v>13512</v>
      </c>
      <c r="B3977" t="s">
        <v>13513</v>
      </c>
      <c r="H3977" t="s">
        <v>28</v>
      </c>
      <c r="I3977" t="s">
        <v>17</v>
      </c>
      <c r="J3977" t="s">
        <v>25</v>
      </c>
    </row>
    <row r="3978" spans="1:11" x14ac:dyDescent="0.2">
      <c r="A3978" t="s">
        <v>13514</v>
      </c>
      <c r="H3978" t="s">
        <v>28</v>
      </c>
      <c r="I3978" t="s">
        <v>17</v>
      </c>
      <c r="J3978" t="s">
        <v>25</v>
      </c>
    </row>
    <row r="3979" spans="1:11" x14ac:dyDescent="0.2">
      <c r="A3979" t="s">
        <v>13515</v>
      </c>
      <c r="B3979" t="s">
        <v>13516</v>
      </c>
      <c r="H3979" t="s">
        <v>28</v>
      </c>
      <c r="I3979" t="s">
        <v>17</v>
      </c>
      <c r="J3979" t="s">
        <v>25</v>
      </c>
    </row>
    <row r="3980" spans="1:11" x14ac:dyDescent="0.2">
      <c r="A3980" t="s">
        <v>13517</v>
      </c>
      <c r="B3980" t="s">
        <v>13518</v>
      </c>
      <c r="C3980" t="s">
        <v>13519</v>
      </c>
      <c r="E3980">
        <f>1-860-357-2061</f>
        <v>-3277</v>
      </c>
      <c r="H3980" t="s">
        <v>277</v>
      </c>
      <c r="I3980" t="s">
        <v>17</v>
      </c>
      <c r="J3980" t="s">
        <v>25</v>
      </c>
      <c r="K3980" t="s">
        <v>13520</v>
      </c>
    </row>
    <row r="3981" spans="1:11" x14ac:dyDescent="0.2">
      <c r="A3981" t="s">
        <v>13521</v>
      </c>
      <c r="H3981" t="s">
        <v>28</v>
      </c>
      <c r="I3981" t="s">
        <v>17</v>
      </c>
      <c r="J3981" t="s">
        <v>25</v>
      </c>
    </row>
    <row r="3982" spans="1:11" x14ac:dyDescent="0.2">
      <c r="A3982" t="s">
        <v>13522</v>
      </c>
      <c r="B3982" t="s">
        <v>13523</v>
      </c>
      <c r="E3982" t="s">
        <v>13524</v>
      </c>
      <c r="H3982" t="s">
        <v>34</v>
      </c>
      <c r="I3982" t="s">
        <v>17</v>
      </c>
      <c r="J3982" t="s">
        <v>25</v>
      </c>
    </row>
    <row r="3983" spans="1:11" x14ac:dyDescent="0.2">
      <c r="A3983" t="s">
        <v>13525</v>
      </c>
      <c r="H3983" t="s">
        <v>28</v>
      </c>
      <c r="I3983" t="s">
        <v>17</v>
      </c>
      <c r="J3983" t="s">
        <v>25</v>
      </c>
    </row>
    <row r="3984" spans="1:11" x14ac:dyDescent="0.2">
      <c r="A3984" t="s">
        <v>13526</v>
      </c>
      <c r="C3984" t="s">
        <v>13527</v>
      </c>
      <c r="D3984" t="s">
        <v>13528</v>
      </c>
      <c r="E3984" t="s">
        <v>13529</v>
      </c>
      <c r="H3984" t="s">
        <v>304</v>
      </c>
      <c r="I3984" t="s">
        <v>17</v>
      </c>
      <c r="J3984" t="s">
        <v>25</v>
      </c>
      <c r="K3984" t="s">
        <v>13530</v>
      </c>
    </row>
    <row r="3985" spans="1:11" x14ac:dyDescent="0.2">
      <c r="A3985" t="s">
        <v>13531</v>
      </c>
      <c r="B3985" t="s">
        <v>13532</v>
      </c>
      <c r="C3985" t="s">
        <v>13533</v>
      </c>
      <c r="D3985" t="s">
        <v>13534</v>
      </c>
      <c r="H3985" t="s">
        <v>24</v>
      </c>
      <c r="I3985" t="s">
        <v>17</v>
      </c>
      <c r="J3985" t="s">
        <v>25</v>
      </c>
    </row>
    <row r="3986" spans="1:11" x14ac:dyDescent="0.2">
      <c r="A3986" t="s">
        <v>13535</v>
      </c>
      <c r="B3986" t="s">
        <v>13536</v>
      </c>
      <c r="C3986" t="s">
        <v>13537</v>
      </c>
      <c r="D3986" t="s">
        <v>13538</v>
      </c>
      <c r="E3986" t="s">
        <v>13539</v>
      </c>
      <c r="H3986" t="s">
        <v>16</v>
      </c>
      <c r="I3986" t="s">
        <v>17</v>
      </c>
      <c r="J3986" t="s">
        <v>25</v>
      </c>
    </row>
    <row r="3987" spans="1:11" x14ac:dyDescent="0.2">
      <c r="A3987" t="s">
        <v>13540</v>
      </c>
      <c r="B3987" t="s">
        <v>13541</v>
      </c>
      <c r="E3987" t="s">
        <v>13542</v>
      </c>
      <c r="H3987" t="s">
        <v>34</v>
      </c>
      <c r="I3987" t="s">
        <v>17</v>
      </c>
      <c r="J3987" t="s">
        <v>25</v>
      </c>
    </row>
    <row r="3988" spans="1:11" x14ac:dyDescent="0.2">
      <c r="A3988" t="s">
        <v>13543</v>
      </c>
      <c r="H3988" t="s">
        <v>28</v>
      </c>
      <c r="I3988" t="s">
        <v>17</v>
      </c>
      <c r="J3988" t="s">
        <v>25</v>
      </c>
    </row>
    <row r="3989" spans="1:11" x14ac:dyDescent="0.2">
      <c r="A3989" t="s">
        <v>13544</v>
      </c>
      <c r="H3989" t="s">
        <v>28</v>
      </c>
      <c r="I3989" t="s">
        <v>17</v>
      </c>
      <c r="J3989" t="s">
        <v>25</v>
      </c>
    </row>
    <row r="3990" spans="1:11" x14ac:dyDescent="0.2">
      <c r="A3990" t="s">
        <v>13545</v>
      </c>
      <c r="B3990" t="s">
        <v>13546</v>
      </c>
      <c r="E3990" t="s">
        <v>13547</v>
      </c>
      <c r="H3990" t="s">
        <v>34</v>
      </c>
      <c r="I3990" t="s">
        <v>17</v>
      </c>
      <c r="J3990" t="s">
        <v>25</v>
      </c>
    </row>
    <row r="3991" spans="1:11" x14ac:dyDescent="0.2">
      <c r="A3991" t="s">
        <v>13548</v>
      </c>
      <c r="B3991" t="s">
        <v>13549</v>
      </c>
      <c r="E3991">
        <f>1-814-267-2211</f>
        <v>-3291</v>
      </c>
      <c r="H3991" t="s">
        <v>34</v>
      </c>
      <c r="I3991" t="s">
        <v>17</v>
      </c>
      <c r="J3991" t="s">
        <v>25</v>
      </c>
    </row>
    <row r="3992" spans="1:11" x14ac:dyDescent="0.2">
      <c r="A3992" t="s">
        <v>13550</v>
      </c>
      <c r="B3992" t="s">
        <v>13551</v>
      </c>
      <c r="C3992" t="s">
        <v>13552</v>
      </c>
      <c r="E3992" t="s">
        <v>13553</v>
      </c>
      <c r="H3992" t="s">
        <v>277</v>
      </c>
      <c r="I3992" t="s">
        <v>17</v>
      </c>
      <c r="J3992" t="s">
        <v>25</v>
      </c>
      <c r="K3992" t="s">
        <v>13554</v>
      </c>
    </row>
    <row r="3993" spans="1:11" x14ac:dyDescent="0.2">
      <c r="A3993" t="s">
        <v>13555</v>
      </c>
      <c r="B3993" t="s">
        <v>13556</v>
      </c>
      <c r="C3993" t="s">
        <v>13557</v>
      </c>
      <c r="D3993" t="s">
        <v>13558</v>
      </c>
      <c r="E3993" t="s">
        <v>13559</v>
      </c>
      <c r="H3993" t="s">
        <v>51</v>
      </c>
      <c r="I3993" t="s">
        <v>17</v>
      </c>
      <c r="J3993" t="s">
        <v>25</v>
      </c>
      <c r="K3993" t="s">
        <v>13560</v>
      </c>
    </row>
    <row r="3994" spans="1:11" x14ac:dyDescent="0.2">
      <c r="A3994" t="s">
        <v>13561</v>
      </c>
      <c r="B3994" t="s">
        <v>13562</v>
      </c>
      <c r="C3994" t="s">
        <v>13563</v>
      </c>
      <c r="E3994" t="s">
        <v>13564</v>
      </c>
      <c r="H3994" t="s">
        <v>38</v>
      </c>
      <c r="I3994" t="s">
        <v>17</v>
      </c>
      <c r="J3994" t="s">
        <v>25</v>
      </c>
    </row>
    <row r="3995" spans="1:11" x14ac:dyDescent="0.2">
      <c r="A3995" t="s">
        <v>13565</v>
      </c>
      <c r="B3995" t="s">
        <v>13566</v>
      </c>
      <c r="C3995" t="s">
        <v>13567</v>
      </c>
      <c r="D3995" t="s">
        <v>13568</v>
      </c>
      <c r="E3995" t="s">
        <v>13569</v>
      </c>
      <c r="H3995" t="s">
        <v>24</v>
      </c>
      <c r="I3995" t="s">
        <v>17</v>
      </c>
      <c r="J3995" t="s">
        <v>25</v>
      </c>
    </row>
    <row r="3996" spans="1:11" x14ac:dyDescent="0.2">
      <c r="A3996" t="s">
        <v>13570</v>
      </c>
      <c r="B3996" t="s">
        <v>13571</v>
      </c>
      <c r="H3996" t="s">
        <v>28</v>
      </c>
      <c r="I3996" t="s">
        <v>17</v>
      </c>
      <c r="J3996" t="s">
        <v>25</v>
      </c>
    </row>
    <row r="3997" spans="1:11" x14ac:dyDescent="0.2">
      <c r="A3997" t="s">
        <v>13572</v>
      </c>
      <c r="B3997" t="s">
        <v>13573</v>
      </c>
      <c r="E3997" t="s">
        <v>13574</v>
      </c>
      <c r="H3997" t="s">
        <v>34</v>
      </c>
      <c r="I3997" t="s">
        <v>17</v>
      </c>
      <c r="J3997" t="s">
        <v>25</v>
      </c>
    </row>
    <row r="3998" spans="1:11" x14ac:dyDescent="0.2">
      <c r="A3998" t="s">
        <v>13575</v>
      </c>
      <c r="B3998" t="s">
        <v>13576</v>
      </c>
      <c r="C3998" t="s">
        <v>13577</v>
      </c>
      <c r="D3998" t="s">
        <v>13578</v>
      </c>
      <c r="E3998" t="s">
        <v>13579</v>
      </c>
      <c r="H3998" t="s">
        <v>24</v>
      </c>
      <c r="I3998" t="s">
        <v>17</v>
      </c>
      <c r="J3998" t="s">
        <v>25</v>
      </c>
    </row>
    <row r="3999" spans="1:11" x14ac:dyDescent="0.2">
      <c r="A3999" t="s">
        <v>13580</v>
      </c>
      <c r="B3999" t="s">
        <v>13581</v>
      </c>
      <c r="H3999" t="s">
        <v>28</v>
      </c>
      <c r="I3999" t="s">
        <v>17</v>
      </c>
      <c r="J3999" t="s">
        <v>25</v>
      </c>
    </row>
  </sheetData>
  <autoFilter ref="A1:L3999" xr:uid="{D59BAB22-101B-854D-AA3F-AFCB89789250}"/>
  <conditionalFormatting sqref="D1:D1048576">
    <cfRule type="expression" dxfId="0" priority="1">
      <formula>ODER(ISTLEER($D2),NICHT(ISTZAHL(SUCHEN("@",$D2))))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Sultan Khan</cp:lastModifiedBy>
  <dcterms:created xsi:type="dcterms:W3CDTF">2026-01-24T23:44:49Z</dcterms:created>
  <dcterms:modified xsi:type="dcterms:W3CDTF">2026-01-24T23:47:53Z</dcterms:modified>
</cp:coreProperties>
</file>